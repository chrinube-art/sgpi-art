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tebook UPSE01\Documents\UPSE\2025\"/>
    </mc:Choice>
  </mc:AlternateContent>
  <bookViews>
    <workbookView xWindow="0" yWindow="0" windowWidth="20490" windowHeight="8655" activeTab="1"/>
  </bookViews>
  <sheets>
    <sheet name="Perfiles Raihuen" sheetId="2" r:id="rId1"/>
    <sheet name="PY Postulados Raihuen" sheetId="1" r:id="rId2"/>
    <sheet name="FNDR Maule" sheetId="3" state="hidden" r:id="rId3"/>
    <sheet name="Convenios" sheetId="4" state="hidden" r:id="rId4"/>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28" i="1" l="1"/>
  <c r="AJ27" i="1"/>
  <c r="AJ24" i="1"/>
  <c r="AJ15" i="1"/>
  <c r="AJ13" i="1"/>
  <c r="S13" i="1"/>
  <c r="S17" i="1" l="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15" i="1"/>
  <c r="S16" i="1"/>
  <c r="S14" i="1"/>
  <c r="S12" i="1"/>
  <c r="B68" i="1" l="1"/>
  <c r="B64" i="1"/>
  <c r="B65" i="1"/>
  <c r="B52" i="1"/>
  <c r="B54" i="1"/>
  <c r="B55" i="1"/>
  <c r="B56" i="1"/>
  <c r="B57" i="1"/>
  <c r="B45" i="1"/>
  <c r="B46" i="1"/>
  <c r="B44" i="1"/>
  <c r="B41" i="1"/>
  <c r="B43" i="1"/>
  <c r="B39" i="1"/>
  <c r="B38" i="1"/>
  <c r="B37" i="1"/>
  <c r="B34" i="1"/>
  <c r="B28" i="1"/>
  <c r="B27" i="1"/>
  <c r="B71" i="1"/>
  <c r="AJ38" i="1" l="1"/>
  <c r="K9" i="4"/>
</calcChain>
</file>

<file path=xl/comments1.xml><?xml version="1.0" encoding="utf-8"?>
<comments xmlns="http://schemas.openxmlformats.org/spreadsheetml/2006/main">
  <authors>
    <author>utp</author>
  </authors>
  <commentList>
    <comment ref="G49" authorId="0" shapeId="0">
      <text>
        <r>
          <rPr>
            <b/>
            <sz val="9"/>
            <color indexed="81"/>
            <rFont val="Tahoma"/>
            <family val="2"/>
          </rPr>
          <t>utp:</t>
        </r>
        <r>
          <rPr>
            <sz val="9"/>
            <color indexed="81"/>
            <rFont val="Tahoma"/>
            <family val="2"/>
          </rPr>
          <t xml:space="preserve">
repostulación. Se presento el año 2019, per o ese año figuar como no admitido</t>
        </r>
      </text>
    </comment>
    <comment ref="M61" authorId="0" shapeId="0">
      <text>
        <r>
          <rPr>
            <b/>
            <sz val="9"/>
            <color indexed="81"/>
            <rFont val="Tahoma"/>
            <family val="2"/>
          </rPr>
          <t>utp:</t>
        </r>
        <r>
          <rPr>
            <sz val="9"/>
            <color indexed="81"/>
            <rFont val="Tahoma"/>
            <family val="2"/>
          </rPr>
          <t xml:space="preserve">
Sin FF Postulaciòn, datos obtenidos a partir de BBDD UPSE-R
</t>
        </r>
      </text>
    </comment>
    <comment ref="Y61" authorId="0" shapeId="0">
      <text>
        <r>
          <rPr>
            <b/>
            <sz val="9"/>
            <color indexed="81"/>
            <rFont val="Tahoma"/>
            <family val="2"/>
          </rPr>
          <t>utp:</t>
        </r>
        <r>
          <rPr>
            <sz val="9"/>
            <color indexed="81"/>
            <rFont val="Tahoma"/>
            <family val="2"/>
          </rPr>
          <t xml:space="preserve">
en revisiòn de BBDD de 2ºtrimestre 2021 se registra que fueron rechazados pero BBDD no tene fecha de rechazo</t>
        </r>
      </text>
    </comment>
    <comment ref="M62" authorId="0" shapeId="0">
      <text>
        <r>
          <rPr>
            <b/>
            <sz val="9"/>
            <color indexed="81"/>
            <rFont val="Tahoma"/>
            <family val="2"/>
          </rPr>
          <t>utp:</t>
        </r>
        <r>
          <rPr>
            <sz val="9"/>
            <color indexed="81"/>
            <rFont val="Tahoma"/>
            <family val="2"/>
          </rPr>
          <t xml:space="preserve">
Sin FF postulaciòn, datos obtenidos de BBDD UPSE-R
</t>
        </r>
      </text>
    </comment>
  </commentList>
</comments>
</file>

<file path=xl/sharedStrings.xml><?xml version="1.0" encoding="utf-8"?>
<sst xmlns="http://schemas.openxmlformats.org/spreadsheetml/2006/main" count="1853" uniqueCount="548">
  <si>
    <t>Monto contrapartida (asociados)</t>
  </si>
  <si>
    <t>Monto aporte INIA</t>
  </si>
  <si>
    <t>Gastos de administración</t>
  </si>
  <si>
    <t>Monto Asociados</t>
  </si>
  <si>
    <t>Año de Adjudicación</t>
  </si>
  <si>
    <t>Año Postulación</t>
  </si>
  <si>
    <t>Fuente Financiamiento</t>
  </si>
  <si>
    <t>Concurso o Linea</t>
  </si>
  <si>
    <t>CRI</t>
  </si>
  <si>
    <t>Titulo Proyecto</t>
  </si>
  <si>
    <t>Programas Nacionales</t>
  </si>
  <si>
    <t>Área Nacional</t>
  </si>
  <si>
    <t>Investigador/a Encargado/a</t>
  </si>
  <si>
    <t>Ejecutor</t>
  </si>
  <si>
    <t>Estado</t>
  </si>
  <si>
    <t>Fecha de Postulación</t>
  </si>
  <si>
    <t>Monto solicitado-P</t>
  </si>
  <si>
    <t>Pecuniario-AP</t>
  </si>
  <si>
    <t>No Pecuniario-IP</t>
  </si>
  <si>
    <t>Pecuniario-IP</t>
  </si>
  <si>
    <t>Costo Total del Proyecto-P</t>
  </si>
  <si>
    <t>Overhead</t>
  </si>
  <si>
    <t>Duración (meses)</t>
  </si>
  <si>
    <t>Fecha de Aprobación</t>
  </si>
  <si>
    <t>Condiciones de aprobación</t>
  </si>
  <si>
    <t>Fecha de Rechazo</t>
  </si>
  <si>
    <t>Motivos rechazo</t>
  </si>
  <si>
    <t>Fuente de Información</t>
  </si>
  <si>
    <t>Codigo Proyecto Fuente financ.</t>
  </si>
  <si>
    <t>Monto adjudicado final-A</t>
  </si>
  <si>
    <t>Pecuniario-AA</t>
  </si>
  <si>
    <t>No pecuniario-AA</t>
  </si>
  <si>
    <t>Pecuniario-IA</t>
  </si>
  <si>
    <t>No pecuniario-IA</t>
  </si>
  <si>
    <t>Monto capturado por INIA (overhead)-IA</t>
  </si>
  <si>
    <t>Costo Total del proyecto-A</t>
  </si>
  <si>
    <t>Gastos de administración a rendir</t>
  </si>
  <si>
    <t>Codigo SIP/SGPI</t>
  </si>
  <si>
    <t>CONVENIO</t>
  </si>
  <si>
    <t>Año tramitación convenio</t>
  </si>
  <si>
    <t>Fecha de inicio</t>
  </si>
  <si>
    <t>FIC-R</t>
  </si>
  <si>
    <t>FONDO DE INNOVACIÓN PARA LA COMPETITIVIDAD FIC-2017 GOBIERNO REGIONAL DEL MAULE.</t>
  </si>
  <si>
    <t>Raihuén</t>
  </si>
  <si>
    <t>Colección pública de microorganismos nativos del Maule para el desarrollo científico tecnológico regional.</t>
  </si>
  <si>
    <t>BARRA BUCAREI, LORENA MARIA</t>
  </si>
  <si>
    <t>INIA</t>
  </si>
  <si>
    <t>Adjudicado</t>
  </si>
  <si>
    <t>http://www.goremaule.cl/goremaulenuevo/images/fic2017/ResultadosFIC2017.pdf</t>
  </si>
  <si>
    <t>40.001.104-0</t>
  </si>
  <si>
    <t>Firmado</t>
  </si>
  <si>
    <t>Desarrollo de un producto para incrementar la tolerancia a estrés hídrico y la calidad organoléptica de frutos de arándanos mediante el uso de inductores hormonales y nutricionales inmovilizados</t>
  </si>
  <si>
    <t>BALBONTIN SEPULVEDA, CRISTIAN ALEJANDRO</t>
  </si>
  <si>
    <t>40.001.062-0</t>
  </si>
  <si>
    <t>FIA</t>
  </si>
  <si>
    <t>FIA ASIGNACION DIRECTA</t>
  </si>
  <si>
    <t>Programa de extension, capacitacion y investigación e innovación en berries para la Región del Maule</t>
  </si>
  <si>
    <t>MORALES ALCAYAGA, CARMEN GLORIA</t>
  </si>
  <si>
    <t>PYT-2017-0835</t>
  </si>
  <si>
    <t>PILOTOS DE INNOVACIÓN TERRITORIAL EN RESTAURACIÓN 2017</t>
  </si>
  <si>
    <t>Raihuén/Cauquenes</t>
  </si>
  <si>
    <t>Piloto de Innovación Territorial En Restauración en la Región del Maule, 2017. (Otro concurso FIA)</t>
  </si>
  <si>
    <t>Sustentabilidad y Medio Ambiente</t>
  </si>
  <si>
    <t>ESPINOZA TRONCOSO, SOLEDAD</t>
  </si>
  <si>
    <t>CONAF</t>
  </si>
  <si>
    <t>email dirigido a la encargada del proyecto</t>
  </si>
  <si>
    <t xml:space="preserve"> PYT-2017-733</t>
  </si>
  <si>
    <t>Complementario Programa FIA Berries</t>
  </si>
  <si>
    <t>Prospección y validación de nuevas alternativas de alto valor alimenticio para potenciar la industria dela Región del Maule</t>
  </si>
  <si>
    <t>Contrato FIA</t>
  </si>
  <si>
    <t>PYT-2018-0713</t>
  </si>
  <si>
    <t>Codigo SIP: 502789</t>
  </si>
  <si>
    <t>FNDR</t>
  </si>
  <si>
    <t>FNDR Maule Glosa 5.1</t>
  </si>
  <si>
    <t>Transferencia Programa de Fomento a la Competitividad Agrícola del Maule Sur</t>
  </si>
  <si>
    <t>CORDERO LARA, KARLA IVONNE</t>
  </si>
  <si>
    <t>En concurso</t>
  </si>
  <si>
    <t>40009471-0</t>
  </si>
  <si>
    <t>Convocatoria Nacional de Proyectos de innovación 2018</t>
  </si>
  <si>
    <t>Uso de enmiendas orgánicas a partir de residuos forestales, para mantener humedad y reducir pérdidas de nutrientes en el suelo agrícola</t>
  </si>
  <si>
    <t>UDEC</t>
  </si>
  <si>
    <t>Rechazado</t>
  </si>
  <si>
    <t>Sesión extraordinaria N°228 del 22/04/2019 (www.fia.cl)..\2019\Resultados FIA\Propuestas-Adjudicadas_Proyectos de Innovación 2018.pdf</t>
  </si>
  <si>
    <t>PYT-2019-0221</t>
  </si>
  <si>
    <t>FONDECYT</t>
  </si>
  <si>
    <t>Regular 2019</t>
  </si>
  <si>
    <t>Is there a way to increase the legumes’ nitrogen fixation tolerance to drought?</t>
  </si>
  <si>
    <t>UTAL</t>
  </si>
  <si>
    <t>https://www.conicyt.cl/fondecyt/2018/07/26/concurso-regular-fondecyt-2019/#tab-04</t>
  </si>
  <si>
    <t>Convocatoria Nacional Consultorías para la Innovación 2019</t>
  </si>
  <si>
    <t>Asesoría para validar manejo integrado de Drosophila suzukii; aplicando la experiencia de Estados Unidos en Chile</t>
  </si>
  <si>
    <t>Agrosistemas sustentables</t>
  </si>
  <si>
    <t>DEVOTTO MORENO, LUIS D.</t>
  </si>
  <si>
    <t>No</t>
  </si>
  <si>
    <t>Carta FIA UPP-B-N°1782</t>
  </si>
  <si>
    <t>COC-2019-0010</t>
  </si>
  <si>
    <t>Convenio firmado. Perfil presentado por Javier Chillian</t>
  </si>
  <si>
    <t>502875-10</t>
  </si>
  <si>
    <t>FIC-MAULE: Programa Provisión fondo de innovación para la competitividad FIC-2019. Región del Maule</t>
  </si>
  <si>
    <t>Transferencia, caracterización y Valorización de Vides y Vinos del Maule</t>
  </si>
  <si>
    <t>Producción vegetal</t>
  </si>
  <si>
    <t>DIAZ GALVEZ, IRINA</t>
  </si>
  <si>
    <t>Ord. N°1073. https://www.goremaule.cl/goremaulenuevo/index.php/2013-08-05-22-37-31/fic/2019</t>
  </si>
  <si>
    <t>https://www.goremaule.cl/goremaulenuevo/images/FIC2019/RESULTADOS%20ETAPA%20TECNICA%20FIC%20-%202019.pdf</t>
  </si>
  <si>
    <t>40018935-0</t>
  </si>
  <si>
    <t>Perfil como: Recuperación, caracterización y valorización de recursos genéticos vitivinicolas del Maule. Convenio firmado (llego en fisico para su revisión el 10-03-2020)</t>
  </si>
  <si>
    <t>503010-44</t>
  </si>
  <si>
    <t>NitroAlert: Sistema digital (Vis/nirs) de monitoreo y evaluación del contenido de nitrogeno en los distintos estados fenologicos del cultivo de arroz</t>
  </si>
  <si>
    <t>VARGAS QUIÑONES, PAULA ANDREA</t>
  </si>
  <si>
    <t>Iniciativa no cumple con criterios técnicos de evaluación del
concurso Fondo de Innovación para la Competitividad
Región del Maule 2019</t>
  </si>
  <si>
    <t xml:space="preserve">Perfil presentado por Stanley Best. Asociados Tucapel S.A </t>
  </si>
  <si>
    <t>Monitorización y contro remoto del riego en el arroz, una herramienta escencial para ahorrar agua e incrementar la superficie sembrada de este culñtivoen Chile, sin afectar los rendimientos.</t>
  </si>
  <si>
    <t>Proyecto no admitido, No cumple con punto 9 de las bases: Presentación fuera de plazo</t>
  </si>
  <si>
    <t>Si</t>
  </si>
  <si>
    <t>perfil postulado por Gabriel Donoso. No admitido por postular fuera de plazo. Asociados: Tucapel S.A</t>
  </si>
  <si>
    <t>Drosophila sizukii: paquete tecnologico de alta eficacia e inocuidad para la frutiviticultura del Maule</t>
  </si>
  <si>
    <t>Asociados: Agrospec S.A, Liceo Marta Martinez, Escuela Agrícola de Molina y Universidad de Parral</t>
  </si>
  <si>
    <t>Transferencia Programa de Fortalecimiento del Patrimonio Vitivinícola</t>
  </si>
  <si>
    <t>Transferencia sustentabilidad y posicionamiento de la vitivinicultura del Secano Maule Sur</t>
  </si>
  <si>
    <t>REYES MUÑOZ, MARISOL</t>
  </si>
  <si>
    <t>Iniciativa no recomendada por DIPLADE GORE Maule</t>
  </si>
  <si>
    <t>Acta de Evaluación N°2 del 17/02/2020. Ejecutivo GORE Maule: Pedro González</t>
  </si>
  <si>
    <t>BIP 40.010.587-0</t>
  </si>
  <si>
    <t>Sin perfil, llego en fisico proyecto desde CRI el 23-08-2019. Sin asociados y son aportes pecuniarios de INIA. Gastos de administración a rendir a FF$15.285.000</t>
  </si>
  <si>
    <t>Transferencia optimización en estandares de producción en berries</t>
  </si>
  <si>
    <t>S/I</t>
  </si>
  <si>
    <t>en resumen perfiles se indica que si fue postulado</t>
  </si>
  <si>
    <t>BIP40011289-0</t>
  </si>
  <si>
    <t>Sin perfil, llego en fisico proyecto desde CRI el 04-09-2019. Sin asociados y son aportes pecuniarios de INIA. Gastos de administración a rendir a FF$20.832.000</t>
  </si>
  <si>
    <t>Transferencia Propuestas Tecnologicas para Sistemas Productivos Agrícolas en Secano Maule Sur</t>
  </si>
  <si>
    <t>VILLAVICENCIO POBLETE, ABELARDO</t>
  </si>
  <si>
    <t>BIP 40011296-0</t>
  </si>
  <si>
    <t xml:space="preserve">Convocatoria Nacional Eventos para la Innovación </t>
  </si>
  <si>
    <t>Seminario nacional: Fomento de la cultura de innovación en agrupaciones de mujeres rurales</t>
  </si>
  <si>
    <t>N/A</t>
  </si>
  <si>
    <t>AVILES RODRIGUEZ, RODRIGO EDUARDO</t>
  </si>
  <si>
    <t>http://www.fia.cl/download/convocatorias/2019/concursos/instrumentos_complementarios_convocatoria_nacional_2019/eventos_2019/Resultados_EVR.pdf</t>
  </si>
  <si>
    <t>EVR-2019-0631</t>
  </si>
  <si>
    <t>Codigo SIP: 502881</t>
  </si>
  <si>
    <t>502881-10</t>
  </si>
  <si>
    <t>Seminario Taller: Tecnologías de pulverización variable para la optimizacin de aplicaiomes de productos fitosanitarios en la agricultura de la Región del Maule</t>
  </si>
  <si>
    <t>QUINTANA LOYOLA, RODRIGO</t>
  </si>
  <si>
    <t>EVR-2019-0632</t>
  </si>
  <si>
    <t>Codigo SIP: 502877. Convenio Firmado</t>
  </si>
  <si>
    <t>502877-10</t>
  </si>
  <si>
    <t>FIC-Maule</t>
  </si>
  <si>
    <t xml:space="preserve"> Reconversión de viñedos del cv. País, de bajo valor comercial, mediante su uso como portainjerto </t>
  </si>
  <si>
    <t>No cumple con punto 6.16 de las bases :Falta documentación de
Daina Eveline Grinbergs Salas se adjunta liquidación de Arturo
del Carmen Leal.</t>
  </si>
  <si>
    <t>Nomina de proyecto FIC MAULE Etapa 1</t>
  </si>
  <si>
    <t>ID-463</t>
  </si>
  <si>
    <t>Codigos aportes pecuniarios: 200110-04 ($2.155.680), autorizado por JAF</t>
  </si>
  <si>
    <t xml:space="preserve"> 
Convocatoria Nacional Eventos para la Innovación 2020-2021
</t>
  </si>
  <si>
    <t>Rol de la extensión agrícola en los procesos de adopción de innovaciones en berries.</t>
  </si>
  <si>
    <t>Revisar estructura de costos y Detalar de mejor forma la temática de las charlas de cada expositor</t>
  </si>
  <si>
    <t>Carta UDE-194, enviada por correo electronico el 26-03-2021</t>
  </si>
  <si>
    <t>EVR-2021-0009</t>
  </si>
  <si>
    <t>Costo de garantía será cubierto por el codigo 502793-24</t>
  </si>
  <si>
    <t>503156-10</t>
  </si>
  <si>
    <t>Montos de aporet INIA difieren de las FP, por que calculo valoriazdo se subestimo en la postulación</t>
  </si>
  <si>
    <t>Estudios para la Innovación</t>
  </si>
  <si>
    <t>Producción de asoleado, fundamentos para impulsar y fortalecer su elaboración</t>
  </si>
  <si>
    <t>Propuesta no presenta una clara descripción, solo indica que el cambio climatico afecta la productividad de los viñedos por falta de agua.
EL estudio no logra dimensionar en terminos economicos, cuantos productores existen, que volumen de producci{on representan y precios promedio. La propuesta es débil al no incorporar mayores antecedentes e información básica para definir y acotar un problema
propuesta carece de precisión en la descrpción de estos vinos, el problema no muestra relaci{on con la entidad asociada, etc
Respecto a la coherencia entre los resultados propuestos en el estudio a la realidad y las características del grupo de empresas y/o asociaciones de productores, no es posible determinar coherencia ya que no hay una descripción de la realidad de los productores de vino asoleado y, además, se incorpora un asociado que precisamente ya comercializa el producto.</t>
  </si>
  <si>
    <t>Resultados publicados en pagina web</t>
  </si>
  <si>
    <t>EST-2021-0569</t>
  </si>
  <si>
    <t>Costo de garntía se cargará al codigo 503047-12</t>
  </si>
  <si>
    <t>FNDR-Maule Glosa 5.1</t>
  </si>
  <si>
    <t>Transferencia Sustentabilidad y posicionamiento de la Vitivinicultura del Secano del Maule Sur</t>
  </si>
  <si>
    <t>Se informa de postulación a traves de copia en correo enviado al GORE el 13-07-2021</t>
  </si>
  <si>
    <t>Rendibles a la FF</t>
  </si>
  <si>
    <t>AÑO Ingreso al sistema /Postulación</t>
  </si>
  <si>
    <t>CONCURSO O LINEA</t>
  </si>
  <si>
    <t>TÍTULO</t>
  </si>
  <si>
    <t>Plataforma</t>
  </si>
  <si>
    <t xml:space="preserve">Ejecutor Principal </t>
  </si>
  <si>
    <t>Estado Perfil/Sanción CNE</t>
  </si>
  <si>
    <t xml:space="preserve">Postulado </t>
  </si>
  <si>
    <t>Comentarios</t>
  </si>
  <si>
    <t>Estado en SGPI</t>
  </si>
  <si>
    <t>Otros concursos de alcance nacional o regional 2019-FNDR</t>
  </si>
  <si>
    <t>Consolidación de la calidad y fomento de la sustentabilidad de la vitivinicultura en Zonas de rezago  </t>
  </si>
  <si>
    <t>Hortofrutícola</t>
  </si>
  <si>
    <t>SIP</t>
  </si>
  <si>
    <t>En corrección por Investigador</t>
  </si>
  <si>
    <t>FIC-MAULE</t>
  </si>
  <si>
    <t>Control de parásitos gastrointestinales en ovinos a través de praderas naturalizadas en la Región del Maule  </t>
  </si>
  <si>
    <t>Sistemas ganaderos</t>
  </si>
  <si>
    <t>Espinoza Troncoso, Soledad</t>
  </si>
  <si>
    <t>Rechazado por SID-R</t>
  </si>
  <si>
    <t>Cauquenes</t>
  </si>
  <si>
    <t>Guardianes en rebaños ovinos para el control de perros asilvestrados en la Región del Maule  </t>
  </si>
  <si>
    <t>Producción y utilización de enmiendas orgánicas a partir de lana ovina de desecho, como mejorador de suelos hortícolas en el secano interior de la Región del Maule  </t>
  </si>
  <si>
    <t>Sustentabilidad y Medio ambiente</t>
  </si>
  <si>
    <t>Raihuen-Cauquenes</t>
  </si>
  <si>
    <t>Promover la diversificación de sistemas productivos de la AFC en suelos degradados, para enfrentar el Cambio Climático.  </t>
  </si>
  <si>
    <t>Barahona Leiva, Viviana Lorena</t>
  </si>
  <si>
    <t>Sistema público de soporte a la toma e decisiones para la fertilización variable de nitrogeno en la Región  del maule basado en imágenes de satelites.</t>
  </si>
  <si>
    <t>Fuentes Bustamante, Marcel Yony</t>
  </si>
  <si>
    <t>Drosophila suzukii: paquete tecnológico de alta eficacia e inocuidad para la fruti-viticultura del Maule  </t>
  </si>
  <si>
    <t>Sustentabilidad y medio ambiente (sanidad vegetal)</t>
  </si>
  <si>
    <t>Devotto Moreno, Luis D.</t>
  </si>
  <si>
    <t>Perfil seleccionado</t>
  </si>
  <si>
    <t>Balance hídrico espacialmente distribuido para mejorar la eficiencia de uso del agua a nivel de sistema de riego </t>
  </si>
  <si>
    <t>Sustentabilidad y medio ambiente</t>
  </si>
  <si>
    <t>Uribe Cifuentes, Hamil</t>
  </si>
  <si>
    <t>Perfil no seleccionado</t>
  </si>
  <si>
    <t>Alfalfa una estrategias para el desarrollo y competitividad de la pequeña ganadería del secano de la Región del Maule</t>
  </si>
  <si>
    <t>Bioprotector y promotor de crecimiento para plantas de cerezo (Prunus avium L.) basado en microorganismos benéfico  </t>
  </si>
  <si>
    <t>Chilian, Ricardo Javier</t>
  </si>
  <si>
    <t>Recuperación, caracterización y valorización de recursos genéticos vitivinícolas del Maule  </t>
  </si>
  <si>
    <t>Hortofruticola (Frutales)</t>
  </si>
  <si>
    <t>Monitorización y control remoto del riego en el arroz, una herramienta esencial para ahorrar agua e incrementar la superficie sembrada de este cultivo en Chile, sin afectar los rendimientos  </t>
  </si>
  <si>
    <t>Donoso Ñanculao, Gabriel Hernan</t>
  </si>
  <si>
    <t>FNDR MAULE</t>
  </si>
  <si>
    <t>Implementación de la producción del cultivo de frutilla en sistema de macro túnel para agricultores de la comuna de Empedrado-Maule  </t>
  </si>
  <si>
    <t>Balbontin Sepulveda, Cristian Alejandro</t>
  </si>
  <si>
    <t>En revisión SID-R</t>
  </si>
  <si>
    <t>Otros Concursos de alcance nacional o regional 2019/FNDR MAULE</t>
  </si>
  <si>
    <t>Transferencia de Propuestas Tecnológicas para sistemas productivos agrícolas de la comuna de Empedrado, Región de Maule.  </t>
  </si>
  <si>
    <t>Transferencia y extensión</t>
  </si>
  <si>
    <t>Villavicencio Poblete, Abelardo</t>
  </si>
  <si>
    <t>Convocatoria Nacional Giras para la Innovación 2019</t>
  </si>
  <si>
    <t>Gira de Captura Tecnológica Para Optimizar la Producción de Berries en la Región del Maule evaluación de nuevas variedades su cadena productiva y proceso de comercialización</t>
  </si>
  <si>
    <t>Hortofruticolas (frutales)</t>
  </si>
  <si>
    <t>No se presento proyecto, no llego infromación a la UPSE Regional</t>
  </si>
  <si>
    <t>Asesoría en prevención control y erradicación de Drosophila Suzukki a través de diversas técnicas de control biológico</t>
  </si>
  <si>
    <t>Javier Chilian</t>
  </si>
  <si>
    <t>SI</t>
  </si>
  <si>
    <t>Proyecto a cargo de Luis Devotto</t>
  </si>
  <si>
    <t>Convocatoria Nacional Proyectos de Innovación 2019</t>
  </si>
  <si>
    <t>Desarrollo de aditivos enológicos a base levaduras nativas como herramienta para mejorar la calidad y competitividad de vinos producidos en los Valles de Tutuven e Itata</t>
  </si>
  <si>
    <t>Hortofruticola (frutales)</t>
  </si>
  <si>
    <t>Convocatoria Nacional Eventos para la Innovación</t>
  </si>
  <si>
    <t>Seminario Internacional de Arándanos innovación en la producción y mercado</t>
  </si>
  <si>
    <t>En comisión nacional de evaluación</t>
  </si>
  <si>
    <t>Convocatoria revocada</t>
  </si>
  <si>
    <t>Feria de Tecnologías Sustentables para Berries Desde la innovación a la producción}</t>
  </si>
  <si>
    <t>Convocatoria Nacional Eventos para la Innovación 2020-2021</t>
  </si>
  <si>
    <t xml:space="preserve">Seleccionado con condiciones </t>
  </si>
  <si>
    <t>Otros concursos de alcance Regional 2021 (FNDR)</t>
  </si>
  <si>
    <t>Mejora de las capacidades a nivel de campo en el sector berries de la región del Maule, para adaptarse y aprovechar el potencial de innovaciones tecnológicas en el sensoramiento de los huertos agrícolas, en pro de lograr inocuidad, calidad y/o cantidad de la fruta exportable.</t>
  </si>
  <si>
    <t>Postulado</t>
  </si>
  <si>
    <t>Convocatoria Nacional Eventos para la Innovación 2021-2022-FIA</t>
  </si>
  <si>
    <t>Producción Vegetal</t>
  </si>
  <si>
    <t>Aprobación de especialidad</t>
  </si>
  <si>
    <t xml:space="preserve">Transferencia sustentabilidad y posicionamiento de la vitivinicultura del secano Maule sur </t>
  </si>
  <si>
    <t>Seleccionado con  condiciones</t>
  </si>
  <si>
    <t>FIC-Región del Maule</t>
  </si>
  <si>
    <t>EJE 2 Estrategia Regional de Innovación: Región Sustentable y Resiliente "Módulos de producción ovina de secano autosustentables basados en economía circular"</t>
  </si>
  <si>
    <t>Producción Animal</t>
  </si>
  <si>
    <t>SGPI-281</t>
  </si>
  <si>
    <t>BARAHONA LEIVA, VIVIANA LORENA</t>
  </si>
  <si>
    <t>En correcciòn especialidad</t>
  </si>
  <si>
    <t>Perfil desestimado. IR comenta que esta en conversaciones para plantear financiamiento a traves de  proyectos de carácter privado -12</t>
  </si>
  <si>
    <t>Desarrollo de cubiertas vegetales para el manejo sustentable de suelos en viñedos</t>
  </si>
  <si>
    <t>SGPI-283</t>
  </si>
  <si>
    <t>En corrección especialidad</t>
  </si>
  <si>
    <t>Perfil desestimado. IR indica que es posible que no le acepten el perfil opr ser presentado por ella, que es extensionista y que la Investigadora Marisol Reyes no se encuentra disponible para ejecutar el perfil.</t>
  </si>
  <si>
    <t>Seleccionado</t>
  </si>
  <si>
    <t>No adjudicado</t>
  </si>
  <si>
    <t>Convocatoria Nacional Proyectos de Innovación 2021-2022 FIA</t>
  </si>
  <si>
    <t>Consejo regulador para la producción de vinos país de secano de la región del Maule</t>
  </si>
  <si>
    <t>SGPI-348</t>
  </si>
  <si>
    <t>No seleccionado</t>
  </si>
  <si>
    <t>FIC Maule 2022</t>
  </si>
  <si>
    <t>Alternativas eco-amigables para el manejo de nemátodos fitoparásitos en tomates y vides</t>
  </si>
  <si>
    <t>Lorena Barra Bucarei</t>
  </si>
  <si>
    <t>GORE Maule</t>
  </si>
  <si>
    <t>FIC 2022</t>
  </si>
  <si>
    <t>Cultivo de frutillas más rentables y sin residuos para la agroindustria, usando microorganismos benéficos para controlar enfermedades de suelo</t>
  </si>
  <si>
    <t>Paz Millas Ortiz</t>
  </si>
  <si>
    <t>Perfil-494</t>
  </si>
  <si>
    <t>FNDR Maule</t>
  </si>
  <si>
    <t>Ingreso al GORE Maule</t>
  </si>
  <si>
    <t>18-07-2022</t>
  </si>
  <si>
    <t>Producción de semilla de trigo certificada para incrementar la productividad y sustentabilidad del rubro en el Maule</t>
  </si>
  <si>
    <t>Dalma Castillo</t>
  </si>
  <si>
    <t>BIP 40042539-0</t>
  </si>
  <si>
    <t>Transferencias sistemas productivos para secano de la región del Maule, Faro agroecológico</t>
  </si>
  <si>
    <t>Agrosistemas Sustentables</t>
  </si>
  <si>
    <t>Soledad Espinoza</t>
  </si>
  <si>
    <t>BIP 40042706-0</t>
  </si>
  <si>
    <t>Transferencia fortalecimiento y rentabilización de vitivinicultura tradicional del Maule Sur</t>
  </si>
  <si>
    <t>Marisol Reyes</t>
  </si>
  <si>
    <t>BIP 40042534-0</t>
  </si>
  <si>
    <t>Transferencia programa de desarrollo en la cadena de valor de leguminosas, desde la Región del Maule</t>
  </si>
  <si>
    <t>Kianyon Tay</t>
  </si>
  <si>
    <t>BIP 40041425-0</t>
  </si>
  <si>
    <t>Transferencia de adaptación de innovaciones tecnológicas para fortalecer capacidades en berries</t>
  </si>
  <si>
    <t>Extensión y Formación de capacidades</t>
  </si>
  <si>
    <t>Carmen Gloria Morales</t>
  </si>
  <si>
    <t>BIP 40034270-0</t>
  </si>
  <si>
    <t>Transferencia generación de banco de germoplasma para la obtención de plantas de calidad</t>
  </si>
  <si>
    <t>BIP 40042526-0</t>
  </si>
  <si>
    <t>Mandante</t>
  </si>
  <si>
    <t>Monto Convenio ($)</t>
  </si>
  <si>
    <t>Municipalidad de El Carmen</t>
  </si>
  <si>
    <t>Contribuir a mejorar la disponibilidad de forraje del sistema ganado - pradera de los pequeños y medianos productores de la Comuna de El Carmen</t>
  </si>
  <si>
    <t>Código INIA 503359-25</t>
  </si>
  <si>
    <t>Fecha suscripción</t>
  </si>
  <si>
    <t>01-07-2022</t>
  </si>
  <si>
    <t>Aporte Valorado INIA ($)</t>
  </si>
  <si>
    <t>Aporte Pecuniario INIA ($)</t>
  </si>
  <si>
    <t>Evaluación de polímero Rescaype en productividad de cultivos</t>
  </si>
  <si>
    <t>TS Swedish Innovation Products SpA</t>
  </si>
  <si>
    <t>Código INIA 503360-12</t>
  </si>
  <si>
    <t>13-05-2022</t>
  </si>
  <si>
    <t>Capacitación y apoyo analítico para el manejo de vinos de usuarios del grupo de beneficiarios de INDAP denominado SAT Viticultores Cauquenes</t>
  </si>
  <si>
    <t>José Muñoz Valdés</t>
  </si>
  <si>
    <t>17-07-2022</t>
  </si>
  <si>
    <t>Código INIA 503047-12</t>
  </si>
  <si>
    <t>Renam Nayip Arriagada Amado</t>
  </si>
  <si>
    <t>Capacitación y apoyo analítico para el manejo de vinos de usuarios del grupo de beneficiarios de INDAP denominado Grupo Vitivinicultores Prodesal de Cauquenes</t>
  </si>
  <si>
    <t>Fecha actualización</t>
  </si>
  <si>
    <t>Agricultura regenerativa y prácticas sustentables en viñedos para enfrentar el Cambio Climático</t>
  </si>
  <si>
    <t>Vinos de Chile</t>
  </si>
  <si>
    <t>En formulación por Vinos de Chile. INIA participa en calidad de Co-ejecutor</t>
  </si>
  <si>
    <t>CORFO</t>
  </si>
  <si>
    <t>CORFO - Programa Tecnológico de Transformación Productiva ante el Cambio Climático</t>
  </si>
  <si>
    <t>Programa Tecnológico de Transformación Productiva ante el Cambio Climático</t>
  </si>
  <si>
    <t>Postulación por parte de Vinos de Chile. INIA es Co-ejecutor</t>
  </si>
  <si>
    <t>No ingresado al SGPI</t>
  </si>
  <si>
    <t>Convocatoria Nacional FIA 2022-2023 "Proyectos de Innovación de Interés privado o Bienes Públicos para el Agro"</t>
  </si>
  <si>
    <t>Desarrollo comercial de digestato sólido y líquido como enmienda al suelo para mejorar la fertilidad del suelo</t>
  </si>
  <si>
    <t>Bioenergía Molina SPA</t>
  </si>
  <si>
    <t>No priorizado</t>
  </si>
  <si>
    <t>Se reformuló en nuevo proyecto FNDR presentado el 2022 "Transferencia fortalecimiento y rentabilización de vitivinicultura tradicional del Maule Sur"</t>
  </si>
  <si>
    <t>No presentado</t>
  </si>
  <si>
    <t>Ilustre Municipalidad de Lampa</t>
  </si>
  <si>
    <t>05-10-2022</t>
  </si>
  <si>
    <t>Fortalecer las capacidades técnicas en el manejo hortícola sostenible, la gestión hídrica y la asociatividad de los usuarios del PRODESAL de Lampa</t>
  </si>
  <si>
    <t>Transferencia y Extensión</t>
  </si>
  <si>
    <t>José Lladser</t>
  </si>
  <si>
    <t>Código INIA 503379-25</t>
  </si>
  <si>
    <t>INDAP</t>
  </si>
  <si>
    <t>03-10-2022</t>
  </si>
  <si>
    <t>Implementacion del piloto del programa de promoción y fortalecimiento de la producción sustentable de cultivos tradicionales</t>
  </si>
  <si>
    <t>Irina Díaz</t>
  </si>
  <si>
    <t>Transferencia eficiencia del recurso hídrico para pequeña agricultura del secano mediterráneo de Maule</t>
  </si>
  <si>
    <t>Vinos de Chile / INIA</t>
  </si>
  <si>
    <t>Código 503427-19</t>
  </si>
  <si>
    <t>No adjudicado por GORE. Se reformuló y se postuló el 2022</t>
  </si>
  <si>
    <t>Dr. Héctor Valdés</t>
  </si>
  <si>
    <t>Contrato de Servicios vitivinícolas</t>
  </si>
  <si>
    <t>FIC Maule 2023</t>
  </si>
  <si>
    <t>Revalorización del cultivo de la quínoa, a través de la caracterización de las saponinas presentes en la planta</t>
  </si>
  <si>
    <t>Felix Estrada (Rayentué)</t>
  </si>
  <si>
    <t>Arroz Climáticamente Inteligente 2.0: en transición a la descarbonización del sector arrocero de la Región del Maule</t>
  </si>
  <si>
    <t>Karla Cordero (Quilamapu)</t>
  </si>
  <si>
    <t>Bionanorecubrimiento natural y antiviral para la inocuidad de berries</t>
  </si>
  <si>
    <t>Alimentos del Futuro</t>
  </si>
  <si>
    <t>Sebastián Molinett (La Cruz)</t>
  </si>
  <si>
    <t>Seleccionado, priorizado</t>
  </si>
  <si>
    <t>Rescate y valorización del patrimonio vitivinícola de Guarilihue en el Valle de Itata, mediante la elaboración de productos enológicos a partir de vides criollas y minoritarias</t>
  </si>
  <si>
    <t>Crea y Valida 2023 (2º llamado)</t>
  </si>
  <si>
    <t>VIÑA ZARANDA</t>
  </si>
  <si>
    <t>Viña Zaranda</t>
  </si>
  <si>
    <t>Postulación por Viña Zaranda e INIA es coejecutor</t>
  </si>
  <si>
    <t>Contrato de Colaboración Técnica 2023 INIA - INDAP - SAT Cauquenes</t>
  </si>
  <si>
    <t>Perfil Asociado a  CRI Raihuén/Raihuén en SGPI</t>
  </si>
  <si>
    <t>Perfil NO se visualiza en SGPI asociado  a  Raihuén/Cauquenes o Raihuén/Raihuén - UPSE Beatriz Vera</t>
  </si>
  <si>
    <t xml:space="preserve">Responsable: </t>
  </si>
  <si>
    <t>Perfil  fue no seleccionado por que la IR desestimo su presentaciòn, indicando que conversaria mejor con los asociados para presentar a otra FF</t>
  </si>
  <si>
    <t>Fecha actualización:</t>
  </si>
  <si>
    <t>No Pecuniario-AP</t>
  </si>
  <si>
    <t>Falta ingresar en SGPI Proyecto Postulado, se solicitará la información a la IR, para actualizar SGPI.</t>
  </si>
  <si>
    <t xml:space="preserve">Vitivinicultura criolla y patrimonial del Maule </t>
  </si>
  <si>
    <t>Seminario "Gestión del recurso agua: uso de herramientas tecnológicas y difusión de estrategias exitosas"</t>
  </si>
  <si>
    <t>Consultoría internacional de apoyo a la producción y exportación sostenible de espárragos frescos del Maule.</t>
  </si>
  <si>
    <t>Un secano de oportunidades</t>
  </si>
  <si>
    <t>Eventos para la Innovación 2024 Región del Maule</t>
  </si>
  <si>
    <t>Concurso Nacional Ciencia Pública 2024-2025 para el desarrollo de experiencias de comunicación en el ámbito de los conocimientos científicos, humanísticos, artísticos y tecnológicos en Espacios Regionales de acceso público y gratuito</t>
  </si>
  <si>
    <t>INIA - Ilustre Municipalidad San Javier</t>
  </si>
  <si>
    <t>Difusión</t>
  </si>
  <si>
    <t>Agricola Santa María SpA</t>
  </si>
  <si>
    <t>PROYECTO-SC-1673</t>
  </si>
  <si>
    <t>PROYECTO-23-503761-10</t>
  </si>
  <si>
    <t>22.04.2024</t>
  </si>
  <si>
    <t>29.07.2024</t>
  </si>
  <si>
    <t>PROYECTO-SC-1675. Inia participa como asociado con aportes NO Pecuniarios (672.000)</t>
  </si>
  <si>
    <t>21.07.2024</t>
  </si>
  <si>
    <t>Revisar diseño de evento. Costos de eventos: analizar costos de Coffee Break y Cooktail. Ajustar aporte FIA a un máximo de $5.500.000. Condiciones de difusión pública, mención a GORE Maule. Incluir Enfoque de género: incluir pequeñas viñateras.</t>
  </si>
  <si>
    <t>No Aplica</t>
  </si>
  <si>
    <t>UPG N°122 del 21.06.2024</t>
  </si>
  <si>
    <t>EVR-2024-0366</t>
  </si>
  <si>
    <t>Revisar Problema/oportunidad; incorporar periodista INIA al equipo  técnico. Costos del Evento: revisar costos del lugar y almuerzo. Ajustar aporte FIA a un máximo de $5.500.000. Difusión: considerar mención GORE del Maule.</t>
  </si>
  <si>
    <t>UPG N°124 del 21.06.2025</t>
  </si>
  <si>
    <t>EVR-2024-0375</t>
  </si>
  <si>
    <t>23-503761-10</t>
  </si>
  <si>
    <t>En trámite</t>
  </si>
  <si>
    <t>18.07.2024</t>
  </si>
  <si>
    <t>INIA participa como asociado</t>
  </si>
  <si>
    <t>INIA Participa como asociado</t>
  </si>
  <si>
    <t>COC-2024-0367</t>
  </si>
  <si>
    <t>Convocatoria Nacional Proyectos de Innovación para el agro con Énfasis Regional 2024-2025 FIA</t>
  </si>
  <si>
    <t>Aqua365: Agua disponible todo el año para agricultores del Secano mediterráneo</t>
  </si>
  <si>
    <t>Programa Nacional de Agrosistemas Sustentables</t>
  </si>
  <si>
    <t>Sin información</t>
  </si>
  <si>
    <t>Proyecto en 2° etapa de evaluación FIA</t>
  </si>
  <si>
    <t>Eventos para la Innovación 2025 para la Región del Maule-FIA</t>
  </si>
  <si>
    <t>Seminario internacional "Manejo de suelo en viñedos con un enfoque en agricultura regenerativa"</t>
  </si>
  <si>
    <t>Programa Nacional de Producción Animal</t>
  </si>
  <si>
    <t>Seleccionado con condiciones</t>
  </si>
  <si>
    <t>No se postula el proyecto</t>
  </si>
  <si>
    <t>No Postulado</t>
  </si>
  <si>
    <t>Programa Nacional de Producción Vegetal</t>
  </si>
  <si>
    <t>Evaluación de cepas de uvas criollas patrimoniales de la región del Maule con potencial vitícola-enológico y de adaptación al cambio climático.</t>
  </si>
  <si>
    <t>Fondo Regional para la Productividad y el Desarrollo (FRPD)- Región del Maule 2024</t>
  </si>
  <si>
    <t>Perfil Seleccionado con Condiciones</t>
  </si>
  <si>
    <t>No se postula por no tener aporte pecuniario</t>
  </si>
  <si>
    <t>IDeA I+D 2025</t>
  </si>
  <si>
    <t>Generación de una Plataforma de Criopreservación Vegetal de especies recalcitrantes y de reproducción clonal, para Mejorar la Resiliencia frente a la Crisis Climática y Ambiental y la Seguridad Alimentaria</t>
  </si>
  <si>
    <t>DONOSO ÑANCULAO, GABRIEL HERNAN</t>
  </si>
  <si>
    <t>Perfil No Seleccionado</t>
  </si>
  <si>
    <t>Reposicionamiento del vino Asoleado como producto patrimonial del secano de la región del Maule</t>
  </si>
  <si>
    <t xml:space="preserve">Seleccionado  </t>
  </si>
  <si>
    <t>Perfil no adjudicado</t>
  </si>
  <si>
    <t>No Adjudicado</t>
  </si>
  <si>
    <t>Invernaderos robotizados de producción continua, una alternatiiva sostenible y sustentable para el secano interior</t>
  </si>
  <si>
    <t>Bienes Públicos - Región del Maule- Gestión Hídrica 2024 (apertura por extensión de plazo FF y por procedimiento de invitaciones)</t>
  </si>
  <si>
    <t>Uso eficiente del agua mediante riego inteligente y biofiltros en sistemas agroforestales, utilizando especies tolerantes a la sequía en el secano interior de la región del Maule</t>
  </si>
  <si>
    <t>INFOR</t>
  </si>
  <si>
    <t>INIA participa como co-ejecutor</t>
  </si>
  <si>
    <t>Giras de Innovación 2025 para la Región del Maule-FIA</t>
  </si>
  <si>
    <t>Consultorías de innovación para la Región del Maule 2025-FIA</t>
  </si>
  <si>
    <t>Gira internacional a Francia para la innovación en tecnologías sostenibles en el sistema agroalimentario de los espárragos del Maule</t>
  </si>
  <si>
    <t>Semiario internacional "Manejo de suelo en viñedos con un enfoque en agricultura regenerativa"</t>
  </si>
  <si>
    <t>Innovación y Buenas Prácticas en Agricultura Sostenible en el rubro hortícola, frutícola y apícola, Gira Internacional a INTA Argentina</t>
  </si>
  <si>
    <t>Consultoría de Innovación para Curso Intensivo de Crianza sostenible y selección de abejas reinas para enfrentar el Cambio Climático</t>
  </si>
  <si>
    <t>Agroservicios Corporación Limitada</t>
  </si>
  <si>
    <t>Inia participa como asociado</t>
  </si>
  <si>
    <t>Se desiste el perfil</t>
  </si>
  <si>
    <t>Agrupación de Agricultores Agroecológicos del Maule</t>
  </si>
  <si>
    <t>Asesorías y Servicios Trofar limitada</t>
  </si>
  <si>
    <t>FONTAGRO Convocatoria 2025- “Impulsando la sostenibilidad en los sistemas agroalimentarios de América Latina y el Caribe: tecnologías e innovaciones con fuerte impacto en el terreno para mejorar la eficiencia y la resiliencia, y disminuir la huella ambiental.” (Única Fase)</t>
  </si>
  <si>
    <t>SAENZ MORENO, CAMILA VALENTINA</t>
  </si>
  <si>
    <t>Estrategias sostenibles para la reducción de emisiones de metano por parte del ganado ovino.</t>
  </si>
  <si>
    <t>Concurso de Investigación Tecnológica IDeA 2025</t>
  </si>
  <si>
    <t>Ganadería de Alta Precisión: Trazabilidad Ovina mediante tecnología de identificación por radiofrecuencia.</t>
  </si>
  <si>
    <t>HIDRO DREN TECH: Agua sustentable para el Secano Mediterráneo</t>
  </si>
  <si>
    <t>Perfil no seleccionado para este concurso</t>
  </si>
  <si>
    <t>Innova</t>
  </si>
  <si>
    <t>09.09.2024</t>
  </si>
  <si>
    <t>Pecuniario-Asociado</t>
  </si>
  <si>
    <t>No Pecuniario-Asociado</t>
  </si>
  <si>
    <t>No Pecuniario-INIA</t>
  </si>
  <si>
    <t>Pecuniario-INIA</t>
  </si>
  <si>
    <t>Inia participa como coejecutor</t>
  </si>
  <si>
    <t>Innovación para la gestión del recurso hídrico: ¿Cómo mitigar los riesgos del cambio climático en la producción agrícola?</t>
  </si>
  <si>
    <t>20.11.2024</t>
  </si>
  <si>
    <t>BIP 40.058.824-0</t>
  </si>
  <si>
    <t>BIP 40034272-0</t>
  </si>
  <si>
    <t>Convenio TTT</t>
  </si>
  <si>
    <t>CARRASCO FERNANDES, JORGE</t>
  </si>
  <si>
    <t>FIC</t>
  </si>
  <si>
    <t>BIP 40047049-0</t>
  </si>
  <si>
    <t>22PTECCC-219368</t>
  </si>
  <si>
    <t>BIP 40047282-0</t>
  </si>
  <si>
    <t>ID-PERFIL</t>
  </si>
  <si>
    <t>Consultorías para la Innovación 2024 Región del Maule</t>
  </si>
  <si>
    <t>Eventos Nacionales para la Innovación 2025-FIA-Ventanilla Abierta</t>
  </si>
  <si>
    <t>Giras Nacionales para la Innovación-FIA 2025-Ventanilla Abierta</t>
  </si>
  <si>
    <t>"Gira Técnica: Prácticas Ganaderas Sustentables y Mitigación de GEI"</t>
  </si>
  <si>
    <t>Seminario para la diversificación y comercialización de carne ovina</t>
  </si>
  <si>
    <t>Evaluación Técnica</t>
  </si>
  <si>
    <t>Perfil en revisión técnica</t>
  </si>
  <si>
    <t>FONDEF</t>
  </si>
  <si>
    <t>CHRISTIAN NUÑEZ BERRIOS</t>
  </si>
  <si>
    <t xml:space="preserve">AÑO </t>
  </si>
  <si>
    <t>PERFILES RAIHUÉN</t>
  </si>
  <si>
    <t>PROYECTOS POSTULADOS RAIHUÉN</t>
  </si>
  <si>
    <t>ESTRADA BRAVO, FELIX RODOLFO</t>
  </si>
  <si>
    <t xml:space="preserve">CHILIAN, RICARDO JAVIER </t>
  </si>
  <si>
    <t>CASTILLO ROSALES, DALMA</t>
  </si>
  <si>
    <t xml:space="preserve">MOLINETT SEBASTIÁN </t>
  </si>
  <si>
    <t>TAY NEVES, KIANYON</t>
  </si>
  <si>
    <t>MILLAS ORTIZ, PAZ</t>
  </si>
  <si>
    <t>Educar en Robotización para el desarrollo agrícola en Maule.</t>
  </si>
  <si>
    <t>No Admisible por no adjuntar cotización del arriendo de camionetas</t>
  </si>
  <si>
    <t>Educar en Robotización para el desarrollo agrícola en Maule</t>
  </si>
  <si>
    <t>FRPD</t>
  </si>
  <si>
    <t>Año Adjudicación</t>
  </si>
  <si>
    <t>Convocatoria Nacional Proyectos de Innovación para el Agro 2025-2026 FIA-Propuesta completa</t>
  </si>
  <si>
    <t>Perfil no se postula, por segunda vez, ya que no se alcanza a realizar las correcciones en base al feedback FIA.</t>
  </si>
  <si>
    <t>No postulado</t>
  </si>
  <si>
    <t>“Sistema Integral de Alerta y Prevención de Depredación en Ganado por Perros Asilvestrados”</t>
  </si>
  <si>
    <t>Perfil se encuentra en concurso</t>
  </si>
  <si>
    <t>Otros concursos de alcance Regional o Nacional 2025</t>
  </si>
  <si>
    <t>Concurso Nacional Ciencia Pública 2026 para el desarrollo de experiencias de comunicación en el ámbito de los conocimientos científicos, humanísticos, artísticos y tecnológicos en Espacios Regionales de acceso público y gratuito</t>
  </si>
  <si>
    <t>Modelo para la transformaciòn productiva del viñedo de secano</t>
  </si>
  <si>
    <t>Implementación de un sistema de acumulación de agua para aseguramiento de riego en cultivos forrajeros en el Centro Experimental de INIA Raihuén en Cauquenes</t>
  </si>
  <si>
    <t>No se postula a la iniciativa por no ser considerados por bases como Beneficiarios. (Concurso CNR)</t>
  </si>
  <si>
    <t>Desarrollo e Implementación de una Plataforma Digital Integral para la Gestión Agronómica y Fenológica de Berries: Una solución innovadora para medianos y pequeños productores de la región del Maule</t>
  </si>
  <si>
    <t>Perfil en concurso</t>
  </si>
  <si>
    <t>IR desiste de postular</t>
  </si>
  <si>
    <t>Perfil en formulación</t>
  </si>
  <si>
    <t>Celebremos el Secano</t>
  </si>
  <si>
    <t>Bienes Públicos - Región del Maule- 1° Convocatoria 2025</t>
  </si>
  <si>
    <t>“Innovación Social y Tecnológica para el Campo: Robotización Accesible para Agricultores Mayores y Educación Técnica en la Región del Maule”</t>
  </si>
  <si>
    <t>GUTIERREZ GAMBOA, GASTON</t>
  </si>
  <si>
    <t>Zonificación vitícola de la cuenca del Lago General Carrera: bases técnicas para sustentar la Denominación de Origen de los vinos más australes del mundo</t>
  </si>
  <si>
    <t>Perfil no postulado</t>
  </si>
  <si>
    <t>Hacia Sistemas Alimentarios Sostenibles: Eventos de innovación, soluciones para el Agro Chileno que considere el Rol de la Mujer Agroinnovadora en los procesos de desarrollo en el Sector Agroalimentario Nacional 2025</t>
  </si>
  <si>
    <t>Vitivinicultura Sostenible y Liderazgo Femenino en el Secano Interior del Maule: Innovación, Transferencia y Empoderamiento Rural</t>
  </si>
  <si>
    <t>Mujeres del norte vitivinícola: conectando con experiencias patrimoniales y sustentables del Maule</t>
  </si>
  <si>
    <t>Giras nacionales de innovación para Mujeres Agroinnovadoras 2025</t>
  </si>
  <si>
    <t>VERDUGO VASQUEZ, NICOLAS JAVIER</t>
  </si>
  <si>
    <t>Gira técnica: Experiencias exitosas de la zona Central de Chile en cultivo moderno de hortalizas con Mujeres del Mataquito.</t>
  </si>
  <si>
    <t>Guardianes de la Tierra: Reintroducción de Papas nativas para la Soberanía Alimentaria del Sur de Chile</t>
  </si>
  <si>
    <t>IDeA I+D 2026</t>
  </si>
  <si>
    <t>“Carne y lana ovina: agregación de valor e innovación con liderazgo femenino”</t>
  </si>
  <si>
    <t>PAÑITRUR DE LA FUENTE, CAROLINA PAZ</t>
  </si>
  <si>
    <t>Microterroir: aplicaciones vitícolas para mejorar la tipicidad de vinos Cabernet Sauvignon bajo contexto de cambio climático</t>
  </si>
  <si>
    <t>Cubiertas vegetales nativas: innovación tecnológica para viñedos sostenibles y resilientes al cambio climático</t>
  </si>
  <si>
    <t>De acuerdo a correo electrónico enviado el 25-08-2025, esta propuesta debe ingresar por el modulo de Proyectos-Asignación Directa en el SGPI- CONAF</t>
  </si>
  <si>
    <t>Se rechaza para cambio de jefe de proyecto</t>
  </si>
  <si>
    <t>CONVENIOS PÚBLICOS</t>
  </si>
  <si>
    <t>CONCURSO INTERNO: MINCIENCIAS 2026</t>
  </si>
  <si>
    <t>Optimización y escalamiento de la tecnología de elaboración de vino Tercipelo para la vitivinicultura patrimonial de secano</t>
  </si>
  <si>
    <t>Saneamiento y caracterización vitícola de genotipos de vides criollas del Maule para su potencial adopción en la vitivinicultura patrimonial</t>
  </si>
  <si>
    <t>Optimización y escalamiento de la tecnología de elaboración de asoleado para la vitivinicultura patrimonial de secano</t>
  </si>
  <si>
    <t>Fondo Regional para la Productividad y el Desarrollo (FRPD)- Región del Maule 2025</t>
  </si>
  <si>
    <t>FUENTES BUSTAMANTE, MARCEL YONY</t>
  </si>
  <si>
    <t>Modelo integral sostenible de mejoramiento productivo y comercial: Innovación en genética, eficiencia en manejo agronómico, mejoramiento de la competitividad y sustentabilidad en el cultivo del espárrago en la Provincia de Linares.</t>
  </si>
  <si>
    <t>Fondecyt de Iniciación en Investigación 2026</t>
  </si>
  <si>
    <t>Development and Validation of a Spatio-Temporal Predictive Model of Ripening in Pisquera Vineyards Under Hyper-Arid Conditions: A Decision Support Tool for Precision Viticulture</t>
  </si>
  <si>
    <t>Centros de Investigación Aplicada 2025 (apertura momentánea)</t>
  </si>
  <si>
    <t>VitiScience and Innovation Center (VSIC)</t>
  </si>
  <si>
    <t>PUC - Pontificia Universidad Católica de Chile</t>
  </si>
  <si>
    <t>Evaluación y optimización de la distribución del agua de riego en sistemas regulados mediante indicadores satelitales de condición hídrica de los cultivos</t>
  </si>
  <si>
    <t>MEZA ALVAREZ, FRANCISCO JOSE</t>
  </si>
  <si>
    <t>Monitoreo colaborativo de la calidad del agua de riego Región del Maule</t>
  </si>
  <si>
    <t>CONICYT</t>
  </si>
  <si>
    <t>Todavia no se gestiona firma de convenio ni se actualizan los montos finalmente adjudicados.</t>
  </si>
  <si>
    <t>Concurso de Investigación Tecnológica IDeA 2026</t>
  </si>
  <si>
    <t>FONTAGRO Convocatoria 2026: Cooperación e innovación para impulsar sistemas agroalimentarios más productivos, rentables y competitivos con menor huella ambiental en América Latina y el Caribe</t>
  </si>
  <si>
    <t>Fondecyt de Iniciación en Investigación 2027</t>
  </si>
  <si>
    <t>Trait-based identification of native plant species for functional cover crops in Mediterranean agroecosystems</t>
  </si>
  <si>
    <t>Restauración de la sanidad del germoplasma de ajo (Allium sativum L.) y cebolla (Allium cepa L.), mediante crioterapia, para su integración en sistemas de manejo agroecológico y transición productiva sostenible</t>
  </si>
  <si>
    <t>Desarrollo y validación tecnológica de un insumo agrícola funcional derivado de subproductos alcohólicos para la adaptación productiva de cultivos al cambio climático</t>
  </si>
  <si>
    <t>Seleccionado con Condiciones</t>
  </si>
  <si>
    <t>Asociado se baja de la iniciativa, por lo que no hay pecuniario para postlar</t>
  </si>
  <si>
    <t>Perfil cambia radicalmente sus objetivos generales y específicos, por lo tanto, no se postula</t>
  </si>
  <si>
    <t>Perfil Seleccionado con condiciones</t>
  </si>
  <si>
    <t>Corporación Nacional Forestal</t>
  </si>
  <si>
    <t>Concurso 2025 ENCCRV CONAF</t>
  </si>
  <si>
    <t>“Proyecto +Bosques, juntos contra el Cambio Climático"</t>
  </si>
  <si>
    <t>Proyecto +Bosques, juntos contra el Cambio Climático</t>
  </si>
  <si>
    <t>En Trámite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</si>
</sst>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Red]&quot;$&quot;\-#,##0"/>
    <numFmt numFmtId="44" formatCode="_ &quot;$&quot;* #,##0.00_ ;_ &quot;$&quot;* \-#,##0.00_ ;_ &quot;$&quot;* &quot;-&quot;??_ ;_ @_ "/>
    <numFmt numFmtId="164" formatCode="_-&quot;$&quot;\ * #,##0_-;\-&quot;$&quot;\ * #,##0_-;_-&quot;$&quot;\ * &quot;-&quot;??_-;_-@_-"/>
    <numFmt numFmtId="165" formatCode="yyyy"/>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scheme val="minor"/>
    </font>
    <font>
      <b/>
      <sz val="11"/>
      <name val="Calibri"/>
      <family val="2"/>
      <scheme val="minor"/>
    </font>
    <font>
      <u/>
      <sz val="10"/>
      <color theme="10"/>
      <name val="Arial"/>
      <family val="2"/>
    </font>
    <font>
      <sz val="9"/>
      <color rgb="FF000000"/>
      <name val="Arial"/>
      <family val="2"/>
    </font>
    <font>
      <sz val="8"/>
      <name val="Calibri"/>
      <family val="2"/>
      <scheme val="minor"/>
    </font>
    <font>
      <sz val="11"/>
      <color rgb="FF000000"/>
      <name val="Calibri"/>
      <family val="2"/>
      <scheme val="minor"/>
    </font>
    <font>
      <sz val="11"/>
      <color rgb="FF333333"/>
      <name val="Helvetica"/>
      <family val="2"/>
    </font>
    <font>
      <b/>
      <sz val="11"/>
      <color theme="0"/>
      <name val="Calibri"/>
      <family val="2"/>
      <scheme val="minor"/>
    </font>
    <font>
      <sz val="11"/>
      <color theme="0"/>
      <name val="Calibri"/>
      <family val="2"/>
      <scheme val="minor"/>
    </font>
    <font>
      <b/>
      <sz val="24"/>
      <color theme="1"/>
      <name val="Calibri"/>
      <family val="2"/>
      <scheme val="minor"/>
    </font>
    <font>
      <b/>
      <sz val="8"/>
      <name val="Calibri"/>
      <family val="2"/>
      <scheme val="minor"/>
    </font>
    <font>
      <b/>
      <sz val="24"/>
      <name val="Calibri"/>
      <family val="2"/>
      <scheme val="minor"/>
    </font>
  </fonts>
  <fills count="7">
    <fill>
      <patternFill patternType="none"/>
    </fill>
    <fill>
      <patternFill patternType="gray125"/>
    </fill>
    <fill>
      <patternFill patternType="solid">
        <fgColor rgb="FFCCFF99"/>
        <bgColor indexed="64"/>
      </patternFill>
    </fill>
    <fill>
      <patternFill patternType="solid">
        <fgColor theme="0"/>
        <bgColor indexed="64"/>
      </patternFill>
    </fill>
    <fill>
      <patternFill patternType="solid">
        <fgColor rgb="FFFFFFFF"/>
        <bgColor indexed="64"/>
      </patternFill>
    </fill>
    <fill>
      <patternFill patternType="solid">
        <fgColor theme="9"/>
        <bgColor indexed="64"/>
      </patternFill>
    </fill>
    <fill>
      <patternFill patternType="solid">
        <fgColor theme="9" tint="-0.249977111117893"/>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7" fillId="0" borderId="0" applyNumberFormat="0" applyFill="0" applyBorder="0" applyAlignment="0" applyProtection="0"/>
  </cellStyleXfs>
  <cellXfs count="136">
    <xf numFmtId="0" fontId="0" fillId="0" borderId="0" xfId="0"/>
    <xf numFmtId="14" fontId="0" fillId="0" borderId="3" xfId="0" applyNumberFormat="1" applyBorder="1" applyAlignment="1">
      <alignment horizontal="center"/>
    </xf>
    <xf numFmtId="0" fontId="0" fillId="0" borderId="3" xfId="0" applyBorder="1" applyAlignment="1">
      <alignment horizontal="center"/>
    </xf>
    <xf numFmtId="0" fontId="0" fillId="0" borderId="3" xfId="0" applyBorder="1"/>
    <xf numFmtId="0" fontId="8" fillId="0" borderId="3" xfId="0" applyFont="1" applyBorder="1" applyAlignment="1">
      <alignment vertical="center"/>
    </xf>
    <xf numFmtId="0" fontId="8" fillId="0" borderId="3" xfId="0" applyFont="1" applyBorder="1" applyAlignment="1">
      <alignment horizontal="center" vertical="center"/>
    </xf>
    <xf numFmtId="17" fontId="8" fillId="0" borderId="3" xfId="0" applyNumberFormat="1" applyFont="1" applyBorder="1" applyAlignment="1">
      <alignment horizontal="center" vertical="center"/>
    </xf>
    <xf numFmtId="17" fontId="8" fillId="0" borderId="3" xfId="0" quotePrefix="1" applyNumberFormat="1" applyFont="1" applyBorder="1" applyAlignment="1">
      <alignment horizontal="center" vertical="center"/>
    </xf>
    <xf numFmtId="0" fontId="8" fillId="0" borderId="3" xfId="0" applyFont="1" applyBorder="1" applyAlignment="1">
      <alignment horizontal="left" vertical="justify"/>
    </xf>
    <xf numFmtId="3" fontId="8" fillId="0" borderId="3" xfId="0" applyNumberFormat="1" applyFont="1" applyBorder="1" applyAlignment="1">
      <alignment horizontal="center" vertical="center"/>
    </xf>
    <xf numFmtId="0" fontId="8" fillId="0" borderId="3" xfId="0" applyFont="1" applyBorder="1" applyAlignment="1">
      <alignment horizontal="left" vertical="justify" wrapText="1"/>
    </xf>
    <xf numFmtId="0" fontId="0" fillId="0" borderId="0" xfId="0" applyAlignment="1">
      <alignment vertical="top" wrapText="1"/>
    </xf>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vertical="center"/>
    </xf>
    <xf numFmtId="0" fontId="0" fillId="0" borderId="0" xfId="0" applyAlignment="1">
      <alignment horizontal="left" vertical="top" wrapText="1"/>
    </xf>
    <xf numFmtId="0" fontId="0" fillId="0" borderId="3" xfId="0" applyBorder="1" applyAlignment="1">
      <alignment horizontal="left" vertical="top" wrapText="1"/>
    </xf>
    <xf numFmtId="0" fontId="5" fillId="0" borderId="3" xfId="0" applyFont="1" applyBorder="1" applyAlignment="1">
      <alignment horizontal="left" vertical="top" wrapText="1"/>
    </xf>
    <xf numFmtId="14" fontId="5" fillId="0" borderId="3" xfId="0" applyNumberFormat="1" applyFont="1" applyBorder="1" applyAlignment="1">
      <alignment horizontal="left" vertical="top" wrapText="1"/>
    </xf>
    <xf numFmtId="0" fontId="6" fillId="0" borderId="3" xfId="0" applyFont="1" applyBorder="1" applyAlignment="1">
      <alignment horizontal="left" vertical="top" wrapText="1"/>
    </xf>
    <xf numFmtId="164" fontId="0" fillId="0" borderId="3" xfId="1" applyNumberFormat="1" applyFont="1" applyBorder="1" applyAlignment="1">
      <alignment horizontal="left" vertical="top"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15" fontId="6" fillId="2" borderId="6" xfId="0" applyNumberFormat="1" applyFont="1" applyFill="1" applyBorder="1" applyAlignment="1">
      <alignment horizontal="center" vertical="center" wrapText="1"/>
    </xf>
    <xf numFmtId="165" fontId="6" fillId="2" borderId="6" xfId="0" applyNumberFormat="1" applyFont="1" applyFill="1" applyBorder="1" applyAlignment="1">
      <alignment horizontal="center" vertical="center" wrapText="1"/>
    </xf>
    <xf numFmtId="0" fontId="6" fillId="2" borderId="2" xfId="0" applyFont="1" applyFill="1" applyBorder="1" applyAlignment="1" applyProtection="1">
      <alignment horizontal="center" vertical="center" wrapText="1"/>
      <protection locked="0"/>
    </xf>
    <xf numFmtId="0" fontId="0" fillId="0" borderId="0" xfId="0" applyAlignment="1">
      <alignment wrapText="1"/>
    </xf>
    <xf numFmtId="0" fontId="6" fillId="2" borderId="1" xfId="0" applyFont="1" applyFill="1" applyBorder="1" applyAlignment="1">
      <alignment horizontal="center" vertical="center" wrapText="1"/>
    </xf>
    <xf numFmtId="0" fontId="0" fillId="0" borderId="0" xfId="0" applyAlignment="1">
      <alignment horizontal="center" vertical="top"/>
    </xf>
    <xf numFmtId="0" fontId="0" fillId="0" borderId="0" xfId="0" applyAlignment="1">
      <alignment vertical="top"/>
    </xf>
    <xf numFmtId="0" fontId="0" fillId="0" borderId="0" xfId="0" applyAlignment="1">
      <alignment horizontal="left" vertical="top"/>
    </xf>
    <xf numFmtId="0" fontId="2" fillId="0" borderId="0" xfId="0" applyFont="1" applyAlignment="1">
      <alignment horizontal="center" vertical="top"/>
    </xf>
    <xf numFmtId="0" fontId="10" fillId="3" borderId="3" xfId="0" applyFont="1" applyFill="1" applyBorder="1" applyAlignment="1">
      <alignment vertical="top" wrapText="1"/>
    </xf>
    <xf numFmtId="0" fontId="10" fillId="3" borderId="3" xfId="0" applyFont="1" applyFill="1" applyBorder="1" applyAlignment="1">
      <alignment horizontal="left" vertical="top" wrapText="1"/>
    </xf>
    <xf numFmtId="0" fontId="5" fillId="3" borderId="3" xfId="0" applyFont="1" applyFill="1" applyBorder="1" applyAlignment="1">
      <alignment vertical="top" wrapText="1"/>
    </xf>
    <xf numFmtId="0" fontId="0" fillId="3" borderId="3" xfId="0" applyFill="1" applyBorder="1" applyAlignment="1">
      <alignment vertical="top" wrapText="1"/>
    </xf>
    <xf numFmtId="0" fontId="0" fillId="3" borderId="3" xfId="0" applyFill="1" applyBorder="1" applyAlignment="1">
      <alignment horizontal="left" vertical="top" wrapText="1"/>
    </xf>
    <xf numFmtId="14" fontId="6" fillId="0" borderId="3" xfId="0" applyNumberFormat="1" applyFont="1" applyBorder="1" applyAlignment="1">
      <alignment horizontal="left" vertical="top" wrapText="1"/>
    </xf>
    <xf numFmtId="0" fontId="11" fillId="0" borderId="3" xfId="0" applyFont="1" applyBorder="1"/>
    <xf numFmtId="0" fontId="0" fillId="3" borderId="3" xfId="0" applyFill="1" applyBorder="1" applyAlignment="1">
      <alignment horizontal="center" vertical="top" wrapText="1"/>
    </xf>
    <xf numFmtId="0" fontId="0" fillId="0" borderId="1" xfId="0" applyBorder="1" applyAlignment="1">
      <alignment horizontal="left" vertical="top" wrapText="1"/>
    </xf>
    <xf numFmtId="14" fontId="5"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164" fontId="0" fillId="0" borderId="1" xfId="1" applyNumberFormat="1" applyFont="1" applyBorder="1" applyAlignment="1">
      <alignment horizontal="left" vertical="top"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13" fillId="0" borderId="0" xfId="0" applyFont="1" applyBorder="1" applyAlignment="1">
      <alignment horizontal="center" vertical="center" wrapText="1"/>
    </xf>
    <xf numFmtId="0" fontId="12" fillId="0" borderId="0" xfId="0" applyFont="1" applyFill="1" applyBorder="1" applyAlignment="1">
      <alignment horizontal="center" vertical="center" wrapText="1"/>
    </xf>
    <xf numFmtId="14" fontId="12" fillId="0" borderId="0" xfId="0" applyNumberFormat="1" applyFont="1" applyFill="1" applyBorder="1" applyAlignment="1">
      <alignment horizontal="center" vertical="center" wrapText="1"/>
    </xf>
    <xf numFmtId="0" fontId="0" fillId="0" borderId="17" xfId="0" applyBorder="1" applyAlignment="1">
      <alignment vertical="top" wrapText="1"/>
    </xf>
    <xf numFmtId="0" fontId="12" fillId="5" borderId="2" xfId="0" applyFont="1" applyFill="1" applyBorder="1" applyAlignment="1">
      <alignment horizontal="left" vertical="top" wrapText="1"/>
    </xf>
    <xf numFmtId="15" fontId="12" fillId="5" borderId="2" xfId="0" applyNumberFormat="1" applyFont="1" applyFill="1" applyBorder="1" applyAlignment="1">
      <alignment horizontal="left" vertical="top" wrapText="1"/>
    </xf>
    <xf numFmtId="0" fontId="12" fillId="5" borderId="2" xfId="0" applyFont="1" applyFill="1" applyBorder="1" applyAlignment="1" applyProtection="1">
      <alignment horizontal="left" vertical="top" wrapText="1"/>
      <protection locked="0"/>
    </xf>
    <xf numFmtId="0" fontId="12" fillId="5" borderId="3" xfId="0" applyFont="1" applyFill="1" applyBorder="1" applyAlignment="1">
      <alignment horizontal="left" vertical="top" wrapText="1"/>
    </xf>
    <xf numFmtId="0" fontId="12" fillId="5" borderId="9" xfId="0" applyFont="1" applyFill="1" applyBorder="1" applyAlignment="1">
      <alignment horizontal="left" vertical="top" wrapText="1"/>
    </xf>
    <xf numFmtId="0" fontId="12" fillId="5" borderId="10" xfId="0" applyFont="1" applyFill="1" applyBorder="1" applyAlignment="1">
      <alignment horizontal="left" vertical="top" wrapText="1"/>
    </xf>
    <xf numFmtId="15" fontId="12" fillId="5" borderId="10" xfId="0" applyNumberFormat="1" applyFont="1" applyFill="1" applyBorder="1" applyAlignment="1">
      <alignment horizontal="left" vertical="top" wrapText="1"/>
    </xf>
    <xf numFmtId="0" fontId="12" fillId="5" borderId="10" xfId="0" applyFont="1" applyFill="1" applyBorder="1" applyAlignment="1" applyProtection="1">
      <alignment horizontal="left" vertical="top" wrapText="1"/>
      <protection locked="0"/>
    </xf>
    <xf numFmtId="0" fontId="12" fillId="5" borderId="8" xfId="0" applyFont="1" applyFill="1" applyBorder="1" applyAlignment="1">
      <alignment horizontal="left" vertical="top" wrapText="1"/>
    </xf>
    <xf numFmtId="0" fontId="12" fillId="5" borderId="1"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7" xfId="0" applyFont="1" applyFill="1" applyBorder="1" applyAlignment="1">
      <alignment horizontal="left" vertical="top"/>
    </xf>
    <xf numFmtId="0" fontId="12" fillId="5" borderId="1" xfId="0" applyFont="1" applyFill="1" applyBorder="1" applyAlignment="1">
      <alignment horizontal="left" vertical="top"/>
    </xf>
    <xf numFmtId="0" fontId="12" fillId="5" borderId="3" xfId="0" applyFont="1" applyFill="1" applyBorder="1" applyAlignment="1">
      <alignment horizontal="left" vertical="top"/>
    </xf>
    <xf numFmtId="0" fontId="15" fillId="3" borderId="11"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3" borderId="0" xfId="0" applyFont="1" applyFill="1" applyBorder="1" applyAlignment="1">
      <alignment horizontal="center" vertical="center" wrapText="1"/>
    </xf>
    <xf numFmtId="15" fontId="15" fillId="3" borderId="0" xfId="0" applyNumberFormat="1" applyFont="1" applyFill="1" applyBorder="1" applyAlignment="1">
      <alignment horizontal="center" vertical="center" wrapText="1"/>
    </xf>
    <xf numFmtId="165" fontId="15" fillId="3" borderId="0" xfId="0" applyNumberFormat="1" applyFont="1" applyFill="1" applyBorder="1" applyAlignment="1">
      <alignment horizontal="center" vertical="center" wrapText="1"/>
    </xf>
    <xf numFmtId="0" fontId="10" fillId="3" borderId="3" xfId="0" applyFont="1" applyFill="1" applyBorder="1" applyAlignment="1">
      <alignment horizontal="center" vertical="top" wrapText="1"/>
    </xf>
    <xf numFmtId="0" fontId="5" fillId="3" borderId="3" xfId="0" applyFont="1" applyFill="1" applyBorder="1" applyAlignment="1">
      <alignment horizontal="left" vertical="top" wrapText="1"/>
    </xf>
    <xf numFmtId="0" fontId="0" fillId="0" borderId="3" xfId="0" applyFont="1" applyBorder="1" applyAlignment="1">
      <alignment horizontal="left" vertical="top" wrapText="1"/>
    </xf>
    <xf numFmtId="0" fontId="12" fillId="6" borderId="0" xfId="0" applyFont="1" applyFill="1"/>
    <xf numFmtId="14" fontId="12" fillId="6" borderId="0" xfId="0" applyNumberFormat="1" applyFont="1" applyFill="1" applyAlignment="1">
      <alignment horizontal="center" vertical="top"/>
    </xf>
    <xf numFmtId="14" fontId="12" fillId="6" borderId="0" xfId="0" applyNumberFormat="1" applyFont="1" applyFill="1" applyAlignment="1">
      <alignment vertical="top"/>
    </xf>
    <xf numFmtId="0" fontId="12" fillId="6" borderId="0" xfId="0" applyFont="1" applyFill="1" applyAlignment="1">
      <alignment vertical="top" wrapText="1"/>
    </xf>
    <xf numFmtId="14" fontId="12" fillId="6" borderId="0" xfId="0" applyNumberFormat="1" applyFont="1" applyFill="1" applyAlignment="1">
      <alignment horizontal="center"/>
    </xf>
    <xf numFmtId="0" fontId="12" fillId="6" borderId="6" xfId="0" applyFont="1" applyFill="1" applyBorder="1" applyAlignment="1">
      <alignment horizontal="center" vertical="top" wrapText="1"/>
    </xf>
    <xf numFmtId="0" fontId="12" fillId="6" borderId="2" xfId="0" applyFont="1" applyFill="1" applyBorder="1" applyAlignment="1">
      <alignment horizontal="center" vertical="top" wrapText="1"/>
    </xf>
    <xf numFmtId="15" fontId="12" fillId="6" borderId="2" xfId="0" applyNumberFormat="1" applyFont="1" applyFill="1" applyBorder="1" applyAlignment="1">
      <alignment horizontal="center" vertical="top" wrapText="1"/>
    </xf>
    <xf numFmtId="165" fontId="12" fillId="6" borderId="2" xfId="0" applyNumberFormat="1" applyFont="1" applyFill="1" applyBorder="1" applyAlignment="1">
      <alignment horizontal="center" vertical="top" wrapText="1"/>
    </xf>
    <xf numFmtId="0" fontId="12" fillId="6" borderId="2" xfId="0" applyFont="1" applyFill="1" applyBorder="1" applyAlignment="1" applyProtection="1">
      <alignment horizontal="center" vertical="top" wrapText="1"/>
      <protection locked="0"/>
    </xf>
    <xf numFmtId="0" fontId="12" fillId="6" borderId="9" xfId="0" applyFont="1" applyFill="1" applyBorder="1" applyAlignment="1">
      <alignment horizontal="center" vertical="top" wrapText="1"/>
    </xf>
    <xf numFmtId="0" fontId="12" fillId="6" borderId="10" xfId="0" applyFont="1" applyFill="1" applyBorder="1" applyAlignment="1">
      <alignment horizontal="center" vertical="top" wrapText="1"/>
    </xf>
    <xf numFmtId="15" fontId="12" fillId="6" borderId="10" xfId="0" applyNumberFormat="1" applyFont="1" applyFill="1" applyBorder="1" applyAlignment="1">
      <alignment horizontal="center" vertical="top" wrapText="1"/>
    </xf>
    <xf numFmtId="165" fontId="12" fillId="6" borderId="10" xfId="0" applyNumberFormat="1" applyFont="1" applyFill="1" applyBorder="1" applyAlignment="1">
      <alignment horizontal="center" vertical="top" wrapText="1"/>
    </xf>
    <xf numFmtId="0" fontId="12" fillId="6" borderId="1" xfId="0" applyFont="1" applyFill="1" applyBorder="1" applyAlignment="1">
      <alignment horizontal="center" vertical="top" wrapText="1"/>
    </xf>
    <xf numFmtId="0" fontId="12" fillId="6" borderId="10" xfId="0" applyFont="1" applyFill="1" applyBorder="1" applyAlignment="1" applyProtection="1">
      <alignment horizontal="center" vertical="top" wrapText="1"/>
      <protection locked="0"/>
    </xf>
    <xf numFmtId="0" fontId="12" fillId="6" borderId="8" xfId="0" applyFont="1" applyFill="1" applyBorder="1" applyAlignment="1" applyProtection="1">
      <alignment horizontal="center" vertical="top" wrapText="1"/>
      <protection locked="0"/>
    </xf>
    <xf numFmtId="14" fontId="0" fillId="3" borderId="3" xfId="0" applyNumberFormat="1" applyFill="1" applyBorder="1" applyAlignment="1">
      <alignment horizontal="center" vertical="top" wrapText="1"/>
    </xf>
    <xf numFmtId="1" fontId="0" fillId="3" borderId="3" xfId="0" applyNumberFormat="1" applyFill="1" applyBorder="1" applyAlignment="1">
      <alignment horizontal="center" vertical="top" wrapText="1"/>
    </xf>
    <xf numFmtId="0" fontId="0" fillId="3" borderId="1" xfId="0" applyFill="1" applyBorder="1" applyAlignment="1">
      <alignment horizontal="center" vertical="top" wrapText="1"/>
    </xf>
    <xf numFmtId="0" fontId="0" fillId="3" borderId="1" xfId="0" applyFill="1" applyBorder="1" applyAlignment="1">
      <alignment vertical="top" wrapText="1"/>
    </xf>
    <xf numFmtId="0" fontId="0" fillId="3" borderId="0" xfId="0" applyFill="1" applyAlignment="1">
      <alignment vertical="top" wrapText="1"/>
    </xf>
    <xf numFmtId="0" fontId="0" fillId="0" borderId="3" xfId="0" applyBorder="1" applyAlignment="1">
      <alignment vertical="top" wrapText="1"/>
    </xf>
    <xf numFmtId="0" fontId="12" fillId="5" borderId="4" xfId="0" applyFont="1" applyFill="1" applyBorder="1" applyAlignment="1">
      <alignment horizontal="center" vertical="center"/>
    </xf>
    <xf numFmtId="0" fontId="0" fillId="0" borderId="3" xfId="0" applyBorder="1" applyAlignment="1">
      <alignment horizontal="center" vertical="center" wrapText="1"/>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14" fontId="5" fillId="0" borderId="3" xfId="0" applyNumberFormat="1" applyFont="1" applyBorder="1" applyAlignment="1">
      <alignment horizontal="center" vertical="center" wrapText="1"/>
    </xf>
    <xf numFmtId="14" fontId="0" fillId="3" borderId="3" xfId="0" applyNumberFormat="1" applyFill="1" applyBorder="1" applyAlignment="1">
      <alignment horizontal="center" vertical="center" wrapText="1"/>
    </xf>
    <xf numFmtId="14" fontId="5" fillId="0" borderId="1" xfId="0" applyNumberFormat="1" applyFont="1" applyBorder="1" applyAlignment="1">
      <alignment horizontal="center" vertical="center" wrapText="1"/>
    </xf>
    <xf numFmtId="164" fontId="6" fillId="0" borderId="3" xfId="1" applyNumberFormat="1" applyFont="1" applyBorder="1" applyAlignment="1">
      <alignment horizontal="center" vertical="center" wrapText="1"/>
    </xf>
    <xf numFmtId="164" fontId="5" fillId="0" borderId="3" xfId="1" applyNumberFormat="1" applyFont="1" applyBorder="1" applyAlignment="1">
      <alignment horizontal="left" vertical="center" wrapText="1"/>
    </xf>
    <xf numFmtId="164" fontId="6" fillId="0" borderId="3" xfId="1" applyNumberFormat="1" applyFont="1" applyBorder="1" applyAlignment="1">
      <alignment horizontal="left" vertical="center" wrapText="1"/>
    </xf>
    <xf numFmtId="3" fontId="5" fillId="0" borderId="3" xfId="0" applyNumberFormat="1" applyFont="1" applyBorder="1" applyAlignment="1">
      <alignment horizontal="center" vertical="center" wrapText="1"/>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0" fillId="0" borderId="3" xfId="0" applyNumberFormat="1" applyBorder="1" applyAlignment="1">
      <alignment horizontal="center" vertical="center" wrapText="1"/>
    </xf>
    <xf numFmtId="0" fontId="12" fillId="5" borderId="19" xfId="0" applyFont="1" applyFill="1" applyBorder="1" applyAlignment="1">
      <alignment horizontal="center" vertical="center"/>
    </xf>
    <xf numFmtId="6" fontId="11" fillId="0" borderId="3" xfId="0" applyNumberFormat="1" applyFont="1" applyBorder="1"/>
    <xf numFmtId="3" fontId="11" fillId="0" borderId="3" xfId="0" applyNumberFormat="1" applyFont="1" applyBorder="1"/>
    <xf numFmtId="3" fontId="11" fillId="4" borderId="3" xfId="0" applyNumberFormat="1" applyFont="1" applyFill="1" applyBorder="1" applyAlignment="1">
      <alignment horizontal="right" vertical="top" wrapText="1"/>
    </xf>
    <xf numFmtId="0" fontId="10" fillId="3" borderId="0" xfId="0" applyFont="1" applyFill="1" applyBorder="1" applyAlignment="1">
      <alignment vertical="top" wrapText="1"/>
    </xf>
    <xf numFmtId="14" fontId="5" fillId="0" borderId="4" xfId="0" applyNumberFormat="1" applyFont="1" applyBorder="1" applyAlignment="1">
      <alignment horizontal="center" vertical="center" wrapText="1"/>
    </xf>
    <xf numFmtId="14" fontId="6" fillId="0" borderId="1" xfId="0" applyNumberFormat="1" applyFont="1" applyBorder="1" applyAlignment="1">
      <alignment horizontal="left" vertical="top" wrapText="1"/>
    </xf>
    <xf numFmtId="0" fontId="0" fillId="3" borderId="20" xfId="0" applyFill="1" applyBorder="1" applyAlignment="1">
      <alignment vertical="top" wrapText="1"/>
    </xf>
    <xf numFmtId="3" fontId="11" fillId="0" borderId="3" xfId="1" applyNumberFormat="1" applyFont="1" applyBorder="1" applyAlignment="1">
      <alignment horizontal="center" vertical="center" wrapText="1"/>
    </xf>
    <xf numFmtId="3" fontId="11" fillId="0" borderId="0" xfId="0" applyNumberFormat="1" applyFont="1"/>
    <xf numFmtId="0" fontId="14" fillId="0" borderId="12"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2" fillId="5" borderId="4" xfId="0" applyFont="1" applyFill="1" applyBorder="1" applyAlignment="1">
      <alignment horizontal="left" vertical="top"/>
    </xf>
    <xf numFmtId="0" fontId="12" fillId="5" borderId="5" xfId="0" applyFont="1" applyFill="1" applyBorder="1" applyAlignment="1">
      <alignment horizontal="left" vertical="top"/>
    </xf>
    <xf numFmtId="0" fontId="12" fillId="5" borderId="4" xfId="0" applyFont="1" applyFill="1" applyBorder="1" applyAlignment="1">
      <alignment horizontal="center" vertical="center"/>
    </xf>
    <xf numFmtId="0" fontId="12" fillId="5" borderId="5"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13" xfId="0" applyFont="1" applyFill="1" applyBorder="1" applyAlignment="1">
      <alignment horizontal="center" vertical="center"/>
    </xf>
    <xf numFmtId="0" fontId="16" fillId="3" borderId="0" xfId="0" applyFont="1" applyFill="1" applyBorder="1" applyAlignment="1">
      <alignment horizontal="center" vertical="center"/>
    </xf>
    <xf numFmtId="0" fontId="16" fillId="3" borderId="18" xfId="0" applyFont="1" applyFill="1" applyBorder="1" applyAlignment="1">
      <alignment horizontal="center" vertical="center"/>
    </xf>
    <xf numFmtId="0" fontId="16" fillId="3" borderId="15" xfId="0" applyFont="1" applyFill="1" applyBorder="1" applyAlignment="1">
      <alignment horizontal="center" vertical="center"/>
    </xf>
    <xf numFmtId="0" fontId="16" fillId="3" borderId="16" xfId="0" applyFont="1" applyFill="1" applyBorder="1" applyAlignment="1">
      <alignment horizontal="center" vertical="center"/>
    </xf>
  </cellXfs>
  <cellStyles count="3">
    <cellStyle name="Hipervínculo 2" xfId="2"/>
    <cellStyle name="Moneda" xfId="1" builtinId="4"/>
    <cellStyle name="Normal" xfId="0" builtinId="0"/>
  </cellStyles>
  <dxfs count="61">
    <dxf>
      <font>
        <b/>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numFmt numFmtId="19" formatCode="dd/mm/yyyy"/>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164" formatCode="_-&quot;$&quot;\ * #,##0_-;\-&quot;$&quot;\ * #,##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164" formatCode="_-&quot;$&quot;\ * #,##0_-;\-&quot;$&quot;\ * #,##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_-&quot;$&quot;\ * #,##0_-;\-&quot;$&quot;\ * #,##0_-;_-&quot;$&quot;\ *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Helvetica"/>
        <scheme val="none"/>
      </font>
      <numFmt numFmtId="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9" formatCode="dd/mm/yy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9"/>
        </patternFill>
      </fill>
      <alignment horizontal="left" vertical="top" textRotation="0" wrapText="1" indent="0" justifyLastLine="0" shrinkToFit="0" readingOrder="0"/>
      <border diagonalUp="0" diagonalDown="0" outline="0">
        <left style="thin">
          <color indexed="64"/>
        </left>
        <right style="thin">
          <color indexed="64"/>
        </right>
        <top/>
        <bottom/>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fgColor indexed="64"/>
          <bgColor theme="0"/>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9" tint="-0.249977111117893"/>
        </patternFill>
      </fill>
      <alignment horizontal="center" vertical="top"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156092</xdr:colOff>
      <xdr:row>1</xdr:row>
      <xdr:rowOff>40822</xdr:rowOff>
    </xdr:from>
    <xdr:to>
      <xdr:col>1</xdr:col>
      <xdr:colOff>795356</xdr:colOff>
      <xdr:row>5</xdr:row>
      <xdr:rowOff>149679</xdr:rowOff>
    </xdr:to>
    <xdr:pic>
      <xdr:nvPicPr>
        <xdr:cNvPr id="2" name="Imagen 1"/>
        <xdr:cNvPicPr>
          <a:picLocks noChangeAspect="1"/>
        </xdr:cNvPicPr>
      </xdr:nvPicPr>
      <xdr:blipFill>
        <a:blip xmlns:r="http://schemas.openxmlformats.org/officeDocument/2006/relationships" r:embed="rId1"/>
        <a:stretch>
          <a:fillRect/>
        </a:stretch>
      </xdr:blipFill>
      <xdr:spPr>
        <a:xfrm>
          <a:off x="332985" y="244929"/>
          <a:ext cx="639264" cy="8844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81643</xdr:colOff>
      <xdr:row>1</xdr:row>
      <xdr:rowOff>8523</xdr:rowOff>
    </xdr:from>
    <xdr:to>
      <xdr:col>1</xdr:col>
      <xdr:colOff>748393</xdr:colOff>
      <xdr:row>5</xdr:row>
      <xdr:rowOff>149093</xdr:rowOff>
    </xdr:to>
    <xdr:pic>
      <xdr:nvPicPr>
        <xdr:cNvPr id="2" name="Imagen 1"/>
        <xdr:cNvPicPr>
          <a:picLocks noChangeAspect="1"/>
        </xdr:cNvPicPr>
      </xdr:nvPicPr>
      <xdr:blipFill>
        <a:blip xmlns:r="http://schemas.openxmlformats.org/officeDocument/2006/relationships" r:embed="rId1"/>
        <a:stretch>
          <a:fillRect/>
        </a:stretch>
      </xdr:blipFill>
      <xdr:spPr>
        <a:xfrm>
          <a:off x="258536" y="212630"/>
          <a:ext cx="666750" cy="916177"/>
        </a:xfrm>
        <a:prstGeom prst="rect">
          <a:avLst/>
        </a:prstGeom>
      </xdr:spPr>
    </xdr:pic>
    <xdr:clientData/>
  </xdr:twoCellAnchor>
</xdr:wsDr>
</file>

<file path=xl/tables/table1.xml><?xml version="1.0" encoding="utf-8"?>
<table xmlns="http://schemas.openxmlformats.org/spreadsheetml/2006/main" id="1" name="Tabla1" displayName="Tabla1" ref="B11:N120" totalsRowShown="0" headerRowDxfId="60" dataDxfId="58" headerRowBorderDxfId="59" tableBorderDxfId="57" totalsRowBorderDxfId="56">
  <autoFilter ref="B11:N120"/>
  <sortState ref="B12:N120">
    <sortCondition descending="1" ref="B11:B120"/>
  </sortState>
  <tableColumns count="13">
    <tableColumn id="1" name="AÑO " dataDxfId="55"/>
    <tableColumn id="2" name="CONCURSO O LINEA" dataDxfId="54"/>
    <tableColumn id="3" name="CRI" dataDxfId="53"/>
    <tableColumn id="4" name="TÍTULO" dataDxfId="52"/>
    <tableColumn id="5" name="Programas Nacionales" dataDxfId="51"/>
    <tableColumn id="6" name="ID-PERFIL" dataDxfId="50"/>
    <tableColumn id="7" name="Investigador/a Encargado/a" dataDxfId="49"/>
    <tableColumn id="8" name="Ejecutor Principal " dataDxfId="48"/>
    <tableColumn id="9" name="Estado Perfil/Sanción CNE" dataDxfId="47"/>
    <tableColumn id="10" name="Postulado " dataDxfId="46"/>
    <tableColumn id="11" name="Adjudicado" dataDxfId="45"/>
    <tableColumn id="12" name="Comentarios" dataDxfId="44"/>
    <tableColumn id="13" name="Estado en SGPI" dataDxfId="43"/>
  </tableColumns>
  <tableStyleInfo showFirstColumn="0" showLastColumn="0" showRowStripes="1" showColumnStripes="0"/>
</table>
</file>

<file path=xl/tables/table2.xml><?xml version="1.0" encoding="utf-8"?>
<table xmlns="http://schemas.openxmlformats.org/spreadsheetml/2006/main" id="2" name="Tabla2" displayName="Tabla2" ref="B11:AO78" totalsRowShown="0" headerRowDxfId="42" dataDxfId="41" tableBorderDxfId="40">
  <autoFilter ref="B11:AO78"/>
  <sortState ref="B12:AO77">
    <sortCondition descending="1" ref="L11:L77"/>
  </sortState>
  <tableColumns count="40">
    <tableColumn id="1" name="Año de Adjudicación" dataDxfId="39"/>
    <tableColumn id="2" name="Año Postulación" dataDxfId="38"/>
    <tableColumn id="3" name="Fuente Financiamiento" dataDxfId="37"/>
    <tableColumn id="4" name="Concurso o Linea" dataDxfId="36"/>
    <tableColumn id="5" name="CRI" dataDxfId="35"/>
    <tableColumn id="6" name="Titulo Proyecto" dataDxfId="34"/>
    <tableColumn id="7" name="Área Nacional" dataDxfId="33"/>
    <tableColumn id="8" name="Investigador/a Encargado/a" dataDxfId="32"/>
    <tableColumn id="9" name="Ejecutor" dataDxfId="31"/>
    <tableColumn id="10" name="Estado" dataDxfId="30"/>
    <tableColumn id="40" name="ID-PERFIL" dataDxfId="29"/>
    <tableColumn id="11" name="Fecha de Postulación" dataDxfId="28"/>
    <tableColumn id="12" name="Monto solicitado-P" dataDxfId="27" dataCellStyle="Moneda"/>
    <tableColumn id="13" name="Pecuniario-AP" dataDxfId="26" dataCellStyle="Moneda"/>
    <tableColumn id="14" name="No Pecuniario-AP" dataDxfId="25" dataCellStyle="Moneda"/>
    <tableColumn id="41" name="Pecuniario-IP" dataDxfId="24" dataCellStyle="Moneda"/>
    <tableColumn id="15" name="No Pecuniario-IP" dataDxfId="23" dataCellStyle="Moneda"/>
    <tableColumn id="17" name="Costo Total del Proyecto-P" dataDxfId="22" dataCellStyle="Moneda"/>
    <tableColumn id="18" name="Rendibles a la FF" dataDxfId="21" dataCellStyle="Moneda"/>
    <tableColumn id="19" name="Overhead" dataDxfId="20" dataCellStyle="Moneda"/>
    <tableColumn id="20" name="Duración (meses)" dataDxfId="19"/>
    <tableColumn id="21" name="Fecha de Aprobación" dataDxfId="18"/>
    <tableColumn id="22" name="Condiciones de aprobación" dataDxfId="17"/>
    <tableColumn id="23" name="Fecha de Rechazo" dataDxfId="16"/>
    <tableColumn id="24" name="Motivos rechazo" dataDxfId="15"/>
    <tableColumn id="25" name="Fuente de Información" dataDxfId="14"/>
    <tableColumn id="26" name="Codigo Proyecto Fuente financ." dataDxfId="13"/>
    <tableColumn id="27" name="Comentarios" dataDxfId="12"/>
    <tableColumn id="28" name="Monto adjudicado final-A" dataDxfId="11" dataCellStyle="Moneda"/>
    <tableColumn id="29" name="Pecuniario-AA" dataDxfId="10" dataCellStyle="Moneda"/>
    <tableColumn id="30" name="No pecuniario-AA" dataDxfId="9" dataCellStyle="Moneda"/>
    <tableColumn id="31" name="Pecuniario-IA" dataDxfId="8" dataCellStyle="Moneda"/>
    <tableColumn id="32" name="No pecuniario-IA" dataDxfId="7" dataCellStyle="Moneda"/>
    <tableColumn id="33" name="Monto capturado por INIA (overhead)-IA" dataDxfId="6" dataCellStyle="Moneda"/>
    <tableColumn id="34" name="Costo Total del proyecto-A" dataDxfId="5" dataCellStyle="Moneda"/>
    <tableColumn id="35" name="Gastos de administración a rendir" dataDxfId="4" dataCellStyle="Moneda"/>
    <tableColumn id="36" name="Codigo SIP/SGPI" dataDxfId="3"/>
    <tableColumn id="37" name="CONVENIO" dataDxfId="2"/>
    <tableColumn id="38" name="Año tramitación convenio" dataDxfId="1"/>
    <tableColumn id="39" name="Fecha de inicio"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goremaule.cl/goremaulenuevo/images/FIC2019/RESULTADOS%20ETAPA%20TECNICA%20FIC%20-%202019.pdf" TargetMode="External"/><Relationship Id="rId7" Type="http://schemas.openxmlformats.org/officeDocument/2006/relationships/hyperlink" Target="https://inia.a0-raptor.app/issues/USUARIO-289" TargetMode="External"/><Relationship Id="rId12" Type="http://schemas.openxmlformats.org/officeDocument/2006/relationships/comments" Target="../comments1.xml"/><Relationship Id="rId2" Type="http://schemas.openxmlformats.org/officeDocument/2006/relationships/hyperlink" Target="https://www.goremaule.cl/goremaulenuevo/images/FIC2019/RESULTADOS%20ETAPA%20TECNICA%20FIC%20-%202019.pdf" TargetMode="External"/><Relationship Id="rId1" Type="http://schemas.openxmlformats.org/officeDocument/2006/relationships/hyperlink" Target="https://www.conicyt.cl/fondecyt/2018/07/26/concurso-regular-fondecyt-2019/" TargetMode="External"/><Relationship Id="rId6" Type="http://schemas.openxmlformats.org/officeDocument/2006/relationships/hyperlink" Target="http://www.fia.cl/download/convocatorias/2019/concursos/instrumentos_complementarios_convocatoria_nacional_2019/eventos_2019/Resultados_EVR.pdf" TargetMode="External"/><Relationship Id="rId11" Type="http://schemas.openxmlformats.org/officeDocument/2006/relationships/table" Target="../tables/table2.xml"/><Relationship Id="rId5" Type="http://schemas.openxmlformats.org/officeDocument/2006/relationships/hyperlink" Target="https://www.goremaule.cl/goremaulenuevo/images/FIC2019/RESULTADOS%20ETAPA%20TECNICA%20FIC%20-%202019.pdf" TargetMode="External"/><Relationship Id="rId10" Type="http://schemas.openxmlformats.org/officeDocument/2006/relationships/vmlDrawing" Target="../drawings/vmlDrawing1.vml"/><Relationship Id="rId4" Type="http://schemas.openxmlformats.org/officeDocument/2006/relationships/hyperlink" Target="https://www.goremaule.cl/goremaulenuevo/images/FIC2019/RESULTADOS%20ETAPA%20TECNICA%20FIC%20-%202019.pdf"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20"/>
  <sheetViews>
    <sheetView showGridLines="0" zoomScale="70" zoomScaleNormal="70" workbookViewId="0">
      <pane ySplit="7" topLeftCell="A8" activePane="bottomLeft" state="frozen"/>
      <selection activeCell="F1" sqref="F1"/>
      <selection pane="bottomLeft" activeCell="D15" sqref="D15"/>
    </sheetView>
  </sheetViews>
  <sheetFormatPr baseColWidth="10" defaultRowHeight="15" x14ac:dyDescent="0.25"/>
  <cols>
    <col min="1" max="1" width="2.7109375" style="11" customWidth="1"/>
    <col min="2" max="2" width="14.7109375" style="11" customWidth="1"/>
    <col min="3" max="3" width="85.85546875" style="11" customWidth="1"/>
    <col min="4" max="4" width="38.5703125" style="11" customWidth="1"/>
    <col min="5" max="5" width="70.28515625" style="11" customWidth="1"/>
    <col min="6" max="6" width="28.7109375" style="11" customWidth="1"/>
    <col min="7" max="7" width="15.7109375" style="11" customWidth="1"/>
    <col min="8" max="8" width="34.7109375" style="11" customWidth="1"/>
    <col min="9" max="9" width="24.140625" style="11" customWidth="1"/>
    <col min="10" max="10" width="33.28515625" style="11" customWidth="1"/>
    <col min="11" max="11" width="15.5703125" style="11" customWidth="1"/>
    <col min="12" max="12" width="16.28515625" style="11" customWidth="1"/>
    <col min="13" max="13" width="60.5703125" style="11" customWidth="1"/>
    <col min="14" max="14" width="21" style="11" customWidth="1"/>
    <col min="15" max="16384" width="11.42578125" style="11"/>
  </cols>
  <sheetData>
    <row r="1" spans="2:14" ht="15.75" thickBot="1" x14ac:dyDescent="0.3"/>
    <row r="2" spans="2:14" x14ac:dyDescent="0.25">
      <c r="B2" s="45"/>
      <c r="C2" s="122" t="s">
        <v>468</v>
      </c>
      <c r="D2" s="122"/>
      <c r="E2" s="123"/>
    </row>
    <row r="3" spans="2:14" ht="15.75" thickBot="1" x14ac:dyDescent="0.3">
      <c r="B3" s="46"/>
      <c r="C3" s="124"/>
      <c r="D3" s="124"/>
      <c r="E3" s="125"/>
    </row>
    <row r="4" spans="2:14" x14ac:dyDescent="0.25">
      <c r="B4" s="46"/>
      <c r="C4" s="48"/>
      <c r="D4" s="49"/>
      <c r="E4" s="47"/>
    </row>
    <row r="5" spans="2:14" x14ac:dyDescent="0.25">
      <c r="B5" s="46"/>
      <c r="C5" s="48"/>
      <c r="D5" s="49"/>
      <c r="E5" s="47"/>
    </row>
    <row r="6" spans="2:14" ht="15.75" thickBot="1" x14ac:dyDescent="0.3">
      <c r="B6" s="50"/>
    </row>
    <row r="7" spans="2:14" ht="15.75" thickBot="1" x14ac:dyDescent="0.3">
      <c r="B7" s="79" t="s">
        <v>467</v>
      </c>
      <c r="C7" s="80" t="s">
        <v>170</v>
      </c>
      <c r="D7" s="81" t="s">
        <v>8</v>
      </c>
      <c r="E7" s="82" t="s">
        <v>171</v>
      </c>
      <c r="F7" s="80" t="s">
        <v>10</v>
      </c>
      <c r="G7" s="80" t="s">
        <v>457</v>
      </c>
      <c r="H7" s="83" t="s">
        <v>12</v>
      </c>
      <c r="I7" s="83" t="s">
        <v>173</v>
      </c>
      <c r="J7" s="83" t="s">
        <v>174</v>
      </c>
      <c r="K7" s="83" t="s">
        <v>175</v>
      </c>
      <c r="L7" s="83" t="s">
        <v>47</v>
      </c>
      <c r="M7" s="83" t="s">
        <v>176</v>
      </c>
      <c r="N7" s="83" t="s">
        <v>177</v>
      </c>
    </row>
    <row r="8" spans="2:14" ht="15.75" thickTop="1" x14ac:dyDescent="0.25">
      <c r="B8" s="74" t="s">
        <v>362</v>
      </c>
      <c r="C8" s="77"/>
      <c r="D8" s="78">
        <v>46142</v>
      </c>
      <c r="G8"/>
    </row>
    <row r="9" spans="2:14" x14ac:dyDescent="0.25">
      <c r="B9" s="74" t="s">
        <v>360</v>
      </c>
      <c r="C9" s="77"/>
      <c r="D9" s="78" t="s">
        <v>466</v>
      </c>
      <c r="G9"/>
    </row>
    <row r="11" spans="2:14" x14ac:dyDescent="0.25">
      <c r="B11" s="84" t="s">
        <v>467</v>
      </c>
      <c r="C11" s="85" t="s">
        <v>170</v>
      </c>
      <c r="D11" s="86" t="s">
        <v>8</v>
      </c>
      <c r="E11" s="87" t="s">
        <v>171</v>
      </c>
      <c r="F11" s="85" t="s">
        <v>10</v>
      </c>
      <c r="G11" s="88" t="s">
        <v>457</v>
      </c>
      <c r="H11" s="89" t="s">
        <v>12</v>
      </c>
      <c r="I11" s="89" t="s">
        <v>173</v>
      </c>
      <c r="J11" s="89" t="s">
        <v>174</v>
      </c>
      <c r="K11" s="89" t="s">
        <v>175</v>
      </c>
      <c r="L11" s="89" t="s">
        <v>47</v>
      </c>
      <c r="M11" s="89" t="s">
        <v>176</v>
      </c>
      <c r="N11" s="90" t="s">
        <v>177</v>
      </c>
    </row>
    <row r="12" spans="2:14" ht="30" x14ac:dyDescent="0.25">
      <c r="B12" s="39">
        <v>2026</v>
      </c>
      <c r="C12" s="35" t="s">
        <v>533</v>
      </c>
      <c r="D12" s="32" t="s">
        <v>43</v>
      </c>
      <c r="E12" s="35" t="s">
        <v>536</v>
      </c>
      <c r="F12" s="35" t="s">
        <v>404</v>
      </c>
      <c r="G12" s="39">
        <v>1653</v>
      </c>
      <c r="H12" s="35" t="s">
        <v>510</v>
      </c>
      <c r="I12" s="32" t="s">
        <v>46</v>
      </c>
      <c r="J12" s="35" t="s">
        <v>539</v>
      </c>
      <c r="K12" s="35" t="s">
        <v>113</v>
      </c>
      <c r="L12" s="119"/>
      <c r="M12" s="35" t="s">
        <v>76</v>
      </c>
      <c r="N12" s="35" t="s">
        <v>539</v>
      </c>
    </row>
    <row r="13" spans="2:14" ht="45" x14ac:dyDescent="0.25">
      <c r="B13" s="39">
        <v>2026</v>
      </c>
      <c r="C13" s="35" t="s">
        <v>534</v>
      </c>
      <c r="D13" s="32" t="s">
        <v>43</v>
      </c>
      <c r="E13" s="35" t="s">
        <v>537</v>
      </c>
      <c r="F13" s="35" t="s">
        <v>404</v>
      </c>
      <c r="G13" s="39">
        <v>1639</v>
      </c>
      <c r="H13" s="35" t="s">
        <v>411</v>
      </c>
      <c r="I13" s="32" t="s">
        <v>46</v>
      </c>
      <c r="J13" s="35" t="s">
        <v>403</v>
      </c>
      <c r="K13" s="35" t="s">
        <v>93</v>
      </c>
      <c r="L13" s="35"/>
      <c r="M13" s="35" t="s">
        <v>541</v>
      </c>
      <c r="N13" s="35" t="s">
        <v>403</v>
      </c>
    </row>
    <row r="14" spans="2:14" ht="45" x14ac:dyDescent="0.25">
      <c r="B14" s="39">
        <v>2026</v>
      </c>
      <c r="C14" s="35" t="s">
        <v>535</v>
      </c>
      <c r="D14" s="32" t="s">
        <v>43</v>
      </c>
      <c r="E14" s="35" t="s">
        <v>538</v>
      </c>
      <c r="F14" s="35" t="s">
        <v>404</v>
      </c>
      <c r="G14" s="39">
        <v>1626</v>
      </c>
      <c r="H14" s="35" t="s">
        <v>505</v>
      </c>
      <c r="I14" s="32" t="s">
        <v>46</v>
      </c>
      <c r="J14" s="35" t="s">
        <v>403</v>
      </c>
      <c r="K14" s="35" t="s">
        <v>93</v>
      </c>
      <c r="L14" s="35"/>
      <c r="M14" s="35" t="s">
        <v>540</v>
      </c>
      <c r="N14" s="35" t="s">
        <v>403</v>
      </c>
    </row>
    <row r="15" spans="2:14" ht="60" x14ac:dyDescent="0.25">
      <c r="B15" s="39">
        <v>2025</v>
      </c>
      <c r="C15" s="35" t="s">
        <v>520</v>
      </c>
      <c r="D15" s="35" t="s">
        <v>43</v>
      </c>
      <c r="E15" s="35" t="s">
        <v>522</v>
      </c>
      <c r="F15" s="35" t="s">
        <v>404</v>
      </c>
      <c r="G15" s="39">
        <v>1608</v>
      </c>
      <c r="H15" s="35" t="s">
        <v>57</v>
      </c>
      <c r="I15" s="35" t="s">
        <v>46</v>
      </c>
      <c r="J15" s="35" t="s">
        <v>407</v>
      </c>
      <c r="K15" s="35" t="s">
        <v>93</v>
      </c>
      <c r="L15" s="35"/>
      <c r="M15" s="35"/>
      <c r="N15" s="35" t="s">
        <v>403</v>
      </c>
    </row>
    <row r="16" spans="2:14" ht="45" x14ac:dyDescent="0.25">
      <c r="B16" s="39">
        <v>2025</v>
      </c>
      <c r="C16" s="35" t="s">
        <v>520</v>
      </c>
      <c r="D16" s="35" t="s">
        <v>43</v>
      </c>
      <c r="E16" s="35" t="s">
        <v>528</v>
      </c>
      <c r="F16" s="35" t="s">
        <v>395</v>
      </c>
      <c r="G16" s="39">
        <v>1607</v>
      </c>
      <c r="H16" s="35" t="s">
        <v>521</v>
      </c>
      <c r="I16" s="35" t="s">
        <v>46</v>
      </c>
      <c r="J16" s="35" t="s">
        <v>407</v>
      </c>
      <c r="K16" s="35" t="s">
        <v>93</v>
      </c>
      <c r="L16" s="35"/>
      <c r="M16" s="35"/>
      <c r="N16" s="35" t="s">
        <v>403</v>
      </c>
    </row>
    <row r="17" spans="2:14" ht="30" x14ac:dyDescent="0.25">
      <c r="B17" s="39">
        <v>2025</v>
      </c>
      <c r="C17" s="35" t="s">
        <v>516</v>
      </c>
      <c r="D17" s="35" t="s">
        <v>188</v>
      </c>
      <c r="E17" s="35" t="s">
        <v>517</v>
      </c>
      <c r="F17" s="35" t="s">
        <v>404</v>
      </c>
      <c r="G17" s="39">
        <v>1589</v>
      </c>
      <c r="H17" s="35" t="s">
        <v>498</v>
      </c>
      <c r="I17" s="35" t="s">
        <v>46</v>
      </c>
      <c r="J17" s="35" t="s">
        <v>81</v>
      </c>
      <c r="K17" s="35" t="s">
        <v>113</v>
      </c>
      <c r="L17" s="35" t="s">
        <v>416</v>
      </c>
      <c r="M17" s="35"/>
      <c r="N17" s="35" t="s">
        <v>240</v>
      </c>
    </row>
    <row r="18" spans="2:14" ht="30" x14ac:dyDescent="0.25">
      <c r="B18" s="39">
        <v>2025</v>
      </c>
      <c r="C18" s="35" t="s">
        <v>516</v>
      </c>
      <c r="D18" s="35" t="s">
        <v>188</v>
      </c>
      <c r="E18" s="35" t="s">
        <v>517</v>
      </c>
      <c r="F18" s="35" t="s">
        <v>400</v>
      </c>
      <c r="G18" s="39">
        <v>1578</v>
      </c>
      <c r="H18" s="35" t="s">
        <v>434</v>
      </c>
      <c r="I18" s="35" t="s">
        <v>46</v>
      </c>
      <c r="J18" s="35" t="s">
        <v>262</v>
      </c>
      <c r="K18" s="35" t="s">
        <v>113</v>
      </c>
      <c r="L18" s="35" t="s">
        <v>416</v>
      </c>
      <c r="M18" s="35"/>
      <c r="N18" s="35" t="s">
        <v>240</v>
      </c>
    </row>
    <row r="19" spans="2:14" ht="30" x14ac:dyDescent="0.25">
      <c r="B19" s="39">
        <v>2025</v>
      </c>
      <c r="C19" s="35" t="s">
        <v>516</v>
      </c>
      <c r="D19" s="35" t="s">
        <v>188</v>
      </c>
      <c r="E19" s="35" t="s">
        <v>518</v>
      </c>
      <c r="F19" s="35" t="s">
        <v>404</v>
      </c>
      <c r="G19" s="39">
        <v>1577</v>
      </c>
      <c r="H19" s="35" t="s">
        <v>498</v>
      </c>
      <c r="I19" s="35" t="s">
        <v>46</v>
      </c>
      <c r="J19" s="35" t="s">
        <v>262</v>
      </c>
      <c r="K19" s="35" t="s">
        <v>113</v>
      </c>
      <c r="L19" s="35" t="s">
        <v>416</v>
      </c>
      <c r="M19" s="35"/>
      <c r="N19" s="35" t="s">
        <v>240</v>
      </c>
    </row>
    <row r="20" spans="2:14" ht="45" x14ac:dyDescent="0.25">
      <c r="B20" s="39">
        <v>2025</v>
      </c>
      <c r="C20" s="35" t="s">
        <v>501</v>
      </c>
      <c r="D20" s="35" t="s">
        <v>188</v>
      </c>
      <c r="E20" s="35" t="s">
        <v>502</v>
      </c>
      <c r="F20" s="35" t="s">
        <v>404</v>
      </c>
      <c r="G20" s="39">
        <v>1526</v>
      </c>
      <c r="H20" s="35" t="s">
        <v>498</v>
      </c>
      <c r="I20" s="35" t="s">
        <v>46</v>
      </c>
      <c r="J20" s="35" t="s">
        <v>407</v>
      </c>
      <c r="K20" s="35" t="s">
        <v>113</v>
      </c>
      <c r="L20" s="35" t="s">
        <v>47</v>
      </c>
      <c r="M20" s="35"/>
      <c r="N20" s="35" t="s">
        <v>240</v>
      </c>
    </row>
    <row r="21" spans="2:14" ht="30" x14ac:dyDescent="0.25">
      <c r="B21" s="39">
        <v>2026</v>
      </c>
      <c r="C21" s="35" t="s">
        <v>520</v>
      </c>
      <c r="D21" s="35" t="s">
        <v>43</v>
      </c>
      <c r="E21" s="35" t="s">
        <v>478</v>
      </c>
      <c r="F21" s="35" t="s">
        <v>395</v>
      </c>
      <c r="G21" s="39">
        <v>1605</v>
      </c>
      <c r="H21" s="35" t="s">
        <v>141</v>
      </c>
      <c r="I21" s="35" t="s">
        <v>46</v>
      </c>
      <c r="J21" s="35" t="s">
        <v>407</v>
      </c>
      <c r="K21" s="35" t="s">
        <v>113</v>
      </c>
      <c r="L21" s="35"/>
      <c r="M21" s="35" t="s">
        <v>76</v>
      </c>
      <c r="N21" s="35" t="s">
        <v>240</v>
      </c>
    </row>
    <row r="22" spans="2:14" ht="45" x14ac:dyDescent="0.25">
      <c r="B22" s="39">
        <v>2025</v>
      </c>
      <c r="C22" s="35" t="s">
        <v>544</v>
      </c>
      <c r="D22" s="35" t="s">
        <v>188</v>
      </c>
      <c r="E22" s="35" t="s">
        <v>546</v>
      </c>
      <c r="F22" s="35" t="s">
        <v>395</v>
      </c>
      <c r="G22" s="39">
        <v>1520</v>
      </c>
      <c r="H22" s="35" t="s">
        <v>57</v>
      </c>
      <c r="I22" s="35" t="s">
        <v>46</v>
      </c>
      <c r="J22" s="35" t="s">
        <v>542</v>
      </c>
      <c r="K22" s="35" t="s">
        <v>226</v>
      </c>
      <c r="L22" s="35" t="s">
        <v>47</v>
      </c>
      <c r="M22" s="35" t="s">
        <v>513</v>
      </c>
      <c r="N22" s="35" t="s">
        <v>47</v>
      </c>
    </row>
    <row r="23" spans="2:14" ht="30" x14ac:dyDescent="0.25">
      <c r="B23" s="39">
        <v>2026</v>
      </c>
      <c r="C23" s="35" t="s">
        <v>520</v>
      </c>
      <c r="D23" s="35" t="s">
        <v>43</v>
      </c>
      <c r="E23" s="35" t="s">
        <v>530</v>
      </c>
      <c r="F23" s="35" t="s">
        <v>395</v>
      </c>
      <c r="G23" s="39">
        <v>1604</v>
      </c>
      <c r="H23" s="35" t="s">
        <v>529</v>
      </c>
      <c r="I23" s="35" t="s">
        <v>46</v>
      </c>
      <c r="J23" s="35" t="s">
        <v>407</v>
      </c>
      <c r="K23" s="35" t="s">
        <v>113</v>
      </c>
      <c r="L23" s="35"/>
      <c r="M23" s="35" t="s">
        <v>76</v>
      </c>
      <c r="N23" s="35" t="s">
        <v>240</v>
      </c>
    </row>
    <row r="24" spans="2:14" ht="30" x14ac:dyDescent="0.25">
      <c r="B24" s="39">
        <v>2025</v>
      </c>
      <c r="C24" s="35" t="s">
        <v>516</v>
      </c>
      <c r="D24" s="35" t="s">
        <v>43</v>
      </c>
      <c r="E24" s="35" t="s">
        <v>519</v>
      </c>
      <c r="F24" s="35" t="s">
        <v>404</v>
      </c>
      <c r="G24" s="39">
        <v>1593</v>
      </c>
      <c r="H24" s="35" t="s">
        <v>119</v>
      </c>
      <c r="I24" s="35" t="s">
        <v>46</v>
      </c>
      <c r="J24" s="35" t="s">
        <v>407</v>
      </c>
      <c r="K24" s="35" t="s">
        <v>113</v>
      </c>
      <c r="L24" s="35"/>
      <c r="M24" s="35" t="s">
        <v>76</v>
      </c>
      <c r="N24" s="35" t="s">
        <v>240</v>
      </c>
    </row>
    <row r="25" spans="2:14" ht="45" x14ac:dyDescent="0.25">
      <c r="B25" s="39">
        <v>2025</v>
      </c>
      <c r="C25" s="35" t="s">
        <v>501</v>
      </c>
      <c r="D25" s="35" t="s">
        <v>188</v>
      </c>
      <c r="E25" s="35" t="s">
        <v>509</v>
      </c>
      <c r="F25" s="35" t="s">
        <v>400</v>
      </c>
      <c r="G25" s="39">
        <v>1491</v>
      </c>
      <c r="H25" s="35" t="s">
        <v>434</v>
      </c>
      <c r="I25" s="35" t="s">
        <v>46</v>
      </c>
      <c r="J25" s="35" t="s">
        <v>407</v>
      </c>
      <c r="K25" s="35" t="s">
        <v>113</v>
      </c>
      <c r="L25" s="35" t="s">
        <v>416</v>
      </c>
      <c r="M25" s="35"/>
      <c r="N25" s="35" t="s">
        <v>240</v>
      </c>
    </row>
    <row r="26" spans="2:14" ht="30" x14ac:dyDescent="0.25">
      <c r="B26" s="39">
        <v>2025</v>
      </c>
      <c r="C26" s="35" t="s">
        <v>508</v>
      </c>
      <c r="D26" s="35" t="s">
        <v>188</v>
      </c>
      <c r="E26" s="35" t="s">
        <v>511</v>
      </c>
      <c r="F26" s="35" t="s">
        <v>404</v>
      </c>
      <c r="G26" s="39">
        <v>1488</v>
      </c>
      <c r="H26" s="35" t="s">
        <v>498</v>
      </c>
      <c r="I26" s="35" t="s">
        <v>46</v>
      </c>
      <c r="J26" s="35" t="s">
        <v>407</v>
      </c>
      <c r="K26" s="35" t="s">
        <v>93</v>
      </c>
      <c r="L26" s="35"/>
      <c r="M26" s="35"/>
      <c r="N26" s="35" t="s">
        <v>403</v>
      </c>
    </row>
    <row r="27" spans="2:14" ht="30" x14ac:dyDescent="0.25">
      <c r="B27" s="39">
        <v>2025</v>
      </c>
      <c r="C27" s="35" t="s">
        <v>504</v>
      </c>
      <c r="D27" s="35" t="s">
        <v>43</v>
      </c>
      <c r="E27" s="35" t="s">
        <v>503</v>
      </c>
      <c r="F27" s="35" t="s">
        <v>404</v>
      </c>
      <c r="G27" s="39">
        <v>1521</v>
      </c>
      <c r="H27" s="35" t="s">
        <v>505</v>
      </c>
      <c r="I27" s="35" t="s">
        <v>46</v>
      </c>
      <c r="J27" s="35" t="s">
        <v>407</v>
      </c>
      <c r="K27" s="35" t="s">
        <v>113</v>
      </c>
      <c r="L27" s="35" t="s">
        <v>416</v>
      </c>
      <c r="M27" s="35"/>
      <c r="N27" s="35" t="s">
        <v>240</v>
      </c>
    </row>
    <row r="28" spans="2:14" ht="30" x14ac:dyDescent="0.25">
      <c r="B28" s="39">
        <v>2025</v>
      </c>
      <c r="C28" s="35" t="s">
        <v>504</v>
      </c>
      <c r="D28" s="35" t="s">
        <v>43</v>
      </c>
      <c r="E28" s="35" t="s">
        <v>506</v>
      </c>
      <c r="F28" s="35" t="s">
        <v>404</v>
      </c>
      <c r="G28" s="39">
        <v>1519</v>
      </c>
      <c r="H28" s="35" t="s">
        <v>57</v>
      </c>
      <c r="I28" s="35" t="s">
        <v>46</v>
      </c>
      <c r="J28" s="35" t="s">
        <v>407</v>
      </c>
      <c r="K28" s="35" t="s">
        <v>113</v>
      </c>
      <c r="L28" s="35" t="s">
        <v>416</v>
      </c>
      <c r="M28" s="35"/>
      <c r="N28" s="35" t="s">
        <v>240</v>
      </c>
    </row>
    <row r="29" spans="2:14" ht="30" x14ac:dyDescent="0.25">
      <c r="B29" s="39">
        <v>2025</v>
      </c>
      <c r="C29" s="35" t="s">
        <v>508</v>
      </c>
      <c r="D29" s="35" t="s">
        <v>43</v>
      </c>
      <c r="E29" s="35" t="s">
        <v>507</v>
      </c>
      <c r="F29" s="35" t="s">
        <v>404</v>
      </c>
      <c r="G29" s="39">
        <v>1511</v>
      </c>
      <c r="H29" s="35" t="s">
        <v>411</v>
      </c>
      <c r="I29" s="35" t="s">
        <v>46</v>
      </c>
      <c r="J29" s="35" t="s">
        <v>81</v>
      </c>
      <c r="K29" s="35"/>
      <c r="L29" s="35" t="s">
        <v>416</v>
      </c>
      <c r="M29" s="35" t="s">
        <v>514</v>
      </c>
      <c r="N29" s="35" t="s">
        <v>81</v>
      </c>
    </row>
    <row r="30" spans="2:14" ht="30" x14ac:dyDescent="0.25">
      <c r="B30" s="39">
        <v>2025</v>
      </c>
      <c r="C30" s="35" t="s">
        <v>508</v>
      </c>
      <c r="D30" s="35" t="s">
        <v>43</v>
      </c>
      <c r="E30" s="35" t="s">
        <v>512</v>
      </c>
      <c r="F30" s="35" t="s">
        <v>404</v>
      </c>
      <c r="G30" s="39">
        <v>1480</v>
      </c>
      <c r="H30" s="35" t="s">
        <v>510</v>
      </c>
      <c r="I30" s="35" t="s">
        <v>46</v>
      </c>
      <c r="J30" s="35" t="s">
        <v>407</v>
      </c>
      <c r="K30" s="35" t="s">
        <v>113</v>
      </c>
      <c r="L30" s="35"/>
      <c r="M30" s="35"/>
      <c r="N30" s="35" t="s">
        <v>240</v>
      </c>
    </row>
    <row r="31" spans="2:14" ht="45" x14ac:dyDescent="0.25">
      <c r="B31" s="39">
        <v>2025</v>
      </c>
      <c r="C31" s="35" t="s">
        <v>481</v>
      </c>
      <c r="D31" s="35" t="s">
        <v>43</v>
      </c>
      <c r="E31" s="35" t="s">
        <v>499</v>
      </c>
      <c r="F31" s="35" t="s">
        <v>404</v>
      </c>
      <c r="G31" s="39">
        <v>1459</v>
      </c>
      <c r="H31" s="35" t="s">
        <v>498</v>
      </c>
      <c r="I31" s="35" t="s">
        <v>46</v>
      </c>
      <c r="J31" s="35" t="s">
        <v>500</v>
      </c>
      <c r="K31" s="35" t="s">
        <v>93</v>
      </c>
      <c r="L31" s="32" t="s">
        <v>416</v>
      </c>
      <c r="M31" s="35" t="s">
        <v>500</v>
      </c>
      <c r="N31" s="35" t="s">
        <v>403</v>
      </c>
    </row>
    <row r="32" spans="2:14" ht="45" x14ac:dyDescent="0.25">
      <c r="B32" s="39">
        <v>2025</v>
      </c>
      <c r="C32" s="35" t="s">
        <v>487</v>
      </c>
      <c r="D32" s="35" t="s">
        <v>43</v>
      </c>
      <c r="E32" s="35" t="s">
        <v>495</v>
      </c>
      <c r="F32" s="35" t="s">
        <v>404</v>
      </c>
      <c r="G32" s="39">
        <v>1457</v>
      </c>
      <c r="H32" s="35" t="s">
        <v>119</v>
      </c>
      <c r="I32" s="35" t="s">
        <v>46</v>
      </c>
      <c r="J32" s="35" t="s">
        <v>407</v>
      </c>
      <c r="K32" s="35" t="s">
        <v>93</v>
      </c>
      <c r="L32" s="32" t="s">
        <v>416</v>
      </c>
      <c r="M32" s="35" t="s">
        <v>494</v>
      </c>
      <c r="N32" s="35" t="s">
        <v>240</v>
      </c>
    </row>
    <row r="33" spans="2:14" ht="45" x14ac:dyDescent="0.25">
      <c r="B33" s="39">
        <v>2025</v>
      </c>
      <c r="C33" s="35" t="s">
        <v>481</v>
      </c>
      <c r="D33" s="35" t="s">
        <v>43</v>
      </c>
      <c r="E33" s="35" t="s">
        <v>491</v>
      </c>
      <c r="F33" s="35" t="s">
        <v>404</v>
      </c>
      <c r="G33" s="39">
        <v>1440</v>
      </c>
      <c r="H33" s="35" t="s">
        <v>57</v>
      </c>
      <c r="I33" s="35" t="s">
        <v>46</v>
      </c>
      <c r="J33" s="35" t="s">
        <v>200</v>
      </c>
      <c r="K33" s="35" t="s">
        <v>113</v>
      </c>
      <c r="L33" s="32" t="s">
        <v>416</v>
      </c>
      <c r="M33" s="35" t="s">
        <v>492</v>
      </c>
      <c r="N33" s="35" t="s">
        <v>240</v>
      </c>
    </row>
    <row r="34" spans="2:14" ht="30" x14ac:dyDescent="0.25">
      <c r="B34" s="39">
        <v>2025</v>
      </c>
      <c r="C34" s="35" t="s">
        <v>481</v>
      </c>
      <c r="D34" s="35" t="s">
        <v>188</v>
      </c>
      <c r="E34" s="35" t="s">
        <v>484</v>
      </c>
      <c r="F34" s="35" t="s">
        <v>400</v>
      </c>
      <c r="G34" s="39">
        <v>1421</v>
      </c>
      <c r="H34" s="35" t="s">
        <v>434</v>
      </c>
      <c r="I34" s="35" t="s">
        <v>46</v>
      </c>
      <c r="J34" s="35" t="s">
        <v>200</v>
      </c>
      <c r="K34" s="35" t="s">
        <v>113</v>
      </c>
      <c r="L34" s="32" t="s">
        <v>416</v>
      </c>
      <c r="M34" s="35" t="s">
        <v>485</v>
      </c>
      <c r="N34" s="35" t="s">
        <v>240</v>
      </c>
    </row>
    <row r="35" spans="2:14" ht="30" x14ac:dyDescent="0.25">
      <c r="B35" s="39">
        <v>2025</v>
      </c>
      <c r="C35" s="35" t="s">
        <v>481</v>
      </c>
      <c r="D35" s="35" t="s">
        <v>43</v>
      </c>
      <c r="E35" s="35" t="s">
        <v>394</v>
      </c>
      <c r="F35" s="35" t="s">
        <v>395</v>
      </c>
      <c r="G35" s="39">
        <v>1438</v>
      </c>
      <c r="H35" s="35" t="s">
        <v>250</v>
      </c>
      <c r="I35" s="35" t="s">
        <v>46</v>
      </c>
      <c r="J35" s="35" t="s">
        <v>200</v>
      </c>
      <c r="K35" s="35" t="s">
        <v>93</v>
      </c>
      <c r="L35" s="32" t="s">
        <v>416</v>
      </c>
      <c r="M35" s="35" t="s">
        <v>482</v>
      </c>
      <c r="N35" s="35" t="s">
        <v>483</v>
      </c>
    </row>
    <row r="36" spans="2:14" ht="30" x14ac:dyDescent="0.25">
      <c r="B36" s="39">
        <v>2025</v>
      </c>
      <c r="C36" s="35" t="s">
        <v>459</v>
      </c>
      <c r="D36" s="35" t="s">
        <v>188</v>
      </c>
      <c r="E36" s="35" t="s">
        <v>462</v>
      </c>
      <c r="F36" s="35" t="s">
        <v>400</v>
      </c>
      <c r="G36" s="39">
        <v>1352</v>
      </c>
      <c r="H36" s="35" t="s">
        <v>434</v>
      </c>
      <c r="I36" s="35" t="s">
        <v>46</v>
      </c>
      <c r="J36" s="35" t="s">
        <v>463</v>
      </c>
      <c r="K36" s="35" t="s">
        <v>93</v>
      </c>
      <c r="L36" s="32" t="s">
        <v>416</v>
      </c>
      <c r="M36" s="35" t="s">
        <v>464</v>
      </c>
      <c r="N36" s="35" t="s">
        <v>403</v>
      </c>
    </row>
    <row r="37" spans="2:14" ht="30" x14ac:dyDescent="0.25">
      <c r="B37" s="39">
        <v>2025</v>
      </c>
      <c r="C37" s="35" t="s">
        <v>460</v>
      </c>
      <c r="D37" s="35" t="s">
        <v>188</v>
      </c>
      <c r="E37" s="35" t="s">
        <v>461</v>
      </c>
      <c r="F37" s="35" t="s">
        <v>400</v>
      </c>
      <c r="G37" s="39">
        <v>1331</v>
      </c>
      <c r="H37" s="35" t="s">
        <v>434</v>
      </c>
      <c r="I37" s="35" t="s">
        <v>46</v>
      </c>
      <c r="J37" s="35" t="s">
        <v>463</v>
      </c>
      <c r="K37" s="35" t="s">
        <v>93</v>
      </c>
      <c r="L37" s="32" t="s">
        <v>416</v>
      </c>
      <c r="M37" s="35" t="s">
        <v>464</v>
      </c>
      <c r="N37" s="35" t="s">
        <v>483</v>
      </c>
    </row>
    <row r="38" spans="2:14" ht="45" x14ac:dyDescent="0.25">
      <c r="B38" s="39">
        <v>2025</v>
      </c>
      <c r="C38" s="35" t="s">
        <v>486</v>
      </c>
      <c r="D38" s="35" t="s">
        <v>43</v>
      </c>
      <c r="E38" s="35" t="s">
        <v>489</v>
      </c>
      <c r="F38" s="35" t="s">
        <v>404</v>
      </c>
      <c r="G38" s="39">
        <v>1429</v>
      </c>
      <c r="H38" s="35" t="s">
        <v>57</v>
      </c>
      <c r="I38" s="35" t="s">
        <v>46</v>
      </c>
      <c r="J38" s="35" t="s">
        <v>200</v>
      </c>
      <c r="K38" s="35" t="s">
        <v>93</v>
      </c>
      <c r="L38" s="32" t="s">
        <v>416</v>
      </c>
      <c r="M38" s="35" t="s">
        <v>490</v>
      </c>
      <c r="N38" s="35" t="s">
        <v>403</v>
      </c>
    </row>
    <row r="39" spans="2:14" ht="30" x14ac:dyDescent="0.25">
      <c r="B39" s="39">
        <v>2025</v>
      </c>
      <c r="C39" s="35" t="s">
        <v>436</v>
      </c>
      <c r="D39" s="35" t="s">
        <v>188</v>
      </c>
      <c r="E39" s="35" t="s">
        <v>438</v>
      </c>
      <c r="F39" s="35" t="s">
        <v>395</v>
      </c>
      <c r="G39" s="39">
        <v>1260</v>
      </c>
      <c r="H39" s="35" t="s">
        <v>250</v>
      </c>
      <c r="I39" s="35" t="s">
        <v>46</v>
      </c>
      <c r="J39" s="35" t="s">
        <v>412</v>
      </c>
      <c r="K39" s="35" t="s">
        <v>93</v>
      </c>
      <c r="L39" s="32" t="s">
        <v>416</v>
      </c>
      <c r="M39" s="35" t="s">
        <v>439</v>
      </c>
      <c r="N39" s="35" t="s">
        <v>412</v>
      </c>
    </row>
    <row r="40" spans="2:14" ht="30" x14ac:dyDescent="0.25">
      <c r="B40" s="39">
        <v>2025</v>
      </c>
      <c r="C40" s="35" t="s">
        <v>436</v>
      </c>
      <c r="D40" s="35" t="s">
        <v>188</v>
      </c>
      <c r="E40" s="35" t="s">
        <v>437</v>
      </c>
      <c r="F40" s="35" t="s">
        <v>400</v>
      </c>
      <c r="G40" s="39">
        <v>1256</v>
      </c>
      <c r="H40" s="35" t="s">
        <v>434</v>
      </c>
      <c r="I40" s="35" t="s">
        <v>46</v>
      </c>
      <c r="J40" s="35" t="s">
        <v>407</v>
      </c>
      <c r="K40" s="35"/>
      <c r="L40" s="35"/>
      <c r="M40" s="35"/>
      <c r="N40" s="35" t="s">
        <v>416</v>
      </c>
    </row>
    <row r="41" spans="2:14" ht="60" x14ac:dyDescent="0.25">
      <c r="B41" s="39">
        <v>2025</v>
      </c>
      <c r="C41" s="35" t="s">
        <v>433</v>
      </c>
      <c r="D41" s="35" t="s">
        <v>188</v>
      </c>
      <c r="E41" s="35" t="s">
        <v>435</v>
      </c>
      <c r="F41" s="35" t="s">
        <v>400</v>
      </c>
      <c r="G41" s="39">
        <v>1251</v>
      </c>
      <c r="H41" s="35" t="s">
        <v>434</v>
      </c>
      <c r="I41" s="35" t="s">
        <v>46</v>
      </c>
      <c r="J41" s="35" t="s">
        <v>403</v>
      </c>
      <c r="K41" s="35"/>
      <c r="L41" s="35" t="s">
        <v>416</v>
      </c>
      <c r="M41" s="35" t="s">
        <v>500</v>
      </c>
      <c r="N41" s="35" t="s">
        <v>403</v>
      </c>
    </row>
    <row r="42" spans="2:14" ht="30" x14ac:dyDescent="0.25">
      <c r="B42" s="39">
        <v>2025</v>
      </c>
      <c r="C42" s="35" t="s">
        <v>481</v>
      </c>
      <c r="D42" s="35" t="s">
        <v>43</v>
      </c>
      <c r="E42" s="96" t="s">
        <v>488</v>
      </c>
      <c r="F42" s="35" t="s">
        <v>404</v>
      </c>
      <c r="G42" s="39">
        <v>1427</v>
      </c>
      <c r="H42" s="35" t="s">
        <v>119</v>
      </c>
      <c r="I42" s="35" t="s">
        <v>46</v>
      </c>
      <c r="J42" s="35" t="s">
        <v>200</v>
      </c>
      <c r="K42" s="35" t="s">
        <v>93</v>
      </c>
      <c r="L42" s="32" t="s">
        <v>416</v>
      </c>
      <c r="M42" s="35" t="s">
        <v>493</v>
      </c>
      <c r="N42" s="35" t="s">
        <v>403</v>
      </c>
    </row>
    <row r="43" spans="2:14" ht="30" x14ac:dyDescent="0.25">
      <c r="B43" s="39">
        <v>2025</v>
      </c>
      <c r="C43" s="35" t="s">
        <v>496</v>
      </c>
      <c r="D43" s="35" t="s">
        <v>43</v>
      </c>
      <c r="E43" s="35" t="s">
        <v>497</v>
      </c>
      <c r="F43" s="35" t="s">
        <v>395</v>
      </c>
      <c r="G43" s="39">
        <v>1396</v>
      </c>
      <c r="H43" s="35" t="s">
        <v>141</v>
      </c>
      <c r="I43" s="35" t="s">
        <v>46</v>
      </c>
      <c r="J43" s="35" t="s">
        <v>407</v>
      </c>
      <c r="K43" s="35" t="s">
        <v>113</v>
      </c>
      <c r="L43" s="32" t="s">
        <v>416</v>
      </c>
      <c r="M43" s="35"/>
      <c r="N43" s="35" t="s">
        <v>416</v>
      </c>
    </row>
    <row r="44" spans="2:14" ht="45" x14ac:dyDescent="0.25">
      <c r="B44" s="39">
        <v>2025</v>
      </c>
      <c r="C44" s="35" t="s">
        <v>523</v>
      </c>
      <c r="D44" s="35" t="s">
        <v>43</v>
      </c>
      <c r="E44" s="35" t="s">
        <v>524</v>
      </c>
      <c r="F44" s="35" t="s">
        <v>404</v>
      </c>
      <c r="G44" s="39">
        <v>1297</v>
      </c>
      <c r="H44" s="35" t="s">
        <v>505</v>
      </c>
      <c r="I44" s="35" t="s">
        <v>46</v>
      </c>
      <c r="J44" s="35" t="s">
        <v>407</v>
      </c>
      <c r="K44" s="35" t="s">
        <v>113</v>
      </c>
      <c r="L44" s="32" t="s">
        <v>47</v>
      </c>
      <c r="M44" s="35"/>
      <c r="N44" s="35" t="s">
        <v>47</v>
      </c>
    </row>
    <row r="45" spans="2:14" ht="30" x14ac:dyDescent="0.25">
      <c r="B45" s="39">
        <v>2025</v>
      </c>
      <c r="C45" s="35" t="s">
        <v>423</v>
      </c>
      <c r="D45" s="35" t="s">
        <v>43</v>
      </c>
      <c r="E45" s="35" t="s">
        <v>427</v>
      </c>
      <c r="F45" s="35" t="s">
        <v>404</v>
      </c>
      <c r="G45" s="39">
        <v>1243</v>
      </c>
      <c r="H45" s="35" t="s">
        <v>411</v>
      </c>
      <c r="I45" s="35" t="s">
        <v>432</v>
      </c>
      <c r="J45" s="35" t="s">
        <v>407</v>
      </c>
      <c r="K45" s="35" t="s">
        <v>113</v>
      </c>
      <c r="L45" s="32" t="s">
        <v>416</v>
      </c>
      <c r="M45" s="35" t="s">
        <v>429</v>
      </c>
      <c r="N45" s="35" t="s">
        <v>416</v>
      </c>
    </row>
    <row r="46" spans="2:14" ht="30" x14ac:dyDescent="0.25">
      <c r="B46" s="39">
        <v>2024</v>
      </c>
      <c r="C46" s="35" t="s">
        <v>398</v>
      </c>
      <c r="D46" s="35" t="s">
        <v>188</v>
      </c>
      <c r="E46" s="35" t="s">
        <v>399</v>
      </c>
      <c r="F46" s="35" t="s">
        <v>400</v>
      </c>
      <c r="G46" s="39">
        <v>1236</v>
      </c>
      <c r="H46" s="35" t="s">
        <v>250</v>
      </c>
      <c r="I46" s="35" t="s">
        <v>46</v>
      </c>
      <c r="J46" s="35" t="s">
        <v>401</v>
      </c>
      <c r="K46" s="35" t="s">
        <v>93</v>
      </c>
      <c r="L46" s="32" t="s">
        <v>416</v>
      </c>
      <c r="M46" s="35" t="s">
        <v>402</v>
      </c>
      <c r="N46" s="35" t="s">
        <v>403</v>
      </c>
    </row>
    <row r="47" spans="2:14" ht="45" x14ac:dyDescent="0.25">
      <c r="B47" s="39">
        <v>2025</v>
      </c>
      <c r="C47" s="35" t="s">
        <v>422</v>
      </c>
      <c r="D47" s="35" t="s">
        <v>43</v>
      </c>
      <c r="E47" s="35" t="s">
        <v>426</v>
      </c>
      <c r="F47" s="35" t="s">
        <v>404</v>
      </c>
      <c r="G47" s="39">
        <v>1242</v>
      </c>
      <c r="H47" s="35" t="s">
        <v>411</v>
      </c>
      <c r="I47" s="35" t="s">
        <v>431</v>
      </c>
      <c r="J47" s="35" t="s">
        <v>407</v>
      </c>
      <c r="K47" s="35" t="s">
        <v>113</v>
      </c>
      <c r="L47" s="32" t="s">
        <v>416</v>
      </c>
      <c r="M47" s="35" t="s">
        <v>429</v>
      </c>
      <c r="N47" s="35" t="s">
        <v>47</v>
      </c>
    </row>
    <row r="48" spans="2:14" ht="30" x14ac:dyDescent="0.25">
      <c r="B48" s="39">
        <v>2025</v>
      </c>
      <c r="C48" s="35" t="s">
        <v>422</v>
      </c>
      <c r="D48" s="35" t="s">
        <v>43</v>
      </c>
      <c r="E48" s="35" t="s">
        <v>424</v>
      </c>
      <c r="F48" s="35" t="s">
        <v>404</v>
      </c>
      <c r="G48" s="39">
        <v>1241</v>
      </c>
      <c r="H48" s="35" t="s">
        <v>411</v>
      </c>
      <c r="I48" s="35" t="s">
        <v>428</v>
      </c>
      <c r="J48" s="35" t="s">
        <v>407</v>
      </c>
      <c r="K48" s="35" t="s">
        <v>113</v>
      </c>
      <c r="L48" s="32" t="s">
        <v>416</v>
      </c>
      <c r="M48" s="35" t="s">
        <v>429</v>
      </c>
      <c r="N48" s="35" t="s">
        <v>47</v>
      </c>
    </row>
    <row r="49" spans="2:14" ht="45" x14ac:dyDescent="0.25">
      <c r="B49" s="39">
        <v>2025</v>
      </c>
      <c r="C49" s="35" t="s">
        <v>525</v>
      </c>
      <c r="D49" s="35" t="s">
        <v>43</v>
      </c>
      <c r="E49" s="35" t="s">
        <v>526</v>
      </c>
      <c r="F49" s="35" t="s">
        <v>404</v>
      </c>
      <c r="G49" s="39">
        <v>1229</v>
      </c>
      <c r="H49" s="35" t="s">
        <v>505</v>
      </c>
      <c r="I49" s="35" t="s">
        <v>527</v>
      </c>
      <c r="J49" s="35" t="s">
        <v>407</v>
      </c>
      <c r="K49" s="35" t="s">
        <v>113</v>
      </c>
      <c r="L49" s="32" t="s">
        <v>47</v>
      </c>
      <c r="M49" s="35"/>
      <c r="N49" s="35" t="s">
        <v>47</v>
      </c>
    </row>
    <row r="50" spans="2:14" ht="30" x14ac:dyDescent="0.25">
      <c r="B50" s="39">
        <v>2024</v>
      </c>
      <c r="C50" s="35" t="s">
        <v>393</v>
      </c>
      <c r="D50" s="35" t="s">
        <v>188</v>
      </c>
      <c r="E50" s="35" t="s">
        <v>394</v>
      </c>
      <c r="F50" s="35" t="s">
        <v>395</v>
      </c>
      <c r="G50" s="39">
        <v>1203</v>
      </c>
      <c r="H50" s="35" t="s">
        <v>250</v>
      </c>
      <c r="I50" s="35" t="s">
        <v>46</v>
      </c>
      <c r="J50" s="35" t="s">
        <v>257</v>
      </c>
      <c r="K50" s="35" t="s">
        <v>113</v>
      </c>
      <c r="L50" s="35" t="s">
        <v>396</v>
      </c>
      <c r="M50" s="35" t="s">
        <v>397</v>
      </c>
      <c r="N50" s="35" t="s">
        <v>416</v>
      </c>
    </row>
    <row r="51" spans="2:14" ht="30" x14ac:dyDescent="0.25">
      <c r="B51" s="39">
        <v>2024</v>
      </c>
      <c r="C51" s="35" t="s">
        <v>398</v>
      </c>
      <c r="D51" s="35" t="s">
        <v>43</v>
      </c>
      <c r="E51" s="35" t="s">
        <v>425</v>
      </c>
      <c r="F51" s="35" t="s">
        <v>404</v>
      </c>
      <c r="G51" s="39">
        <v>1234</v>
      </c>
      <c r="H51" s="35" t="s">
        <v>119</v>
      </c>
      <c r="I51" s="35" t="s">
        <v>46</v>
      </c>
      <c r="J51" s="35" t="s">
        <v>81</v>
      </c>
      <c r="K51" s="35" t="s">
        <v>93</v>
      </c>
      <c r="L51" s="32" t="s">
        <v>416</v>
      </c>
      <c r="M51" s="35" t="s">
        <v>430</v>
      </c>
      <c r="N51" s="35" t="s">
        <v>81</v>
      </c>
    </row>
    <row r="52" spans="2:14" ht="30" x14ac:dyDescent="0.25">
      <c r="B52" s="39">
        <v>2024</v>
      </c>
      <c r="C52" s="35" t="s">
        <v>393</v>
      </c>
      <c r="D52" s="35" t="s">
        <v>43</v>
      </c>
      <c r="E52" s="35" t="s">
        <v>413</v>
      </c>
      <c r="F52" s="35" t="s">
        <v>404</v>
      </c>
      <c r="G52" s="39">
        <v>1216</v>
      </c>
      <c r="H52" s="35" t="s">
        <v>119</v>
      </c>
      <c r="I52" s="35" t="s">
        <v>46</v>
      </c>
      <c r="J52" s="35" t="s">
        <v>414</v>
      </c>
      <c r="K52" s="35" t="s">
        <v>113</v>
      </c>
      <c r="L52" s="32" t="s">
        <v>416</v>
      </c>
      <c r="M52" s="35" t="s">
        <v>415</v>
      </c>
      <c r="N52" s="35" t="s">
        <v>416</v>
      </c>
    </row>
    <row r="53" spans="2:14" ht="30" x14ac:dyDescent="0.25">
      <c r="B53" s="39">
        <v>2024</v>
      </c>
      <c r="C53" s="35" t="s">
        <v>393</v>
      </c>
      <c r="D53" s="35" t="s">
        <v>43</v>
      </c>
      <c r="E53" s="35" t="s">
        <v>417</v>
      </c>
      <c r="F53" s="35" t="s">
        <v>404</v>
      </c>
      <c r="G53" s="39">
        <v>1211</v>
      </c>
      <c r="H53" s="35" t="s">
        <v>411</v>
      </c>
      <c r="I53" s="35" t="s">
        <v>46</v>
      </c>
      <c r="J53" s="35" t="s">
        <v>416</v>
      </c>
      <c r="K53" s="35" t="s">
        <v>113</v>
      </c>
      <c r="L53" s="32" t="s">
        <v>416</v>
      </c>
      <c r="M53" s="35" t="s">
        <v>415</v>
      </c>
      <c r="N53" s="35" t="s">
        <v>416</v>
      </c>
    </row>
    <row r="54" spans="2:14" ht="45" x14ac:dyDescent="0.25">
      <c r="B54" s="39">
        <v>2024</v>
      </c>
      <c r="C54" s="35" t="s">
        <v>418</v>
      </c>
      <c r="D54" s="35" t="s">
        <v>43</v>
      </c>
      <c r="E54" s="35" t="s">
        <v>419</v>
      </c>
      <c r="F54" s="35" t="s">
        <v>404</v>
      </c>
      <c r="G54" s="39">
        <v>1141</v>
      </c>
      <c r="H54" s="35" t="s">
        <v>250</v>
      </c>
      <c r="I54" s="35" t="s">
        <v>420</v>
      </c>
      <c r="J54" s="35" t="s">
        <v>47</v>
      </c>
      <c r="K54" s="35" t="s">
        <v>113</v>
      </c>
      <c r="L54" s="32" t="s">
        <v>47</v>
      </c>
      <c r="M54" s="35" t="s">
        <v>421</v>
      </c>
      <c r="N54" s="35" t="s">
        <v>47</v>
      </c>
    </row>
    <row r="55" spans="2:14" ht="30" x14ac:dyDescent="0.25">
      <c r="B55" s="92">
        <v>2024</v>
      </c>
      <c r="C55" s="35" t="s">
        <v>406</v>
      </c>
      <c r="D55" s="35" t="s">
        <v>43</v>
      </c>
      <c r="E55" s="35" t="s">
        <v>476</v>
      </c>
      <c r="F55" s="35" t="s">
        <v>395</v>
      </c>
      <c r="G55" s="39">
        <v>1123</v>
      </c>
      <c r="H55" s="35" t="s">
        <v>141</v>
      </c>
      <c r="I55" s="35" t="s">
        <v>46</v>
      </c>
      <c r="J55" s="35" t="s">
        <v>258</v>
      </c>
      <c r="K55" s="35" t="s">
        <v>113</v>
      </c>
      <c r="L55" s="32" t="s">
        <v>416</v>
      </c>
      <c r="M55" s="35" t="s">
        <v>477</v>
      </c>
      <c r="N55" s="35" t="s">
        <v>416</v>
      </c>
    </row>
    <row r="56" spans="2:14" ht="31.5" customHeight="1" x14ac:dyDescent="0.25">
      <c r="B56" s="39">
        <v>2024</v>
      </c>
      <c r="C56" s="35" t="s">
        <v>406</v>
      </c>
      <c r="D56" s="35" t="s">
        <v>43</v>
      </c>
      <c r="E56" s="35" t="s">
        <v>405</v>
      </c>
      <c r="F56" s="35" t="s">
        <v>404</v>
      </c>
      <c r="G56" s="39">
        <v>1121</v>
      </c>
      <c r="H56" s="35" t="s">
        <v>101</v>
      </c>
      <c r="I56" s="35" t="s">
        <v>46</v>
      </c>
      <c r="J56" s="35" t="s">
        <v>407</v>
      </c>
      <c r="K56" s="35" t="s">
        <v>93</v>
      </c>
      <c r="L56" s="32" t="s">
        <v>416</v>
      </c>
      <c r="M56" s="35" t="s">
        <v>408</v>
      </c>
      <c r="N56" s="35" t="s">
        <v>403</v>
      </c>
    </row>
    <row r="57" spans="2:14" ht="45" x14ac:dyDescent="0.25">
      <c r="B57" s="39">
        <v>2024</v>
      </c>
      <c r="C57" s="35" t="s">
        <v>409</v>
      </c>
      <c r="D57" s="35" t="s">
        <v>43</v>
      </c>
      <c r="E57" s="35" t="s">
        <v>410</v>
      </c>
      <c r="F57" s="35" t="s">
        <v>404</v>
      </c>
      <c r="G57" s="39">
        <v>1103</v>
      </c>
      <c r="H57" s="35" t="s">
        <v>411</v>
      </c>
      <c r="I57" s="35" t="s">
        <v>46</v>
      </c>
      <c r="J57" s="35" t="s">
        <v>412</v>
      </c>
      <c r="K57" s="35" t="s">
        <v>93</v>
      </c>
      <c r="L57" s="32" t="s">
        <v>416</v>
      </c>
      <c r="M57" s="35" t="s">
        <v>204</v>
      </c>
      <c r="N57" s="35" t="s">
        <v>262</v>
      </c>
    </row>
    <row r="58" spans="2:14" ht="45" x14ac:dyDescent="0.25">
      <c r="B58" s="39">
        <v>2024</v>
      </c>
      <c r="C58" s="36" t="s">
        <v>370</v>
      </c>
      <c r="D58" s="35" t="s">
        <v>43</v>
      </c>
      <c r="E58" s="36" t="s">
        <v>368</v>
      </c>
      <c r="F58" s="35" t="s">
        <v>242</v>
      </c>
      <c r="G58" s="39">
        <v>1080</v>
      </c>
      <c r="H58" s="35" t="s">
        <v>119</v>
      </c>
      <c r="I58" s="35" t="s">
        <v>46</v>
      </c>
      <c r="J58" s="35" t="s">
        <v>257</v>
      </c>
      <c r="K58" s="35" t="s">
        <v>113</v>
      </c>
      <c r="L58" s="32" t="s">
        <v>416</v>
      </c>
      <c r="M58" s="35" t="s">
        <v>415</v>
      </c>
      <c r="N58" s="35" t="s">
        <v>416</v>
      </c>
    </row>
    <row r="59" spans="2:14" ht="30" x14ac:dyDescent="0.25">
      <c r="B59" s="39">
        <v>2024</v>
      </c>
      <c r="C59" s="36" t="s">
        <v>458</v>
      </c>
      <c r="D59" s="35" t="s">
        <v>43</v>
      </c>
      <c r="E59" s="36" t="s">
        <v>367</v>
      </c>
      <c r="F59" s="35" t="s">
        <v>372</v>
      </c>
      <c r="G59" s="39">
        <v>971</v>
      </c>
      <c r="H59" s="34" t="s">
        <v>57</v>
      </c>
      <c r="I59" s="35" t="s">
        <v>373</v>
      </c>
      <c r="J59" s="35" t="s">
        <v>257</v>
      </c>
      <c r="K59" s="35" t="s">
        <v>113</v>
      </c>
      <c r="L59" s="32" t="s">
        <v>47</v>
      </c>
      <c r="M59" s="35" t="s">
        <v>378</v>
      </c>
      <c r="N59" s="35" t="s">
        <v>47</v>
      </c>
    </row>
    <row r="60" spans="2:14" ht="30" x14ac:dyDescent="0.25">
      <c r="B60" s="39">
        <v>2024</v>
      </c>
      <c r="C60" s="36" t="s">
        <v>369</v>
      </c>
      <c r="D60" s="35" t="s">
        <v>43</v>
      </c>
      <c r="E60" s="36" t="s">
        <v>366</v>
      </c>
      <c r="F60" s="35" t="s">
        <v>372</v>
      </c>
      <c r="G60" s="39">
        <v>965</v>
      </c>
      <c r="H60" s="34" t="s">
        <v>57</v>
      </c>
      <c r="I60" s="35" t="s">
        <v>46</v>
      </c>
      <c r="J60" s="35" t="s">
        <v>257</v>
      </c>
      <c r="K60" s="35" t="s">
        <v>113</v>
      </c>
      <c r="L60" s="32" t="s">
        <v>47</v>
      </c>
      <c r="M60" s="35" t="s">
        <v>375</v>
      </c>
      <c r="N60" s="35" t="s">
        <v>47</v>
      </c>
    </row>
    <row r="61" spans="2:14" ht="30" x14ac:dyDescent="0.25">
      <c r="B61" s="39">
        <v>2024</v>
      </c>
      <c r="C61" s="36" t="s">
        <v>369</v>
      </c>
      <c r="D61" s="35" t="s">
        <v>43</v>
      </c>
      <c r="E61" s="36" t="s">
        <v>365</v>
      </c>
      <c r="F61" s="35" t="s">
        <v>242</v>
      </c>
      <c r="G61" s="39">
        <v>964</v>
      </c>
      <c r="H61" s="34" t="s">
        <v>101</v>
      </c>
      <c r="I61" s="35" t="s">
        <v>371</v>
      </c>
      <c r="J61" s="35" t="s">
        <v>257</v>
      </c>
      <c r="K61" s="35" t="s">
        <v>113</v>
      </c>
      <c r="L61" s="32" t="s">
        <v>47</v>
      </c>
      <c r="M61" s="35" t="s">
        <v>374</v>
      </c>
      <c r="N61" s="35" t="s">
        <v>47</v>
      </c>
    </row>
    <row r="62" spans="2:14" ht="45" x14ac:dyDescent="0.25">
      <c r="B62" s="39">
        <v>2023</v>
      </c>
      <c r="C62" s="35" t="s">
        <v>353</v>
      </c>
      <c r="D62" s="35" t="s">
        <v>43</v>
      </c>
      <c r="E62" s="35" t="s">
        <v>352</v>
      </c>
      <c r="F62" s="32" t="s">
        <v>100</v>
      </c>
      <c r="G62" s="39">
        <v>795</v>
      </c>
      <c r="H62" s="34" t="s">
        <v>101</v>
      </c>
      <c r="I62" s="35" t="s">
        <v>354</v>
      </c>
      <c r="J62" s="35" t="s">
        <v>257</v>
      </c>
      <c r="K62" s="35" t="s">
        <v>113</v>
      </c>
      <c r="L62" s="35"/>
      <c r="M62" s="35" t="s">
        <v>358</v>
      </c>
      <c r="N62" s="35" t="s">
        <v>258</v>
      </c>
    </row>
    <row r="63" spans="2:14" ht="30" x14ac:dyDescent="0.25">
      <c r="B63" s="71">
        <v>2023</v>
      </c>
      <c r="C63" s="32" t="s">
        <v>343</v>
      </c>
      <c r="D63" s="32" t="s">
        <v>43</v>
      </c>
      <c r="E63" s="35" t="s">
        <v>344</v>
      </c>
      <c r="F63" s="32" t="s">
        <v>100</v>
      </c>
      <c r="G63" s="39">
        <v>781</v>
      </c>
      <c r="H63" s="35" t="s">
        <v>345</v>
      </c>
      <c r="I63" s="35" t="s">
        <v>46</v>
      </c>
      <c r="J63" s="35" t="s">
        <v>351</v>
      </c>
      <c r="K63" s="35" t="s">
        <v>113</v>
      </c>
      <c r="L63" s="35"/>
      <c r="M63" s="35" t="s">
        <v>359</v>
      </c>
      <c r="N63" s="35" t="s">
        <v>47</v>
      </c>
    </row>
    <row r="64" spans="2:14" x14ac:dyDescent="0.25">
      <c r="B64" s="71">
        <v>2023</v>
      </c>
      <c r="C64" s="32" t="s">
        <v>343</v>
      </c>
      <c r="D64" s="32" t="s">
        <v>43</v>
      </c>
      <c r="E64" s="35" t="s">
        <v>348</v>
      </c>
      <c r="F64" s="34" t="s">
        <v>349</v>
      </c>
      <c r="G64" s="39">
        <v>777</v>
      </c>
      <c r="H64" s="35" t="s">
        <v>350</v>
      </c>
      <c r="I64" s="35" t="s">
        <v>46</v>
      </c>
      <c r="J64" s="35" t="s">
        <v>262</v>
      </c>
      <c r="K64" s="35" t="s">
        <v>113</v>
      </c>
      <c r="L64" s="32" t="s">
        <v>416</v>
      </c>
      <c r="M64" s="35"/>
      <c r="N64" s="35" t="s">
        <v>258</v>
      </c>
    </row>
    <row r="65" spans="2:14" ht="30" x14ac:dyDescent="0.25">
      <c r="B65" s="71">
        <v>2023</v>
      </c>
      <c r="C65" s="32" t="s">
        <v>343</v>
      </c>
      <c r="D65" s="32" t="s">
        <v>43</v>
      </c>
      <c r="E65" s="35" t="s">
        <v>346</v>
      </c>
      <c r="F65" s="32" t="s">
        <v>100</v>
      </c>
      <c r="G65" s="39">
        <v>775</v>
      </c>
      <c r="H65" s="35" t="s">
        <v>347</v>
      </c>
      <c r="I65" s="35" t="s">
        <v>46</v>
      </c>
      <c r="J65" s="35" t="s">
        <v>351</v>
      </c>
      <c r="K65" s="35" t="s">
        <v>113</v>
      </c>
      <c r="L65" s="35"/>
      <c r="M65" s="35" t="s">
        <v>359</v>
      </c>
      <c r="N65" s="35" t="s">
        <v>258</v>
      </c>
    </row>
    <row r="66" spans="2:14" ht="30" x14ac:dyDescent="0.25">
      <c r="B66" s="71">
        <v>2022</v>
      </c>
      <c r="C66" s="32" t="s">
        <v>263</v>
      </c>
      <c r="D66" s="32" t="s">
        <v>43</v>
      </c>
      <c r="E66" s="35" t="s">
        <v>268</v>
      </c>
      <c r="F66" s="32" t="s">
        <v>100</v>
      </c>
      <c r="G66" s="39" t="s">
        <v>270</v>
      </c>
      <c r="H66" s="35" t="s">
        <v>269</v>
      </c>
      <c r="I66" s="35" t="s">
        <v>46</v>
      </c>
      <c r="J66" s="35" t="s">
        <v>257</v>
      </c>
      <c r="K66" s="35" t="s">
        <v>113</v>
      </c>
      <c r="L66" s="32" t="s">
        <v>47</v>
      </c>
      <c r="M66" s="35"/>
      <c r="N66" s="35" t="s">
        <v>47</v>
      </c>
    </row>
    <row r="67" spans="2:14" ht="45" x14ac:dyDescent="0.25">
      <c r="B67" s="71">
        <v>2021</v>
      </c>
      <c r="C67" s="32" t="s">
        <v>259</v>
      </c>
      <c r="D67" s="32" t="s">
        <v>188</v>
      </c>
      <c r="E67" s="34" t="s">
        <v>260</v>
      </c>
      <c r="F67" s="32" t="s">
        <v>100</v>
      </c>
      <c r="G67" s="71" t="s">
        <v>261</v>
      </c>
      <c r="H67" s="34" t="s">
        <v>101</v>
      </c>
      <c r="I67" s="32" t="s">
        <v>46</v>
      </c>
      <c r="J67" s="32" t="s">
        <v>262</v>
      </c>
      <c r="K67" s="32" t="s">
        <v>93</v>
      </c>
      <c r="L67" s="32" t="s">
        <v>326</v>
      </c>
      <c r="M67" s="32" t="s">
        <v>361</v>
      </c>
      <c r="N67" s="32" t="s">
        <v>262</v>
      </c>
    </row>
    <row r="68" spans="2:14" ht="60" x14ac:dyDescent="0.25">
      <c r="B68" s="71">
        <v>2021</v>
      </c>
      <c r="C68" s="32" t="s">
        <v>246</v>
      </c>
      <c r="D68" s="32" t="s">
        <v>188</v>
      </c>
      <c r="E68" s="34" t="s">
        <v>253</v>
      </c>
      <c r="F68" s="32" t="s">
        <v>248</v>
      </c>
      <c r="G68" s="71" t="s">
        <v>254</v>
      </c>
      <c r="H68" s="34" t="s">
        <v>250</v>
      </c>
      <c r="I68" s="32" t="s">
        <v>46</v>
      </c>
      <c r="J68" s="32" t="s">
        <v>255</v>
      </c>
      <c r="K68" s="32" t="s">
        <v>93</v>
      </c>
      <c r="L68" s="32" t="s">
        <v>134</v>
      </c>
      <c r="M68" s="32" t="s">
        <v>256</v>
      </c>
      <c r="N68" s="32" t="s">
        <v>251</v>
      </c>
    </row>
    <row r="69" spans="2:14" ht="30" customHeight="1" x14ac:dyDescent="0.25">
      <c r="B69" s="71">
        <v>2021</v>
      </c>
      <c r="C69" s="32" t="s">
        <v>246</v>
      </c>
      <c r="D69" s="32" t="s">
        <v>188</v>
      </c>
      <c r="E69" s="34" t="s">
        <v>247</v>
      </c>
      <c r="F69" s="32" t="s">
        <v>248</v>
      </c>
      <c r="G69" s="71" t="s">
        <v>249</v>
      </c>
      <c r="H69" s="34" t="s">
        <v>250</v>
      </c>
      <c r="I69" s="32" t="s">
        <v>46</v>
      </c>
      <c r="J69" s="32" t="s">
        <v>251</v>
      </c>
      <c r="K69" s="32" t="s">
        <v>93</v>
      </c>
      <c r="L69" s="32" t="s">
        <v>134</v>
      </c>
      <c r="M69" s="32" t="s">
        <v>252</v>
      </c>
      <c r="N69" s="32" t="s">
        <v>251</v>
      </c>
    </row>
    <row r="70" spans="2:14" ht="30" customHeight="1" x14ac:dyDescent="0.25">
      <c r="B70" s="39">
        <v>2022</v>
      </c>
      <c r="C70" s="34" t="s">
        <v>321</v>
      </c>
      <c r="D70" s="32" t="s">
        <v>43</v>
      </c>
      <c r="E70" s="34" t="s">
        <v>322</v>
      </c>
      <c r="F70" s="34" t="s">
        <v>202</v>
      </c>
      <c r="G70" s="39">
        <v>597</v>
      </c>
      <c r="H70" s="32" t="s">
        <v>186</v>
      </c>
      <c r="I70" s="35" t="s">
        <v>323</v>
      </c>
      <c r="J70" s="35" t="s">
        <v>262</v>
      </c>
      <c r="K70" s="35"/>
      <c r="L70" s="35"/>
      <c r="M70" s="35"/>
      <c r="N70" s="35" t="s">
        <v>262</v>
      </c>
    </row>
    <row r="71" spans="2:14" ht="30" x14ac:dyDescent="0.25">
      <c r="B71" s="71">
        <v>2021</v>
      </c>
      <c r="C71" s="32" t="s">
        <v>246</v>
      </c>
      <c r="D71" s="32" t="s">
        <v>188</v>
      </c>
      <c r="E71" s="34" t="s">
        <v>160</v>
      </c>
      <c r="F71" s="32" t="s">
        <v>100</v>
      </c>
      <c r="G71" s="71">
        <v>301</v>
      </c>
      <c r="H71" s="35" t="s">
        <v>119</v>
      </c>
      <c r="I71" s="32" t="s">
        <v>46</v>
      </c>
      <c r="J71" s="32" t="s">
        <v>257</v>
      </c>
      <c r="K71" s="32" t="s">
        <v>113</v>
      </c>
      <c r="L71" s="32" t="s">
        <v>416</v>
      </c>
      <c r="M71" s="35"/>
      <c r="N71" s="32" t="s">
        <v>258</v>
      </c>
    </row>
    <row r="72" spans="2:14" ht="45" x14ac:dyDescent="0.25">
      <c r="B72" s="71">
        <v>2021</v>
      </c>
      <c r="C72" s="32" t="s">
        <v>238</v>
      </c>
      <c r="D72" s="32" t="s">
        <v>188</v>
      </c>
      <c r="E72" s="34" t="s">
        <v>244</v>
      </c>
      <c r="F72" s="32" t="s">
        <v>100</v>
      </c>
      <c r="G72" s="71">
        <v>232</v>
      </c>
      <c r="H72" s="35" t="s">
        <v>119</v>
      </c>
      <c r="I72" s="32" t="s">
        <v>46</v>
      </c>
      <c r="J72" s="32" t="s">
        <v>245</v>
      </c>
      <c r="K72" s="32" t="s">
        <v>113</v>
      </c>
      <c r="L72" s="32" t="s">
        <v>324</v>
      </c>
      <c r="M72" s="35" t="s">
        <v>325</v>
      </c>
      <c r="N72" s="32" t="s">
        <v>416</v>
      </c>
    </row>
    <row r="73" spans="2:14" ht="30" x14ac:dyDescent="0.25">
      <c r="B73" s="71">
        <v>2022</v>
      </c>
      <c r="C73" s="34" t="s">
        <v>317</v>
      </c>
      <c r="D73" s="32" t="s">
        <v>43</v>
      </c>
      <c r="E73" s="34" t="s">
        <v>313</v>
      </c>
      <c r="F73" s="32" t="s">
        <v>100</v>
      </c>
      <c r="G73" s="39">
        <v>501</v>
      </c>
      <c r="H73" s="35" t="s">
        <v>119</v>
      </c>
      <c r="I73" s="35" t="s">
        <v>314</v>
      </c>
      <c r="J73" s="35" t="s">
        <v>257</v>
      </c>
      <c r="K73" s="35" t="s">
        <v>113</v>
      </c>
      <c r="L73" s="32" t="s">
        <v>47</v>
      </c>
      <c r="M73" s="35" t="s">
        <v>315</v>
      </c>
      <c r="N73" s="35" t="s">
        <v>47</v>
      </c>
    </row>
    <row r="74" spans="2:14" ht="30" x14ac:dyDescent="0.25">
      <c r="B74" s="71">
        <v>2022</v>
      </c>
      <c r="C74" s="32" t="s">
        <v>263</v>
      </c>
      <c r="D74" s="32" t="s">
        <v>43</v>
      </c>
      <c r="E74" s="35" t="s">
        <v>264</v>
      </c>
      <c r="F74" s="32" t="s">
        <v>100</v>
      </c>
      <c r="G74" s="39">
        <v>495</v>
      </c>
      <c r="H74" s="35" t="s">
        <v>265</v>
      </c>
      <c r="I74" s="35" t="s">
        <v>46</v>
      </c>
      <c r="J74" s="35" t="s">
        <v>257</v>
      </c>
      <c r="K74" s="35" t="s">
        <v>113</v>
      </c>
      <c r="L74" s="32" t="s">
        <v>47</v>
      </c>
      <c r="M74" s="35"/>
      <c r="N74" s="35" t="s">
        <v>47</v>
      </c>
    </row>
    <row r="75" spans="2:14" ht="30" customHeight="1" x14ac:dyDescent="0.2">
      <c r="B75" s="71">
        <v>2021</v>
      </c>
      <c r="C75" s="32" t="s">
        <v>241</v>
      </c>
      <c r="D75" s="32" t="s">
        <v>43</v>
      </c>
      <c r="E75" s="38" t="s">
        <v>447</v>
      </c>
      <c r="F75" s="32" t="s">
        <v>242</v>
      </c>
      <c r="G75" s="71">
        <v>409</v>
      </c>
      <c r="H75" s="34" t="s">
        <v>57</v>
      </c>
      <c r="I75" s="32" t="s">
        <v>46</v>
      </c>
      <c r="J75" s="32" t="s">
        <v>243</v>
      </c>
      <c r="K75" s="32"/>
      <c r="L75" s="32"/>
      <c r="M75" s="35"/>
      <c r="N75" s="32" t="s">
        <v>416</v>
      </c>
    </row>
    <row r="76" spans="2:14" ht="60" x14ac:dyDescent="0.25">
      <c r="B76" s="71">
        <v>2021</v>
      </c>
      <c r="C76" s="32" t="s">
        <v>238</v>
      </c>
      <c r="D76" s="32" t="s">
        <v>43</v>
      </c>
      <c r="E76" s="34" t="s">
        <v>239</v>
      </c>
      <c r="F76" s="32" t="s">
        <v>100</v>
      </c>
      <c r="G76" s="71">
        <v>212</v>
      </c>
      <c r="H76" s="34" t="s">
        <v>57</v>
      </c>
      <c r="I76" s="32" t="s">
        <v>46</v>
      </c>
      <c r="J76" s="32" t="s">
        <v>340</v>
      </c>
      <c r="K76" s="32" t="s">
        <v>113</v>
      </c>
      <c r="L76" s="32" t="s">
        <v>416</v>
      </c>
      <c r="M76" s="35"/>
      <c r="N76" s="32" t="s">
        <v>258</v>
      </c>
    </row>
    <row r="77" spans="2:14" ht="30" x14ac:dyDescent="0.25">
      <c r="B77" s="71">
        <v>2021</v>
      </c>
      <c r="C77" s="32" t="s">
        <v>236</v>
      </c>
      <c r="D77" s="32" t="s">
        <v>43</v>
      </c>
      <c r="E77" s="34" t="s">
        <v>152</v>
      </c>
      <c r="F77" s="32" t="s">
        <v>100</v>
      </c>
      <c r="G77" s="71">
        <v>149</v>
      </c>
      <c r="H77" s="34" t="s">
        <v>57</v>
      </c>
      <c r="I77" s="32" t="s">
        <v>46</v>
      </c>
      <c r="J77" s="32" t="s">
        <v>237</v>
      </c>
      <c r="K77" s="32" t="s">
        <v>113</v>
      </c>
      <c r="L77" s="32" t="s">
        <v>47</v>
      </c>
      <c r="M77" s="35"/>
      <c r="N77" s="32" t="s">
        <v>47</v>
      </c>
    </row>
    <row r="78" spans="2:14" ht="30" x14ac:dyDescent="0.25">
      <c r="B78" s="71">
        <v>2020</v>
      </c>
      <c r="C78" s="32" t="s">
        <v>231</v>
      </c>
      <c r="D78" s="32" t="s">
        <v>43</v>
      </c>
      <c r="E78" s="32" t="s">
        <v>232</v>
      </c>
      <c r="F78" s="32" t="s">
        <v>230</v>
      </c>
      <c r="G78" s="71" t="s">
        <v>181</v>
      </c>
      <c r="H78" s="34" t="s">
        <v>57</v>
      </c>
      <c r="I78" s="32" t="s">
        <v>46</v>
      </c>
      <c r="J78" s="32" t="s">
        <v>233</v>
      </c>
      <c r="K78" s="35"/>
      <c r="L78" s="35"/>
      <c r="M78" s="32" t="s">
        <v>234</v>
      </c>
      <c r="N78" s="32" t="s">
        <v>181</v>
      </c>
    </row>
    <row r="79" spans="2:14" ht="30" x14ac:dyDescent="0.25">
      <c r="B79" s="71">
        <v>2020</v>
      </c>
      <c r="C79" s="32" t="s">
        <v>231</v>
      </c>
      <c r="D79" s="32" t="s">
        <v>43</v>
      </c>
      <c r="E79" s="32" t="s">
        <v>235</v>
      </c>
      <c r="F79" s="32" t="s">
        <v>230</v>
      </c>
      <c r="G79" s="71" t="s">
        <v>181</v>
      </c>
      <c r="H79" s="34" t="s">
        <v>57</v>
      </c>
      <c r="I79" s="32" t="s">
        <v>46</v>
      </c>
      <c r="J79" s="32" t="s">
        <v>233</v>
      </c>
      <c r="K79" s="35"/>
      <c r="L79" s="35"/>
      <c r="M79" s="32" t="s">
        <v>234</v>
      </c>
      <c r="N79" s="32" t="s">
        <v>181</v>
      </c>
    </row>
    <row r="80" spans="2:14" ht="30" x14ac:dyDescent="0.25">
      <c r="B80" s="71">
        <v>2019</v>
      </c>
      <c r="C80" s="32" t="s">
        <v>178</v>
      </c>
      <c r="D80" s="32" t="s">
        <v>43</v>
      </c>
      <c r="E80" s="33" t="s">
        <v>179</v>
      </c>
      <c r="F80" s="32" t="s">
        <v>180</v>
      </c>
      <c r="G80" s="71" t="s">
        <v>181</v>
      </c>
      <c r="H80" s="35" t="s">
        <v>119</v>
      </c>
      <c r="I80" s="32" t="s">
        <v>46</v>
      </c>
      <c r="J80" s="32" t="s">
        <v>182</v>
      </c>
      <c r="K80" s="32" t="s">
        <v>93</v>
      </c>
      <c r="L80" s="32" t="s">
        <v>416</v>
      </c>
      <c r="M80" s="32"/>
      <c r="N80" s="32"/>
    </row>
    <row r="81" spans="2:14" ht="30" x14ac:dyDescent="0.25">
      <c r="B81" s="71">
        <v>2019</v>
      </c>
      <c r="C81" s="32" t="s">
        <v>183</v>
      </c>
      <c r="D81" s="32" t="s">
        <v>43</v>
      </c>
      <c r="E81" s="32" t="s">
        <v>184</v>
      </c>
      <c r="F81" s="32" t="s">
        <v>185</v>
      </c>
      <c r="G81" s="71" t="s">
        <v>181</v>
      </c>
      <c r="H81" s="32" t="s">
        <v>186</v>
      </c>
      <c r="I81" s="32" t="s">
        <v>46</v>
      </c>
      <c r="J81" s="32" t="s">
        <v>187</v>
      </c>
      <c r="K81" s="32" t="s">
        <v>93</v>
      </c>
      <c r="L81" s="32"/>
      <c r="M81" s="32" t="s">
        <v>188</v>
      </c>
      <c r="N81" s="32"/>
    </row>
    <row r="82" spans="2:14" ht="30" x14ac:dyDescent="0.25">
      <c r="B82" s="71">
        <v>2019</v>
      </c>
      <c r="C82" s="32" t="s">
        <v>183</v>
      </c>
      <c r="D82" s="32" t="s">
        <v>43</v>
      </c>
      <c r="E82" s="32" t="s">
        <v>189</v>
      </c>
      <c r="F82" s="32" t="s">
        <v>185</v>
      </c>
      <c r="G82" s="71" t="s">
        <v>181</v>
      </c>
      <c r="H82" s="32" t="s">
        <v>186</v>
      </c>
      <c r="I82" s="32" t="s">
        <v>46</v>
      </c>
      <c r="J82" s="32" t="s">
        <v>187</v>
      </c>
      <c r="K82" s="32" t="s">
        <v>93</v>
      </c>
      <c r="L82" s="32"/>
      <c r="M82" s="32" t="s">
        <v>188</v>
      </c>
      <c r="N82" s="32"/>
    </row>
    <row r="83" spans="2:14" ht="45" x14ac:dyDescent="0.25">
      <c r="B83" s="71">
        <v>2019</v>
      </c>
      <c r="C83" s="32" t="s">
        <v>183</v>
      </c>
      <c r="D83" s="32" t="s">
        <v>43</v>
      </c>
      <c r="E83" s="32" t="s">
        <v>190</v>
      </c>
      <c r="F83" s="32" t="s">
        <v>191</v>
      </c>
      <c r="G83" s="71" t="s">
        <v>181</v>
      </c>
      <c r="H83" s="32" t="s">
        <v>186</v>
      </c>
      <c r="I83" s="32" t="s">
        <v>46</v>
      </c>
      <c r="J83" s="32" t="s">
        <v>187</v>
      </c>
      <c r="K83" s="32" t="s">
        <v>93</v>
      </c>
      <c r="L83" s="32"/>
      <c r="M83" s="32" t="s">
        <v>192</v>
      </c>
      <c r="N83" s="32"/>
    </row>
    <row r="84" spans="2:14" ht="30" x14ac:dyDescent="0.25">
      <c r="B84" s="71">
        <v>2019</v>
      </c>
      <c r="C84" s="32" t="s">
        <v>183</v>
      </c>
      <c r="D84" s="32" t="s">
        <v>43</v>
      </c>
      <c r="E84" s="32" t="s">
        <v>193</v>
      </c>
      <c r="F84" s="34" t="s">
        <v>62</v>
      </c>
      <c r="G84" s="71" t="s">
        <v>181</v>
      </c>
      <c r="H84" s="32" t="s">
        <v>194</v>
      </c>
      <c r="I84" s="32" t="s">
        <v>46</v>
      </c>
      <c r="J84" s="32" t="s">
        <v>187</v>
      </c>
      <c r="K84" s="32" t="s">
        <v>93</v>
      </c>
      <c r="L84" s="32"/>
      <c r="M84" s="32" t="s">
        <v>192</v>
      </c>
      <c r="N84" s="32"/>
    </row>
    <row r="85" spans="2:14" ht="45" x14ac:dyDescent="0.25">
      <c r="B85" s="71">
        <v>2019</v>
      </c>
      <c r="C85" s="32" t="s">
        <v>183</v>
      </c>
      <c r="D85" s="32" t="s">
        <v>43</v>
      </c>
      <c r="E85" s="32" t="s">
        <v>195</v>
      </c>
      <c r="F85" s="34" t="s">
        <v>62</v>
      </c>
      <c r="G85" s="71" t="s">
        <v>181</v>
      </c>
      <c r="H85" s="32" t="s">
        <v>196</v>
      </c>
      <c r="I85" s="32" t="s">
        <v>46</v>
      </c>
      <c r="J85" s="32" t="s">
        <v>187</v>
      </c>
      <c r="K85" s="32" t="s">
        <v>93</v>
      </c>
      <c r="L85" s="32"/>
      <c r="M85" s="32"/>
      <c r="N85" s="32"/>
    </row>
    <row r="86" spans="2:14" ht="30" x14ac:dyDescent="0.25">
      <c r="B86" s="71">
        <v>2019</v>
      </c>
      <c r="C86" s="32" t="s">
        <v>183</v>
      </c>
      <c r="D86" s="32" t="s">
        <v>43</v>
      </c>
      <c r="E86" s="32" t="s">
        <v>197</v>
      </c>
      <c r="F86" s="32" t="s">
        <v>198</v>
      </c>
      <c r="G86" s="71" t="s">
        <v>181</v>
      </c>
      <c r="H86" s="32" t="s">
        <v>199</v>
      </c>
      <c r="I86" s="32" t="s">
        <v>46</v>
      </c>
      <c r="J86" s="32" t="s">
        <v>200</v>
      </c>
      <c r="K86" s="32" t="s">
        <v>113</v>
      </c>
      <c r="L86" s="32" t="s">
        <v>416</v>
      </c>
      <c r="M86" s="32"/>
      <c r="N86" s="32"/>
    </row>
    <row r="87" spans="2:14" ht="30" x14ac:dyDescent="0.25">
      <c r="B87" s="71">
        <v>2019</v>
      </c>
      <c r="C87" s="32" t="s">
        <v>183</v>
      </c>
      <c r="D87" s="32" t="s">
        <v>43</v>
      </c>
      <c r="E87" s="32" t="s">
        <v>201</v>
      </c>
      <c r="F87" s="32" t="s">
        <v>202</v>
      </c>
      <c r="G87" s="71" t="s">
        <v>181</v>
      </c>
      <c r="H87" s="32" t="s">
        <v>203</v>
      </c>
      <c r="I87" s="32" t="s">
        <v>46</v>
      </c>
      <c r="J87" s="32" t="s">
        <v>204</v>
      </c>
      <c r="K87" s="32" t="s">
        <v>93</v>
      </c>
      <c r="L87" s="32"/>
      <c r="M87" s="32"/>
      <c r="N87" s="32"/>
    </row>
    <row r="88" spans="2:14" ht="30" x14ac:dyDescent="0.25">
      <c r="B88" s="71">
        <v>2019</v>
      </c>
      <c r="C88" s="32" t="s">
        <v>183</v>
      </c>
      <c r="D88" s="32" t="s">
        <v>43</v>
      </c>
      <c r="E88" s="116" t="s">
        <v>205</v>
      </c>
      <c r="F88" s="32" t="s">
        <v>185</v>
      </c>
      <c r="G88" s="71" t="s">
        <v>181</v>
      </c>
      <c r="H88" s="32" t="s">
        <v>186</v>
      </c>
      <c r="I88" s="32" t="s">
        <v>46</v>
      </c>
      <c r="J88" s="32" t="s">
        <v>204</v>
      </c>
      <c r="K88" s="32" t="s">
        <v>93</v>
      </c>
      <c r="L88" s="32"/>
      <c r="M88" s="32"/>
      <c r="N88" s="32"/>
    </row>
    <row r="89" spans="2:14" ht="30" customHeight="1" x14ac:dyDescent="0.25">
      <c r="B89" s="71">
        <v>2019</v>
      </c>
      <c r="C89" s="32" t="s">
        <v>183</v>
      </c>
      <c r="D89" s="32" t="s">
        <v>43</v>
      </c>
      <c r="E89" s="32" t="s">
        <v>206</v>
      </c>
      <c r="F89" s="32" t="s">
        <v>198</v>
      </c>
      <c r="G89" s="71" t="s">
        <v>181</v>
      </c>
      <c r="H89" s="32" t="s">
        <v>207</v>
      </c>
      <c r="I89" s="32" t="s">
        <v>46</v>
      </c>
      <c r="J89" s="32" t="s">
        <v>187</v>
      </c>
      <c r="K89" s="32" t="s">
        <v>93</v>
      </c>
      <c r="L89" s="32"/>
      <c r="M89" s="32"/>
      <c r="N89" s="32"/>
    </row>
    <row r="90" spans="2:14" ht="30" x14ac:dyDescent="0.25">
      <c r="B90" s="71">
        <v>2019</v>
      </c>
      <c r="C90" s="32" t="s">
        <v>183</v>
      </c>
      <c r="D90" s="32" t="s">
        <v>43</v>
      </c>
      <c r="E90" s="32" t="s">
        <v>208</v>
      </c>
      <c r="F90" s="32" t="s">
        <v>209</v>
      </c>
      <c r="G90" s="71" t="s">
        <v>181</v>
      </c>
      <c r="H90" s="34" t="s">
        <v>101</v>
      </c>
      <c r="I90" s="32" t="s">
        <v>46</v>
      </c>
      <c r="J90" s="32" t="s">
        <v>200</v>
      </c>
      <c r="K90" s="32" t="s">
        <v>113</v>
      </c>
      <c r="L90" s="32" t="s">
        <v>76</v>
      </c>
      <c r="M90" s="32"/>
      <c r="N90" s="32" t="s">
        <v>47</v>
      </c>
    </row>
    <row r="91" spans="2:14" ht="45" x14ac:dyDescent="0.25">
      <c r="B91" s="71">
        <v>2019</v>
      </c>
      <c r="C91" s="32" t="s">
        <v>183</v>
      </c>
      <c r="D91" s="32" t="s">
        <v>43</v>
      </c>
      <c r="E91" s="32" t="s">
        <v>210</v>
      </c>
      <c r="F91" s="32" t="s">
        <v>202</v>
      </c>
      <c r="G91" s="71" t="s">
        <v>181</v>
      </c>
      <c r="H91" s="32" t="s">
        <v>211</v>
      </c>
      <c r="I91" s="32" t="s">
        <v>46</v>
      </c>
      <c r="J91" s="32" t="s">
        <v>200</v>
      </c>
      <c r="K91" s="32" t="s">
        <v>113</v>
      </c>
      <c r="L91" s="32" t="s">
        <v>416</v>
      </c>
      <c r="M91" s="32"/>
      <c r="N91" s="32" t="s">
        <v>181</v>
      </c>
    </row>
    <row r="92" spans="2:14" ht="30" x14ac:dyDescent="0.25">
      <c r="B92" s="71">
        <v>2019</v>
      </c>
      <c r="C92" s="32" t="s">
        <v>212</v>
      </c>
      <c r="D92" s="32" t="s">
        <v>43</v>
      </c>
      <c r="E92" s="32" t="s">
        <v>213</v>
      </c>
      <c r="F92" s="32" t="s">
        <v>209</v>
      </c>
      <c r="G92" s="71" t="s">
        <v>181</v>
      </c>
      <c r="H92" s="32" t="s">
        <v>214</v>
      </c>
      <c r="I92" s="32" t="s">
        <v>46</v>
      </c>
      <c r="J92" s="32" t="s">
        <v>215</v>
      </c>
      <c r="K92" s="32" t="s">
        <v>113</v>
      </c>
      <c r="L92" s="32" t="s">
        <v>76</v>
      </c>
      <c r="M92" s="32"/>
      <c r="N92" s="32" t="s">
        <v>181</v>
      </c>
    </row>
    <row r="93" spans="2:14" s="95" customFormat="1" ht="30" x14ac:dyDescent="0.25">
      <c r="B93" s="71">
        <v>2019</v>
      </c>
      <c r="C93" s="32" t="s">
        <v>216</v>
      </c>
      <c r="D93" s="32" t="s">
        <v>43</v>
      </c>
      <c r="E93" s="32" t="s">
        <v>217</v>
      </c>
      <c r="F93" s="32" t="s">
        <v>218</v>
      </c>
      <c r="G93" s="71" t="s">
        <v>181</v>
      </c>
      <c r="H93" s="32" t="s">
        <v>219</v>
      </c>
      <c r="I93" s="32" t="s">
        <v>46</v>
      </c>
      <c r="J93" s="32" t="s">
        <v>215</v>
      </c>
      <c r="K93" s="32" t="s">
        <v>113</v>
      </c>
      <c r="L93" s="32" t="s">
        <v>76</v>
      </c>
      <c r="M93" s="35"/>
      <c r="N93" s="32" t="s">
        <v>181</v>
      </c>
    </row>
    <row r="94" spans="2:14" ht="45" x14ac:dyDescent="0.25">
      <c r="B94" s="39">
        <v>2019</v>
      </c>
      <c r="C94" s="32" t="s">
        <v>220</v>
      </c>
      <c r="D94" s="32" t="s">
        <v>43</v>
      </c>
      <c r="E94" s="32" t="s">
        <v>221</v>
      </c>
      <c r="F94" s="32" t="s">
        <v>222</v>
      </c>
      <c r="G94" s="71" t="s">
        <v>181</v>
      </c>
      <c r="H94" s="32" t="s">
        <v>207</v>
      </c>
      <c r="I94" s="32" t="s">
        <v>46</v>
      </c>
      <c r="J94" s="32" t="s">
        <v>200</v>
      </c>
      <c r="K94" s="32" t="s">
        <v>93</v>
      </c>
      <c r="L94" s="32" t="s">
        <v>416</v>
      </c>
      <c r="M94" s="35" t="s">
        <v>223</v>
      </c>
      <c r="N94" s="32" t="s">
        <v>181</v>
      </c>
    </row>
    <row r="95" spans="2:14" ht="30" x14ac:dyDescent="0.25">
      <c r="B95" s="39">
        <v>2019</v>
      </c>
      <c r="C95" s="32" t="s">
        <v>89</v>
      </c>
      <c r="D95" s="32" t="s">
        <v>43</v>
      </c>
      <c r="E95" s="32" t="s">
        <v>224</v>
      </c>
      <c r="F95" s="32" t="s">
        <v>198</v>
      </c>
      <c r="G95" s="71" t="s">
        <v>181</v>
      </c>
      <c r="H95" s="32" t="s">
        <v>207</v>
      </c>
      <c r="I95" s="32" t="s">
        <v>46</v>
      </c>
      <c r="J95" s="32" t="s">
        <v>200</v>
      </c>
      <c r="K95" s="32" t="s">
        <v>226</v>
      </c>
      <c r="L95" s="32" t="s">
        <v>47</v>
      </c>
      <c r="M95" s="35" t="s">
        <v>227</v>
      </c>
      <c r="N95" s="35" t="s">
        <v>47</v>
      </c>
    </row>
    <row r="96" spans="2:14" ht="45" x14ac:dyDescent="0.25">
      <c r="B96" s="71">
        <v>2019</v>
      </c>
      <c r="C96" s="32" t="s">
        <v>228</v>
      </c>
      <c r="D96" s="32" t="s">
        <v>43</v>
      </c>
      <c r="E96" s="32" t="s">
        <v>229</v>
      </c>
      <c r="F96" s="32" t="s">
        <v>230</v>
      </c>
      <c r="G96" s="71" t="s">
        <v>181</v>
      </c>
      <c r="H96" s="34" t="s">
        <v>101</v>
      </c>
      <c r="I96" s="32" t="s">
        <v>46</v>
      </c>
      <c r="J96" s="32" t="s">
        <v>204</v>
      </c>
      <c r="K96" s="32" t="s">
        <v>93</v>
      </c>
      <c r="L96" s="32" t="s">
        <v>416</v>
      </c>
      <c r="M96" s="35"/>
      <c r="N96" s="32" t="s">
        <v>181</v>
      </c>
    </row>
    <row r="97" spans="2:14" x14ac:dyDescent="0.25">
      <c r="B97" s="39"/>
      <c r="C97" s="35"/>
      <c r="D97" s="35"/>
      <c r="E97" s="35"/>
      <c r="F97" s="35"/>
      <c r="G97" s="39"/>
      <c r="H97" s="35"/>
      <c r="I97" s="35"/>
      <c r="J97" s="35"/>
      <c r="K97" s="35"/>
      <c r="L97" s="35"/>
      <c r="M97" s="35"/>
      <c r="N97" s="35"/>
    </row>
    <row r="98" spans="2:14" x14ac:dyDescent="0.25">
      <c r="B98" s="39"/>
      <c r="C98" s="35"/>
      <c r="D98" s="35"/>
      <c r="E98" s="35"/>
      <c r="F98" s="35"/>
      <c r="G98" s="39"/>
      <c r="H98" s="35"/>
      <c r="I98" s="35"/>
      <c r="J98" s="35"/>
      <c r="K98" s="35"/>
      <c r="L98" s="35"/>
      <c r="M98" s="35"/>
      <c r="N98" s="35"/>
    </row>
    <row r="99" spans="2:14" x14ac:dyDescent="0.25">
      <c r="B99" s="39"/>
      <c r="C99" s="35"/>
      <c r="D99" s="35"/>
      <c r="E99" s="35"/>
      <c r="F99" s="35"/>
      <c r="G99" s="39"/>
      <c r="H99" s="35"/>
      <c r="I99" s="35"/>
      <c r="J99" s="35"/>
      <c r="K99" s="35"/>
      <c r="L99" s="35"/>
      <c r="M99" s="35"/>
      <c r="N99" s="35"/>
    </row>
    <row r="100" spans="2:14" x14ac:dyDescent="0.25">
      <c r="B100" s="39"/>
      <c r="C100" s="35"/>
      <c r="D100" s="35"/>
      <c r="E100" s="35"/>
      <c r="F100" s="35"/>
      <c r="G100" s="39"/>
      <c r="H100" s="35"/>
      <c r="I100" s="35"/>
      <c r="J100" s="35"/>
      <c r="K100" s="35"/>
      <c r="L100" s="35"/>
      <c r="M100" s="35"/>
      <c r="N100" s="35"/>
    </row>
    <row r="101" spans="2:14" x14ac:dyDescent="0.25">
      <c r="B101" s="39"/>
      <c r="C101" s="35"/>
      <c r="D101" s="35"/>
      <c r="E101" s="35"/>
      <c r="F101" s="35"/>
      <c r="G101" s="39"/>
      <c r="H101" s="35"/>
      <c r="I101" s="35"/>
      <c r="J101" s="35"/>
      <c r="K101" s="35"/>
      <c r="L101" s="35"/>
      <c r="M101" s="35"/>
      <c r="N101" s="35"/>
    </row>
    <row r="102" spans="2:14" x14ac:dyDescent="0.25">
      <c r="B102" s="39"/>
      <c r="C102" s="35"/>
      <c r="D102" s="35"/>
      <c r="E102" s="35"/>
      <c r="F102" s="35"/>
      <c r="G102" s="39"/>
      <c r="H102" s="35"/>
      <c r="I102" s="35"/>
      <c r="J102" s="35"/>
      <c r="K102" s="35"/>
      <c r="L102" s="35"/>
      <c r="M102" s="35"/>
      <c r="N102" s="35"/>
    </row>
    <row r="103" spans="2:14" x14ac:dyDescent="0.25">
      <c r="B103" s="39"/>
      <c r="C103" s="35"/>
      <c r="D103" s="35"/>
      <c r="E103" s="35"/>
      <c r="F103" s="35"/>
      <c r="G103" s="39"/>
      <c r="H103" s="35"/>
      <c r="I103" s="35"/>
      <c r="J103" s="35"/>
      <c r="K103" s="35"/>
      <c r="L103" s="35"/>
      <c r="M103" s="35"/>
      <c r="N103" s="35"/>
    </row>
    <row r="104" spans="2:14" x14ac:dyDescent="0.25">
      <c r="B104" s="39"/>
      <c r="C104" s="35"/>
      <c r="D104" s="35"/>
      <c r="E104" s="35"/>
      <c r="F104" s="35"/>
      <c r="G104" s="39"/>
      <c r="H104" s="35"/>
      <c r="I104" s="35"/>
      <c r="J104" s="35"/>
      <c r="K104" s="35"/>
      <c r="L104" s="35"/>
      <c r="M104" s="35"/>
      <c r="N104" s="35"/>
    </row>
    <row r="105" spans="2:14" x14ac:dyDescent="0.25">
      <c r="B105" s="39"/>
      <c r="C105" s="35"/>
      <c r="D105" s="35"/>
      <c r="E105" s="35"/>
      <c r="F105" s="35"/>
      <c r="G105" s="39"/>
      <c r="H105" s="35"/>
      <c r="I105" s="35"/>
      <c r="J105" s="35"/>
      <c r="K105" s="35"/>
      <c r="L105" s="35"/>
      <c r="M105" s="35"/>
      <c r="N105" s="35"/>
    </row>
    <row r="106" spans="2:14" x14ac:dyDescent="0.25">
      <c r="B106" s="39"/>
      <c r="C106" s="35"/>
      <c r="D106" s="35"/>
      <c r="E106" s="35"/>
      <c r="F106" s="35"/>
      <c r="G106" s="39"/>
      <c r="H106" s="35"/>
      <c r="I106" s="35"/>
      <c r="J106" s="35"/>
      <c r="K106" s="35"/>
      <c r="L106" s="35"/>
      <c r="M106" s="35"/>
      <c r="N106" s="35"/>
    </row>
    <row r="107" spans="2:14" x14ac:dyDescent="0.25">
      <c r="B107" s="39"/>
      <c r="C107" s="35"/>
      <c r="D107" s="35"/>
      <c r="E107" s="35"/>
      <c r="F107" s="35"/>
      <c r="G107" s="39"/>
      <c r="H107" s="35"/>
      <c r="I107" s="35"/>
      <c r="J107" s="35"/>
      <c r="K107" s="35"/>
      <c r="L107" s="35"/>
      <c r="M107" s="35"/>
      <c r="N107" s="35"/>
    </row>
    <row r="108" spans="2:14" x14ac:dyDescent="0.25">
      <c r="B108" s="39"/>
      <c r="C108" s="35"/>
      <c r="D108" s="35"/>
      <c r="E108" s="35"/>
      <c r="F108" s="35"/>
      <c r="G108" s="39"/>
      <c r="H108" s="35"/>
      <c r="I108" s="35"/>
      <c r="J108" s="35"/>
      <c r="K108" s="35"/>
      <c r="L108" s="35"/>
      <c r="M108" s="35"/>
      <c r="N108" s="35"/>
    </row>
    <row r="109" spans="2:14" x14ac:dyDescent="0.25">
      <c r="B109" s="39"/>
      <c r="C109" s="35"/>
      <c r="D109" s="35"/>
      <c r="E109" s="35"/>
      <c r="F109" s="35"/>
      <c r="G109" s="39"/>
      <c r="H109" s="35"/>
      <c r="I109" s="35"/>
      <c r="J109" s="35"/>
      <c r="K109" s="35"/>
      <c r="L109" s="35"/>
      <c r="M109" s="35"/>
      <c r="N109" s="35"/>
    </row>
    <row r="110" spans="2:14" x14ac:dyDescent="0.25">
      <c r="B110" s="39"/>
      <c r="C110" s="35"/>
      <c r="D110" s="35"/>
      <c r="E110" s="35"/>
      <c r="F110" s="35"/>
      <c r="G110" s="39"/>
      <c r="H110" s="35"/>
      <c r="I110" s="35"/>
      <c r="J110" s="35"/>
      <c r="K110" s="35"/>
      <c r="L110" s="35"/>
      <c r="M110" s="35"/>
      <c r="N110" s="35"/>
    </row>
    <row r="111" spans="2:14" x14ac:dyDescent="0.25">
      <c r="B111" s="39"/>
      <c r="C111" s="35"/>
      <c r="D111" s="35"/>
      <c r="E111" s="35"/>
      <c r="F111" s="35"/>
      <c r="G111" s="39"/>
      <c r="H111" s="35"/>
      <c r="I111" s="35"/>
      <c r="J111" s="35"/>
      <c r="K111" s="35"/>
      <c r="L111" s="35"/>
      <c r="M111" s="35"/>
      <c r="N111" s="35"/>
    </row>
    <row r="112" spans="2:14" x14ac:dyDescent="0.25">
      <c r="B112" s="39"/>
      <c r="C112" s="35"/>
      <c r="D112" s="35"/>
      <c r="E112" s="35"/>
      <c r="F112" s="35"/>
      <c r="G112" s="39"/>
      <c r="H112" s="35"/>
      <c r="I112" s="35"/>
      <c r="J112" s="35"/>
      <c r="K112" s="35"/>
      <c r="L112" s="35"/>
      <c r="M112" s="35"/>
      <c r="N112" s="35"/>
    </row>
    <row r="113" spans="2:14" x14ac:dyDescent="0.25">
      <c r="B113" s="92"/>
      <c r="C113" s="35"/>
      <c r="D113" s="35"/>
      <c r="E113" s="35"/>
      <c r="F113" s="35"/>
      <c r="G113" s="39"/>
      <c r="H113" s="35"/>
      <c r="I113" s="35"/>
      <c r="J113" s="35"/>
      <c r="K113" s="35"/>
      <c r="L113" s="35"/>
      <c r="M113" s="35"/>
      <c r="N113" s="35"/>
    </row>
    <row r="114" spans="2:14" x14ac:dyDescent="0.25">
      <c r="B114" s="39"/>
      <c r="C114" s="35"/>
      <c r="D114" s="35"/>
      <c r="E114" s="35"/>
      <c r="F114" s="35"/>
      <c r="G114" s="39"/>
      <c r="H114" s="35"/>
      <c r="I114" s="35"/>
      <c r="J114" s="35"/>
      <c r="K114" s="35"/>
      <c r="L114" s="35"/>
      <c r="M114" s="35"/>
      <c r="N114" s="35"/>
    </row>
    <row r="115" spans="2:14" x14ac:dyDescent="0.25">
      <c r="B115" s="39"/>
      <c r="C115" s="35"/>
      <c r="D115" s="35"/>
      <c r="E115" s="35"/>
      <c r="F115" s="35"/>
      <c r="G115" s="39"/>
      <c r="H115" s="35"/>
      <c r="I115" s="35"/>
      <c r="J115" s="35"/>
      <c r="K115" s="35"/>
      <c r="L115" s="35"/>
      <c r="M115" s="35"/>
      <c r="N115" s="35"/>
    </row>
    <row r="116" spans="2:14" x14ac:dyDescent="0.25">
      <c r="B116" s="39"/>
      <c r="C116" s="35"/>
      <c r="D116" s="35"/>
      <c r="E116" s="35"/>
      <c r="F116" s="35"/>
      <c r="G116" s="39"/>
      <c r="H116" s="35"/>
      <c r="I116" s="35"/>
      <c r="J116" s="35"/>
      <c r="K116" s="35"/>
      <c r="L116" s="35"/>
      <c r="M116" s="35"/>
      <c r="N116" s="35"/>
    </row>
    <row r="117" spans="2:14" x14ac:dyDescent="0.25">
      <c r="B117" s="39"/>
      <c r="C117" s="35"/>
      <c r="D117" s="35"/>
      <c r="E117" s="35"/>
      <c r="F117" s="35"/>
      <c r="G117" s="39"/>
      <c r="H117" s="35"/>
      <c r="I117" s="35"/>
      <c r="J117" s="35"/>
      <c r="K117" s="35"/>
      <c r="L117" s="35"/>
      <c r="M117" s="35"/>
      <c r="N117" s="35"/>
    </row>
    <row r="118" spans="2:14" x14ac:dyDescent="0.25">
      <c r="B118" s="92"/>
      <c r="C118" s="35"/>
      <c r="D118" s="35"/>
      <c r="E118" s="35"/>
      <c r="F118" s="35"/>
      <c r="G118" s="39"/>
      <c r="H118" s="35"/>
      <c r="I118" s="35"/>
      <c r="J118" s="35"/>
      <c r="K118" s="35"/>
      <c r="L118" s="35"/>
      <c r="M118" s="35"/>
      <c r="N118" s="35"/>
    </row>
    <row r="119" spans="2:14" x14ac:dyDescent="0.25">
      <c r="B119" s="91"/>
      <c r="C119" s="35"/>
      <c r="D119" s="35"/>
      <c r="E119" s="35"/>
      <c r="F119" s="35"/>
      <c r="G119" s="39"/>
      <c r="H119" s="35"/>
      <c r="I119" s="35"/>
      <c r="J119" s="35"/>
      <c r="K119" s="35"/>
      <c r="L119" s="35"/>
      <c r="M119" s="35"/>
      <c r="N119" s="35"/>
    </row>
    <row r="120" spans="2:14" x14ac:dyDescent="0.25">
      <c r="B120" s="93"/>
      <c r="C120" s="94"/>
      <c r="D120" s="94"/>
      <c r="E120" s="94"/>
      <c r="F120" s="94"/>
      <c r="G120" s="93"/>
      <c r="H120" s="94"/>
      <c r="I120" s="94"/>
      <c r="J120" s="94"/>
      <c r="K120" s="94"/>
      <c r="L120" s="94"/>
      <c r="M120" s="94"/>
      <c r="N120" s="94"/>
    </row>
  </sheetData>
  <mergeCells count="1">
    <mergeCell ref="C2:E3"/>
  </mergeCells>
  <phoneticPr fontId="9"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O78"/>
  <sheetViews>
    <sheetView showGridLines="0" tabSelected="1" zoomScale="60" zoomScaleNormal="60" workbookViewId="0">
      <pane ySplit="7" topLeftCell="A8" activePane="bottomLeft" state="frozen"/>
      <selection pane="bottomLeft" activeCell="U1" sqref="U1:AD1048576"/>
    </sheetView>
  </sheetViews>
  <sheetFormatPr baseColWidth="10" defaultRowHeight="15" x14ac:dyDescent="0.25"/>
  <cols>
    <col min="1" max="1" width="2.85546875" customWidth="1"/>
    <col min="2" max="2" width="22.42578125" customWidth="1"/>
    <col min="3" max="3" width="22" customWidth="1"/>
    <col min="4" max="4" width="34.28515625" style="29" customWidth="1"/>
    <col min="5" max="5" width="56.28515625" customWidth="1"/>
    <col min="6" max="6" width="17.28515625" bestFit="1" customWidth="1"/>
    <col min="7" max="7" width="87.28515625" customWidth="1"/>
    <col min="8" max="8" width="36.5703125" bestFit="1" customWidth="1"/>
    <col min="9" max="9" width="34.7109375" customWidth="1"/>
    <col min="10" max="10" width="20.42578125" style="28" customWidth="1"/>
    <col min="11" max="11" width="20.140625" style="29" customWidth="1"/>
    <col min="12" max="12" width="16.7109375" style="29" bestFit="1" customWidth="1"/>
    <col min="13" max="13" width="28.140625" style="28" customWidth="1"/>
    <col min="14" max="14" width="24.85546875" style="12" customWidth="1"/>
    <col min="15" max="15" width="20.140625" style="12" customWidth="1"/>
    <col min="16" max="17" width="23.85546875" style="12" customWidth="1"/>
    <col min="18" max="18" width="22.85546875" style="12" customWidth="1"/>
    <col min="19" max="19" width="34.140625" style="12" customWidth="1"/>
    <col min="20" max="20" width="23.42578125" style="12" bestFit="1" customWidth="1"/>
    <col min="21" max="21" width="18.28515625" style="12" bestFit="1" customWidth="1"/>
    <col min="22" max="22" width="23" style="30" customWidth="1"/>
    <col min="23" max="23" width="27.7109375" customWidth="1"/>
    <col min="24" max="24" width="46.140625" customWidth="1"/>
    <col min="25" max="25" width="24.7109375" customWidth="1"/>
    <col min="26" max="26" width="59.28515625" customWidth="1"/>
    <col min="27" max="27" width="28.7109375" customWidth="1"/>
    <col min="28" max="28" width="39.42578125" customWidth="1"/>
    <col min="29" max="29" width="65.42578125" customWidth="1"/>
    <col min="30" max="30" width="32" style="30" customWidth="1"/>
    <col min="31" max="31" width="20.140625" style="30" customWidth="1"/>
    <col min="32" max="32" width="23.7109375" style="30" customWidth="1"/>
    <col min="33" max="33" width="19.140625" style="30" customWidth="1"/>
    <col min="34" max="34" width="22.7109375" style="30" customWidth="1"/>
    <col min="35" max="35" width="27.28515625" style="30" customWidth="1"/>
    <col min="36" max="36" width="33.85546875" style="30" customWidth="1"/>
    <col min="37" max="37" width="41.28515625" style="30" customWidth="1"/>
    <col min="38" max="38" width="22.42578125" style="29" customWidth="1"/>
    <col min="39" max="39" width="15.7109375" style="29" customWidth="1"/>
    <col min="40" max="40" width="32.28515625" style="29" customWidth="1"/>
    <col min="41" max="41" width="22.5703125" style="29" bestFit="1" customWidth="1"/>
  </cols>
  <sheetData>
    <row r="1" spans="2:41" ht="15.75" thickBot="1" x14ac:dyDescent="0.3"/>
    <row r="2" spans="2:41" x14ac:dyDescent="0.25">
      <c r="B2" s="65"/>
      <c r="C2" s="130" t="s">
        <v>469</v>
      </c>
      <c r="D2" s="130"/>
      <c r="E2" s="130"/>
      <c r="F2" s="130"/>
      <c r="G2" s="131"/>
    </row>
    <row r="3" spans="2:41" x14ac:dyDescent="0.25">
      <c r="B3" s="66"/>
      <c r="C3" s="132"/>
      <c r="D3" s="132"/>
      <c r="E3" s="132"/>
      <c r="F3" s="132"/>
      <c r="G3" s="133"/>
    </row>
    <row r="4" spans="2:41" x14ac:dyDescent="0.25">
      <c r="B4" s="66"/>
      <c r="C4" s="132"/>
      <c r="D4" s="132"/>
      <c r="E4" s="132"/>
      <c r="F4" s="132"/>
      <c r="G4" s="133"/>
    </row>
    <row r="5" spans="2:41" ht="15.75" thickBot="1" x14ac:dyDescent="0.3">
      <c r="B5" s="66"/>
      <c r="C5" s="134"/>
      <c r="D5" s="134"/>
      <c r="E5" s="134"/>
      <c r="F5" s="134"/>
      <c r="G5" s="135"/>
    </row>
    <row r="6" spans="2:41" ht="15.75" thickBot="1" x14ac:dyDescent="0.3">
      <c r="B6" s="67"/>
      <c r="C6" s="68"/>
      <c r="D6" s="68"/>
      <c r="E6" s="69"/>
      <c r="F6" s="70"/>
      <c r="G6" s="68"/>
    </row>
    <row r="7" spans="2:41" s="15" customFormat="1" ht="35.25" customHeight="1" thickBot="1" x14ac:dyDescent="0.3">
      <c r="B7" s="51" t="s">
        <v>480</v>
      </c>
      <c r="C7" s="51" t="s">
        <v>5</v>
      </c>
      <c r="D7" s="51" t="s">
        <v>6</v>
      </c>
      <c r="E7" s="51" t="s">
        <v>7</v>
      </c>
      <c r="F7" s="52" t="s">
        <v>8</v>
      </c>
      <c r="G7" s="51" t="s">
        <v>9</v>
      </c>
      <c r="H7" s="51" t="s">
        <v>11</v>
      </c>
      <c r="I7" s="53" t="s">
        <v>12</v>
      </c>
      <c r="J7" s="51" t="s">
        <v>13</v>
      </c>
      <c r="K7" s="51" t="s">
        <v>177</v>
      </c>
      <c r="L7" s="51" t="s">
        <v>457</v>
      </c>
      <c r="M7" s="51" t="s">
        <v>15</v>
      </c>
      <c r="N7" s="51" t="s">
        <v>16</v>
      </c>
      <c r="O7" s="51" t="s">
        <v>442</v>
      </c>
      <c r="P7" s="51" t="s">
        <v>443</v>
      </c>
      <c r="Q7" s="51" t="s">
        <v>445</v>
      </c>
      <c r="R7" s="51" t="s">
        <v>444</v>
      </c>
      <c r="S7" s="51" t="s">
        <v>20</v>
      </c>
      <c r="T7" s="51" t="s">
        <v>168</v>
      </c>
      <c r="U7" s="51" t="s">
        <v>21</v>
      </c>
      <c r="V7" s="51" t="s">
        <v>22</v>
      </c>
      <c r="W7" s="51" t="s">
        <v>23</v>
      </c>
      <c r="X7" s="51" t="s">
        <v>24</v>
      </c>
      <c r="Y7" s="51" t="s">
        <v>25</v>
      </c>
      <c r="Z7" s="51" t="s">
        <v>26</v>
      </c>
      <c r="AA7" s="51" t="s">
        <v>27</v>
      </c>
      <c r="AB7" s="51" t="s">
        <v>28</v>
      </c>
      <c r="AC7" s="51" t="s">
        <v>176</v>
      </c>
      <c r="AD7" s="51" t="s">
        <v>29</v>
      </c>
      <c r="AE7" s="51" t="s">
        <v>30</v>
      </c>
      <c r="AF7" s="51" t="s">
        <v>31</v>
      </c>
      <c r="AG7" s="51" t="s">
        <v>32</v>
      </c>
      <c r="AH7" s="51" t="s">
        <v>33</v>
      </c>
      <c r="AI7" s="51" t="s">
        <v>34</v>
      </c>
      <c r="AJ7" s="51" t="s">
        <v>35</v>
      </c>
      <c r="AK7" s="51" t="s">
        <v>36</v>
      </c>
      <c r="AL7" s="54" t="s">
        <v>37</v>
      </c>
      <c r="AM7" s="54" t="s">
        <v>38</v>
      </c>
      <c r="AN7" s="54" t="s">
        <v>39</v>
      </c>
      <c r="AO7" s="51" t="s">
        <v>40</v>
      </c>
    </row>
    <row r="8" spans="2:41" ht="15.75" thickTop="1" x14ac:dyDescent="0.25">
      <c r="B8" s="74" t="s">
        <v>312</v>
      </c>
      <c r="C8" s="74"/>
      <c r="D8" s="75">
        <v>45869</v>
      </c>
    </row>
    <row r="9" spans="2:41" x14ac:dyDescent="0.25">
      <c r="B9" s="74" t="s">
        <v>360</v>
      </c>
      <c r="C9" s="74"/>
      <c r="D9" s="76" t="s">
        <v>466</v>
      </c>
    </row>
    <row r="10" spans="2:41" ht="15.75" thickBot="1" x14ac:dyDescent="0.3">
      <c r="B10" s="13"/>
      <c r="C10" s="13"/>
      <c r="E10" s="14"/>
      <c r="O10" s="128" t="s">
        <v>0</v>
      </c>
      <c r="P10" s="129"/>
      <c r="Q10" s="112"/>
      <c r="R10" s="97" t="s">
        <v>1</v>
      </c>
      <c r="S10" s="51"/>
      <c r="T10" s="60" t="s">
        <v>2</v>
      </c>
      <c r="U10" s="61"/>
      <c r="AD10" s="62"/>
      <c r="AE10" s="126" t="s">
        <v>3</v>
      </c>
      <c r="AF10" s="127"/>
      <c r="AG10" s="126" t="s">
        <v>1</v>
      </c>
      <c r="AH10" s="127"/>
      <c r="AI10" s="63"/>
      <c r="AJ10" s="63"/>
      <c r="AK10" s="64"/>
      <c r="AL10" s="31"/>
      <c r="AM10" s="31"/>
      <c r="AN10" s="31"/>
    </row>
    <row r="11" spans="2:41" s="15" customFormat="1" ht="35.25" customHeight="1" thickTop="1" thickBot="1" x14ac:dyDescent="0.3">
      <c r="B11" s="55" t="s">
        <v>4</v>
      </c>
      <c r="C11" s="56" t="s">
        <v>5</v>
      </c>
      <c r="D11" s="56" t="s">
        <v>6</v>
      </c>
      <c r="E11" s="56" t="s">
        <v>7</v>
      </c>
      <c r="F11" s="57" t="s">
        <v>8</v>
      </c>
      <c r="G11" s="56" t="s">
        <v>9</v>
      </c>
      <c r="H11" s="56" t="s">
        <v>11</v>
      </c>
      <c r="I11" s="58" t="s">
        <v>12</v>
      </c>
      <c r="J11" s="56" t="s">
        <v>13</v>
      </c>
      <c r="K11" s="56" t="s">
        <v>14</v>
      </c>
      <c r="L11" s="51" t="s">
        <v>457</v>
      </c>
      <c r="M11" s="56" t="s">
        <v>15</v>
      </c>
      <c r="N11" s="56" t="s">
        <v>16</v>
      </c>
      <c r="O11" s="56" t="s">
        <v>17</v>
      </c>
      <c r="P11" s="56" t="s">
        <v>363</v>
      </c>
      <c r="Q11" s="56" t="s">
        <v>19</v>
      </c>
      <c r="R11" s="56" t="s">
        <v>18</v>
      </c>
      <c r="S11" s="56" t="s">
        <v>20</v>
      </c>
      <c r="T11" s="56" t="s">
        <v>168</v>
      </c>
      <c r="U11" s="56" t="s">
        <v>21</v>
      </c>
      <c r="V11" s="56" t="s">
        <v>22</v>
      </c>
      <c r="W11" s="56" t="s">
        <v>23</v>
      </c>
      <c r="X11" s="56" t="s">
        <v>24</v>
      </c>
      <c r="Y11" s="56" t="s">
        <v>25</v>
      </c>
      <c r="Z11" s="56" t="s">
        <v>26</v>
      </c>
      <c r="AA11" s="56" t="s">
        <v>27</v>
      </c>
      <c r="AB11" s="56" t="s">
        <v>28</v>
      </c>
      <c r="AC11" s="56" t="s">
        <v>176</v>
      </c>
      <c r="AD11" s="56" t="s">
        <v>29</v>
      </c>
      <c r="AE11" s="56" t="s">
        <v>30</v>
      </c>
      <c r="AF11" s="56" t="s">
        <v>31</v>
      </c>
      <c r="AG11" s="56" t="s">
        <v>32</v>
      </c>
      <c r="AH11" s="56" t="s">
        <v>33</v>
      </c>
      <c r="AI11" s="56" t="s">
        <v>34</v>
      </c>
      <c r="AJ11" s="56" t="s">
        <v>35</v>
      </c>
      <c r="AK11" s="56" t="s">
        <v>36</v>
      </c>
      <c r="AL11" s="56" t="s">
        <v>37</v>
      </c>
      <c r="AM11" s="56" t="s">
        <v>38</v>
      </c>
      <c r="AN11" s="56" t="s">
        <v>39</v>
      </c>
      <c r="AO11" s="59" t="s">
        <v>40</v>
      </c>
    </row>
    <row r="12" spans="2:41" s="15" customFormat="1" ht="30.75" customHeight="1" thickTop="1" x14ac:dyDescent="0.2">
      <c r="B12" s="111"/>
      <c r="C12" s="109">
        <v>2026</v>
      </c>
      <c r="D12" s="109" t="s">
        <v>266</v>
      </c>
      <c r="E12" s="35" t="s">
        <v>520</v>
      </c>
      <c r="F12" s="109" t="s">
        <v>188</v>
      </c>
      <c r="G12" s="35" t="s">
        <v>478</v>
      </c>
      <c r="H12" s="35" t="s">
        <v>395</v>
      </c>
      <c r="I12" s="35" t="s">
        <v>141</v>
      </c>
      <c r="J12" s="35" t="s">
        <v>46</v>
      </c>
      <c r="K12" s="35" t="s">
        <v>416</v>
      </c>
      <c r="L12" s="98">
        <v>1605</v>
      </c>
      <c r="M12" s="101">
        <v>46049</v>
      </c>
      <c r="N12" s="114">
        <v>200000000</v>
      </c>
      <c r="O12" s="105">
        <v>10000000</v>
      </c>
      <c r="P12" s="105"/>
      <c r="Q12" s="105"/>
      <c r="R12" s="105">
        <v>33109000</v>
      </c>
      <c r="S12" s="106">
        <f>SUM(N12:R12)</f>
        <v>243109000</v>
      </c>
      <c r="T12" s="104"/>
      <c r="U12" s="104">
        <v>2500000</v>
      </c>
      <c r="V12" s="107">
        <v>24</v>
      </c>
      <c r="W12" s="18"/>
      <c r="X12" s="19"/>
      <c r="Y12" s="19"/>
      <c r="Z12" s="16"/>
      <c r="AA12" s="17"/>
      <c r="AB12" s="17"/>
      <c r="AC12" s="17"/>
      <c r="AD12" s="20"/>
      <c r="AE12" s="20"/>
      <c r="AF12" s="20"/>
      <c r="AG12" s="20"/>
      <c r="AH12" s="20"/>
      <c r="AI12" s="20"/>
      <c r="AJ12" s="20"/>
      <c r="AK12" s="20"/>
      <c r="AL12" s="16"/>
      <c r="AM12" s="16"/>
      <c r="AN12" s="16"/>
      <c r="AO12" s="19"/>
    </row>
    <row r="13" spans="2:41" s="15" customFormat="1" ht="30.75" customHeight="1" x14ac:dyDescent="0.2">
      <c r="B13" s="111">
        <v>2026</v>
      </c>
      <c r="C13" s="109">
        <v>2025</v>
      </c>
      <c r="D13" s="109" t="s">
        <v>543</v>
      </c>
      <c r="E13" s="72" t="s">
        <v>544</v>
      </c>
      <c r="F13" s="109" t="s">
        <v>188</v>
      </c>
      <c r="G13" s="72" t="s">
        <v>545</v>
      </c>
      <c r="H13" s="108" t="s">
        <v>395</v>
      </c>
      <c r="I13" s="108" t="s">
        <v>57</v>
      </c>
      <c r="J13" s="99" t="s">
        <v>46</v>
      </c>
      <c r="K13" s="99" t="s">
        <v>47</v>
      </c>
      <c r="L13" s="98">
        <v>1520</v>
      </c>
      <c r="M13" s="117">
        <v>45902</v>
      </c>
      <c r="N13" s="120">
        <v>49972500</v>
      </c>
      <c r="O13" s="105"/>
      <c r="P13" s="105"/>
      <c r="Q13" s="105"/>
      <c r="R13" s="105">
        <v>12353402</v>
      </c>
      <c r="S13" s="106">
        <f>SUM(N13:R13)</f>
        <v>62325902</v>
      </c>
      <c r="T13" s="104"/>
      <c r="U13" s="104"/>
      <c r="V13" s="107">
        <v>144</v>
      </c>
      <c r="W13" s="18">
        <v>46042</v>
      </c>
      <c r="X13" s="19"/>
      <c r="Y13" s="19"/>
      <c r="Z13" s="16"/>
      <c r="AA13" s="17"/>
      <c r="AB13" s="17"/>
      <c r="AC13" s="17"/>
      <c r="AD13" s="120">
        <v>49972500</v>
      </c>
      <c r="AE13" s="20"/>
      <c r="AF13" s="20"/>
      <c r="AG13" s="20"/>
      <c r="AH13" s="121">
        <v>12353402</v>
      </c>
      <c r="AI13" s="20"/>
      <c r="AJ13" s="20">
        <f>Tabla2[[#This Row],[No pecuniario-IA]]+Tabla2[[#This Row],[Pecuniario-IA]]+Tabla2[[#This Row],[No pecuniario-AA]]+Tabla2[[#This Row],[Pecuniario-AA]]+Tabla2[[#This Row],[Monto adjudicado final-A]]</f>
        <v>62325902</v>
      </c>
      <c r="AK13" s="20"/>
      <c r="AL13" s="16">
        <v>503036</v>
      </c>
      <c r="AM13" s="16" t="s">
        <v>547</v>
      </c>
      <c r="AN13" s="16">
        <v>2026</v>
      </c>
      <c r="AO13" s="19"/>
    </row>
    <row r="14" spans="2:41" s="15" customFormat="1" ht="15" customHeight="1" x14ac:dyDescent="0.2">
      <c r="B14" s="111"/>
      <c r="C14" s="109">
        <v>2026</v>
      </c>
      <c r="D14" s="109" t="s">
        <v>266</v>
      </c>
      <c r="E14" s="35" t="s">
        <v>520</v>
      </c>
      <c r="F14" s="109" t="s">
        <v>43</v>
      </c>
      <c r="G14" s="35" t="s">
        <v>530</v>
      </c>
      <c r="H14" s="35" t="s">
        <v>395</v>
      </c>
      <c r="I14" s="35" t="s">
        <v>529</v>
      </c>
      <c r="J14" s="35" t="s">
        <v>46</v>
      </c>
      <c r="K14" s="35" t="s">
        <v>416</v>
      </c>
      <c r="L14" s="98">
        <v>1604</v>
      </c>
      <c r="M14" s="101">
        <v>46049</v>
      </c>
      <c r="N14" s="114">
        <v>200000000</v>
      </c>
      <c r="O14" s="105">
        <v>10000000</v>
      </c>
      <c r="P14" s="105"/>
      <c r="Q14" s="105"/>
      <c r="R14" s="105">
        <v>38063386</v>
      </c>
      <c r="S14" s="106">
        <f>SUM(N14:R14)</f>
        <v>248063386</v>
      </c>
      <c r="T14" s="104"/>
      <c r="U14" s="104">
        <v>5580000</v>
      </c>
      <c r="V14" s="107">
        <v>24</v>
      </c>
      <c r="W14" s="18"/>
      <c r="X14" s="19"/>
      <c r="Y14" s="19"/>
      <c r="Z14" s="16"/>
      <c r="AA14" s="17"/>
      <c r="AB14" s="17"/>
      <c r="AC14" s="17"/>
      <c r="AD14" s="20"/>
      <c r="AE14" s="20"/>
      <c r="AF14" s="20"/>
      <c r="AG14" s="20"/>
      <c r="AH14" s="20"/>
      <c r="AI14" s="20"/>
      <c r="AJ14" s="20"/>
      <c r="AK14" s="20"/>
      <c r="AL14" s="16"/>
      <c r="AM14" s="16"/>
      <c r="AN14" s="16"/>
      <c r="AO14" s="19"/>
    </row>
    <row r="15" spans="2:41" s="15" customFormat="1" ht="30" customHeight="1" x14ac:dyDescent="0.2">
      <c r="B15" s="98">
        <v>2025</v>
      </c>
      <c r="C15" s="99">
        <v>2025</v>
      </c>
      <c r="D15" s="99" t="s">
        <v>54</v>
      </c>
      <c r="E15" s="36" t="s">
        <v>501</v>
      </c>
      <c r="F15" s="109" t="s">
        <v>188</v>
      </c>
      <c r="G15" s="35" t="s">
        <v>502</v>
      </c>
      <c r="H15" s="99" t="s">
        <v>404</v>
      </c>
      <c r="I15" s="99" t="s">
        <v>498</v>
      </c>
      <c r="J15" s="99" t="s">
        <v>46</v>
      </c>
      <c r="K15" s="99" t="s">
        <v>47</v>
      </c>
      <c r="L15" s="99">
        <v>1526</v>
      </c>
      <c r="M15" s="102">
        <v>45937</v>
      </c>
      <c r="N15" s="114">
        <v>10000000</v>
      </c>
      <c r="O15" s="105">
        <v>0</v>
      </c>
      <c r="P15" s="105">
        <v>1500000</v>
      </c>
      <c r="Q15" s="105">
        <v>150000</v>
      </c>
      <c r="R15" s="105">
        <v>8080922</v>
      </c>
      <c r="S15" s="106">
        <f t="shared" ref="S15:S78" si="0">SUM(N15:R15)</f>
        <v>19730922</v>
      </c>
      <c r="T15" s="104">
        <v>0</v>
      </c>
      <c r="U15" s="104">
        <v>1000000</v>
      </c>
      <c r="V15" s="107">
        <v>3</v>
      </c>
      <c r="W15" s="18"/>
      <c r="X15" s="19"/>
      <c r="Y15" s="19"/>
      <c r="Z15" s="16"/>
      <c r="AA15" s="17"/>
      <c r="AB15" s="17"/>
      <c r="AC15" s="17"/>
      <c r="AD15" s="114">
        <v>10000000</v>
      </c>
      <c r="AE15" s="105">
        <v>0</v>
      </c>
      <c r="AF15" s="105">
        <v>1500000</v>
      </c>
      <c r="AG15" s="105">
        <v>150000</v>
      </c>
      <c r="AH15" s="105">
        <v>8080922</v>
      </c>
      <c r="AI15" s="20"/>
      <c r="AJ15" s="20">
        <f>Tabla2[[#This Row],[No pecuniario-IA]]+Tabla2[[#This Row],[Pecuniario-IA]]+Tabla2[[#This Row],[No pecuniario-AA]]+Tabla2[[#This Row],[Pecuniario-AA]]+Tabla2[[#This Row],[Monto adjudicado final-A]]</f>
        <v>19730922</v>
      </c>
      <c r="AK15" s="20"/>
      <c r="AL15" s="16">
        <v>504010</v>
      </c>
      <c r="AM15" s="16" t="s">
        <v>451</v>
      </c>
      <c r="AN15" s="16">
        <v>2026</v>
      </c>
      <c r="AO15" s="19"/>
    </row>
    <row r="16" spans="2:41" s="15" customFormat="1" ht="30" x14ac:dyDescent="0.2">
      <c r="B16" s="98"/>
      <c r="C16" s="99">
        <v>2025</v>
      </c>
      <c r="D16" s="99" t="s">
        <v>54</v>
      </c>
      <c r="E16" s="36" t="s">
        <v>504</v>
      </c>
      <c r="F16" s="109" t="s">
        <v>43</v>
      </c>
      <c r="G16" s="35" t="s">
        <v>503</v>
      </c>
      <c r="H16" s="99" t="s">
        <v>404</v>
      </c>
      <c r="I16" s="99" t="s">
        <v>505</v>
      </c>
      <c r="J16" s="99" t="s">
        <v>46</v>
      </c>
      <c r="K16" s="99" t="s">
        <v>416</v>
      </c>
      <c r="L16" s="99">
        <v>1521</v>
      </c>
      <c r="M16" s="102">
        <v>45937</v>
      </c>
      <c r="N16" s="114">
        <v>15000000</v>
      </c>
      <c r="O16" s="105">
        <v>0</v>
      </c>
      <c r="P16" s="105">
        <v>0</v>
      </c>
      <c r="Q16" s="105">
        <v>144000</v>
      </c>
      <c r="R16" s="105">
        <v>3300000</v>
      </c>
      <c r="S16" s="106">
        <f t="shared" si="0"/>
        <v>18444000</v>
      </c>
      <c r="T16" s="104">
        <v>0</v>
      </c>
      <c r="U16" s="104">
        <v>1500000</v>
      </c>
      <c r="V16" s="107">
        <v>1</v>
      </c>
      <c r="W16" s="18"/>
      <c r="X16" s="19"/>
      <c r="Y16" s="19"/>
      <c r="Z16" s="16"/>
      <c r="AA16" s="17"/>
      <c r="AB16" s="17"/>
      <c r="AC16" s="17"/>
      <c r="AD16" s="20"/>
      <c r="AE16" s="20"/>
      <c r="AF16" s="20"/>
      <c r="AG16" s="20"/>
      <c r="AH16" s="20"/>
      <c r="AI16" s="20"/>
      <c r="AJ16" s="20"/>
      <c r="AK16" s="20"/>
      <c r="AL16" s="16"/>
      <c r="AM16" s="16"/>
      <c r="AN16" s="16"/>
      <c r="AO16" s="19"/>
    </row>
    <row r="17" spans="2:41" s="15" customFormat="1" ht="36" customHeight="1" x14ac:dyDescent="0.2">
      <c r="B17" s="98"/>
      <c r="C17" s="99">
        <v>2025</v>
      </c>
      <c r="D17" s="99" t="s">
        <v>54</v>
      </c>
      <c r="E17" s="36" t="s">
        <v>504</v>
      </c>
      <c r="F17" s="109" t="s">
        <v>43</v>
      </c>
      <c r="G17" s="35" t="s">
        <v>506</v>
      </c>
      <c r="H17" s="99" t="s">
        <v>404</v>
      </c>
      <c r="I17" s="99" t="s">
        <v>57</v>
      </c>
      <c r="J17" s="99" t="s">
        <v>46</v>
      </c>
      <c r="K17" s="99" t="s">
        <v>416</v>
      </c>
      <c r="L17" s="99">
        <v>1519</v>
      </c>
      <c r="M17" s="102">
        <v>45937</v>
      </c>
      <c r="N17" s="114">
        <v>15000000</v>
      </c>
      <c r="O17" s="105"/>
      <c r="P17" s="105">
        <v>1670000</v>
      </c>
      <c r="Q17" s="105">
        <v>0</v>
      </c>
      <c r="R17" s="105">
        <v>1701363</v>
      </c>
      <c r="S17" s="106">
        <f t="shared" si="0"/>
        <v>18371363</v>
      </c>
      <c r="T17" s="104">
        <v>0</v>
      </c>
      <c r="U17" s="104">
        <v>0</v>
      </c>
      <c r="V17" s="107">
        <v>1</v>
      </c>
      <c r="W17" s="18"/>
      <c r="X17" s="19"/>
      <c r="Y17" s="19"/>
      <c r="Z17" s="16"/>
      <c r="AA17" s="17"/>
      <c r="AB17" s="17"/>
      <c r="AC17" s="17"/>
      <c r="AD17" s="20"/>
      <c r="AE17" s="20"/>
      <c r="AF17" s="20"/>
      <c r="AG17" s="20"/>
      <c r="AH17" s="20"/>
      <c r="AI17" s="20"/>
      <c r="AJ17" s="20"/>
      <c r="AK17" s="20"/>
      <c r="AL17" s="16"/>
      <c r="AM17" s="16"/>
      <c r="AN17" s="16"/>
      <c r="AO17" s="19"/>
    </row>
    <row r="18" spans="2:41" s="15" customFormat="1" ht="39.75" customHeight="1" x14ac:dyDescent="0.2">
      <c r="B18" s="98"/>
      <c r="C18" s="99">
        <v>2025</v>
      </c>
      <c r="D18" s="99" t="s">
        <v>54</v>
      </c>
      <c r="E18" s="36" t="s">
        <v>501</v>
      </c>
      <c r="F18" s="109" t="s">
        <v>188</v>
      </c>
      <c r="G18" s="35" t="s">
        <v>509</v>
      </c>
      <c r="H18" s="99" t="s">
        <v>400</v>
      </c>
      <c r="I18" s="99" t="s">
        <v>434</v>
      </c>
      <c r="J18" s="99" t="s">
        <v>46</v>
      </c>
      <c r="K18" s="99" t="s">
        <v>416</v>
      </c>
      <c r="L18" s="99">
        <v>1491</v>
      </c>
      <c r="M18" s="102">
        <v>45937</v>
      </c>
      <c r="N18" s="114">
        <v>10000000</v>
      </c>
      <c r="O18" s="105">
        <v>1000000</v>
      </c>
      <c r="P18" s="105">
        <v>0</v>
      </c>
      <c r="Q18" s="105">
        <v>0</v>
      </c>
      <c r="R18" s="105">
        <v>1812163</v>
      </c>
      <c r="S18" s="106">
        <f t="shared" si="0"/>
        <v>12812163</v>
      </c>
      <c r="T18" s="104"/>
      <c r="U18" s="104">
        <v>850000</v>
      </c>
      <c r="V18" s="107">
        <v>3</v>
      </c>
      <c r="W18" s="18"/>
      <c r="X18" s="19"/>
      <c r="Y18" s="19"/>
      <c r="Z18" s="16"/>
      <c r="AA18" s="17"/>
      <c r="AB18" s="17"/>
      <c r="AC18" s="17"/>
      <c r="AD18" s="20"/>
      <c r="AE18" s="20"/>
      <c r="AF18" s="20"/>
      <c r="AG18" s="20"/>
      <c r="AH18" s="20"/>
      <c r="AI18" s="20"/>
      <c r="AJ18" s="20"/>
      <c r="AK18" s="20"/>
      <c r="AL18" s="16"/>
      <c r="AM18" s="16"/>
      <c r="AN18" s="16"/>
      <c r="AO18" s="19"/>
    </row>
    <row r="19" spans="2:41" s="15" customFormat="1" ht="30" x14ac:dyDescent="0.2">
      <c r="B19" s="98"/>
      <c r="C19" s="99">
        <v>2025</v>
      </c>
      <c r="D19" s="99" t="s">
        <v>465</v>
      </c>
      <c r="E19" s="36" t="s">
        <v>508</v>
      </c>
      <c r="F19" s="109" t="s">
        <v>43</v>
      </c>
      <c r="G19" s="35" t="s">
        <v>512</v>
      </c>
      <c r="H19" s="99" t="s">
        <v>404</v>
      </c>
      <c r="I19" s="99" t="s">
        <v>510</v>
      </c>
      <c r="J19" s="99" t="s">
        <v>46</v>
      </c>
      <c r="K19" s="99" t="s">
        <v>76</v>
      </c>
      <c r="L19" s="99">
        <v>1480</v>
      </c>
      <c r="M19" s="102">
        <v>45930</v>
      </c>
      <c r="N19" s="114">
        <v>227695500</v>
      </c>
      <c r="O19" s="105">
        <v>0</v>
      </c>
      <c r="P19" s="105">
        <v>34400000</v>
      </c>
      <c r="Q19" s="105">
        <v>0</v>
      </c>
      <c r="R19" s="105">
        <v>68600000</v>
      </c>
      <c r="S19" s="106">
        <f t="shared" si="0"/>
        <v>330695500</v>
      </c>
      <c r="T19" s="104"/>
      <c r="U19" s="104">
        <v>34150500</v>
      </c>
      <c r="V19" s="107">
        <v>24</v>
      </c>
      <c r="W19" s="18"/>
      <c r="X19" s="19"/>
      <c r="Y19" s="19"/>
      <c r="Z19" s="16"/>
      <c r="AA19" s="17"/>
      <c r="AB19" s="17"/>
      <c r="AC19" s="17"/>
      <c r="AD19" s="20"/>
      <c r="AE19" s="20"/>
      <c r="AF19" s="20"/>
      <c r="AG19" s="20"/>
      <c r="AH19" s="20"/>
      <c r="AI19" s="20"/>
      <c r="AJ19" s="20"/>
      <c r="AK19" s="20"/>
      <c r="AL19" s="16"/>
      <c r="AM19" s="16"/>
      <c r="AN19" s="16"/>
      <c r="AO19" s="19"/>
    </row>
    <row r="20" spans="2:41" s="15" customFormat="1" ht="75" x14ac:dyDescent="0.2">
      <c r="B20" s="98"/>
      <c r="C20" s="109">
        <v>2025</v>
      </c>
      <c r="D20" s="109" t="s">
        <v>515</v>
      </c>
      <c r="E20" s="17" t="s">
        <v>487</v>
      </c>
      <c r="F20" s="109" t="s">
        <v>43</v>
      </c>
      <c r="G20" s="17" t="s">
        <v>495</v>
      </c>
      <c r="H20" s="109" t="s">
        <v>404</v>
      </c>
      <c r="I20" s="109" t="s">
        <v>119</v>
      </c>
      <c r="J20" s="98" t="s">
        <v>46</v>
      </c>
      <c r="K20" s="98" t="s">
        <v>416</v>
      </c>
      <c r="L20" s="98">
        <v>1457</v>
      </c>
      <c r="M20" s="101">
        <v>45869</v>
      </c>
      <c r="N20" s="114">
        <v>24427208</v>
      </c>
      <c r="O20" s="105">
        <v>0</v>
      </c>
      <c r="P20" s="105">
        <v>0</v>
      </c>
      <c r="Q20" s="105">
        <v>0</v>
      </c>
      <c r="R20" s="105">
        <v>11065475</v>
      </c>
      <c r="S20" s="106">
        <f t="shared" si="0"/>
        <v>35492683</v>
      </c>
      <c r="T20" s="104"/>
      <c r="U20" s="104"/>
      <c r="V20" s="107"/>
      <c r="W20" s="18"/>
      <c r="X20" s="19"/>
      <c r="Y20" s="19"/>
      <c r="Z20" s="16"/>
      <c r="AA20" s="17"/>
      <c r="AB20" s="17"/>
      <c r="AC20" s="17"/>
      <c r="AD20" s="20"/>
      <c r="AE20" s="20"/>
      <c r="AF20" s="20"/>
      <c r="AG20" s="20"/>
      <c r="AH20" s="20"/>
      <c r="AI20" s="20"/>
      <c r="AJ20" s="20"/>
      <c r="AK20" s="20"/>
      <c r="AL20" s="16"/>
      <c r="AM20" s="16"/>
      <c r="AN20" s="16"/>
      <c r="AO20" s="19"/>
    </row>
    <row r="21" spans="2:41" s="15" customFormat="1" ht="45" x14ac:dyDescent="0.2">
      <c r="B21" s="98">
        <v>2025</v>
      </c>
      <c r="C21" s="109">
        <v>2025</v>
      </c>
      <c r="D21" s="109" t="s">
        <v>54</v>
      </c>
      <c r="E21" s="17" t="s">
        <v>481</v>
      </c>
      <c r="F21" s="109" t="s">
        <v>43</v>
      </c>
      <c r="G21" s="17" t="s">
        <v>491</v>
      </c>
      <c r="H21" s="109" t="s">
        <v>404</v>
      </c>
      <c r="I21" s="109" t="s">
        <v>57</v>
      </c>
      <c r="J21" s="98" t="s">
        <v>46</v>
      </c>
      <c r="K21" s="98" t="s">
        <v>416</v>
      </c>
      <c r="L21" s="98">
        <v>1440</v>
      </c>
      <c r="M21" s="101">
        <v>45860</v>
      </c>
      <c r="N21" s="114">
        <v>130326705</v>
      </c>
      <c r="O21" s="105">
        <v>2000000</v>
      </c>
      <c r="P21" s="105">
        <v>500000</v>
      </c>
      <c r="Q21" s="105">
        <v>0</v>
      </c>
      <c r="R21" s="105">
        <v>31865650</v>
      </c>
      <c r="S21" s="106">
        <f t="shared" si="0"/>
        <v>164692355</v>
      </c>
      <c r="T21" s="104"/>
      <c r="U21" s="104">
        <v>8200000</v>
      </c>
      <c r="V21" s="107">
        <v>36</v>
      </c>
      <c r="W21" s="18"/>
      <c r="X21" s="19"/>
      <c r="Y21" s="19"/>
      <c r="Z21" s="16"/>
      <c r="AA21" s="17"/>
      <c r="AB21" s="17"/>
      <c r="AC21" s="17"/>
      <c r="AD21" s="20"/>
      <c r="AE21" s="20"/>
      <c r="AF21" s="20"/>
      <c r="AG21" s="20"/>
      <c r="AH21" s="20"/>
      <c r="AI21" s="20"/>
      <c r="AJ21" s="20"/>
      <c r="AK21" s="20"/>
      <c r="AL21" s="16"/>
      <c r="AM21" s="16"/>
      <c r="AN21" s="16"/>
      <c r="AO21" s="19"/>
    </row>
    <row r="22" spans="2:41" s="15" customFormat="1" ht="30" x14ac:dyDescent="0.2">
      <c r="B22" s="98">
        <v>2025</v>
      </c>
      <c r="C22" s="109">
        <v>2025</v>
      </c>
      <c r="D22" s="109" t="s">
        <v>54</v>
      </c>
      <c r="E22" s="17" t="s">
        <v>481</v>
      </c>
      <c r="F22" s="109" t="s">
        <v>188</v>
      </c>
      <c r="G22" s="17" t="s">
        <v>484</v>
      </c>
      <c r="H22" s="109" t="s">
        <v>400</v>
      </c>
      <c r="I22" s="109" t="s">
        <v>434</v>
      </c>
      <c r="J22" s="98" t="s">
        <v>46</v>
      </c>
      <c r="K22" s="98" t="s">
        <v>416</v>
      </c>
      <c r="L22" s="98">
        <v>1421</v>
      </c>
      <c r="M22" s="101">
        <v>45860</v>
      </c>
      <c r="N22" s="114">
        <v>150000000</v>
      </c>
      <c r="O22" s="105">
        <v>1500000</v>
      </c>
      <c r="P22" s="105">
        <v>0</v>
      </c>
      <c r="Q22" s="105">
        <v>0</v>
      </c>
      <c r="R22" s="105">
        <v>19131649</v>
      </c>
      <c r="S22" s="106">
        <f t="shared" si="0"/>
        <v>170631649</v>
      </c>
      <c r="T22" s="104"/>
      <c r="U22" s="104">
        <v>10500000</v>
      </c>
      <c r="V22" s="107">
        <v>36</v>
      </c>
      <c r="W22" s="18"/>
      <c r="X22" s="19"/>
      <c r="Y22" s="19"/>
      <c r="Z22" s="16"/>
      <c r="AA22" s="17"/>
      <c r="AB22" s="17"/>
      <c r="AC22" s="17"/>
      <c r="AD22" s="20"/>
      <c r="AE22" s="20"/>
      <c r="AF22" s="20"/>
      <c r="AG22" s="20"/>
      <c r="AH22" s="20"/>
      <c r="AI22" s="20"/>
      <c r="AJ22" s="20"/>
      <c r="AK22" s="20"/>
      <c r="AL22" s="16"/>
      <c r="AM22" s="16"/>
      <c r="AN22" s="16"/>
      <c r="AO22" s="19"/>
    </row>
    <row r="23" spans="2:41" s="15" customFormat="1" ht="30" x14ac:dyDescent="0.2">
      <c r="B23" s="98"/>
      <c r="C23" s="109">
        <v>2025</v>
      </c>
      <c r="D23" s="109" t="s">
        <v>440</v>
      </c>
      <c r="E23" s="17" t="s">
        <v>496</v>
      </c>
      <c r="F23" s="109" t="s">
        <v>43</v>
      </c>
      <c r="G23" s="17" t="s">
        <v>497</v>
      </c>
      <c r="H23" s="109" t="s">
        <v>395</v>
      </c>
      <c r="I23" s="109" t="s">
        <v>141</v>
      </c>
      <c r="J23" s="98" t="s">
        <v>46</v>
      </c>
      <c r="K23" s="98" t="s">
        <v>416</v>
      </c>
      <c r="L23" s="98">
        <v>1396</v>
      </c>
      <c r="M23" s="101">
        <v>45848</v>
      </c>
      <c r="N23" s="114">
        <v>119999895</v>
      </c>
      <c r="O23" s="105">
        <v>7059000</v>
      </c>
      <c r="P23" s="105">
        <v>0</v>
      </c>
      <c r="Q23" s="105">
        <v>0</v>
      </c>
      <c r="R23" s="105">
        <v>14118014</v>
      </c>
      <c r="S23" s="106">
        <f t="shared" si="0"/>
        <v>141176909</v>
      </c>
      <c r="T23" s="104">
        <v>2000000</v>
      </c>
      <c r="U23" s="104"/>
      <c r="V23" s="107">
        <v>36</v>
      </c>
      <c r="W23" s="18"/>
      <c r="X23" s="19"/>
      <c r="Y23" s="19"/>
      <c r="Z23" s="16"/>
      <c r="AA23" s="17"/>
      <c r="AB23" s="17"/>
      <c r="AC23" s="17"/>
      <c r="AD23" s="20"/>
      <c r="AE23" s="20"/>
      <c r="AF23" s="20"/>
      <c r="AG23" s="20"/>
      <c r="AH23" s="20"/>
      <c r="AI23" s="20"/>
      <c r="AJ23" s="20"/>
      <c r="AK23" s="20"/>
      <c r="AL23" s="16"/>
      <c r="AM23" s="16"/>
      <c r="AN23" s="16"/>
      <c r="AO23" s="19"/>
    </row>
    <row r="24" spans="2:41" s="15" customFormat="1" ht="60" customHeight="1" x14ac:dyDescent="0.2">
      <c r="B24" s="111">
        <v>2025</v>
      </c>
      <c r="C24" s="109">
        <v>2025</v>
      </c>
      <c r="D24" s="109" t="s">
        <v>84</v>
      </c>
      <c r="E24" s="35" t="s">
        <v>523</v>
      </c>
      <c r="F24" s="109" t="s">
        <v>43</v>
      </c>
      <c r="G24" s="35" t="s">
        <v>524</v>
      </c>
      <c r="H24" s="35" t="s">
        <v>404</v>
      </c>
      <c r="I24" s="35" t="s">
        <v>505</v>
      </c>
      <c r="J24" s="35" t="s">
        <v>46</v>
      </c>
      <c r="K24" s="98" t="s">
        <v>47</v>
      </c>
      <c r="L24" s="98">
        <v>1297</v>
      </c>
      <c r="M24" s="101">
        <v>45777</v>
      </c>
      <c r="N24" s="114">
        <v>101388000</v>
      </c>
      <c r="O24" s="105"/>
      <c r="P24" s="105"/>
      <c r="Q24" s="105"/>
      <c r="R24" s="105">
        <v>36746973</v>
      </c>
      <c r="S24" s="106">
        <f t="shared" si="0"/>
        <v>138134973</v>
      </c>
      <c r="T24" s="104"/>
      <c r="U24" s="104"/>
      <c r="V24" s="107">
        <v>36</v>
      </c>
      <c r="W24" s="18"/>
      <c r="X24" s="19"/>
      <c r="Y24" s="19"/>
      <c r="Z24" s="16"/>
      <c r="AA24" s="17"/>
      <c r="AB24" s="17"/>
      <c r="AC24" s="17" t="s">
        <v>532</v>
      </c>
      <c r="AD24" s="114"/>
      <c r="AE24" s="105"/>
      <c r="AF24" s="105"/>
      <c r="AG24" s="105"/>
      <c r="AH24" s="105"/>
      <c r="AI24" s="20"/>
      <c r="AJ24" s="20">
        <f>Tabla2[[#This Row],[No pecuniario-IA]]+Tabla2[[#This Row],[Pecuniario-IA]]+Tabla2[[#This Row],[No pecuniario-AA]]+Tabla2[[#This Row],[Pecuniario-AA]]+Tabla2[[#This Row],[Monto adjudicado final-A]]</f>
        <v>0</v>
      </c>
      <c r="AK24" s="20"/>
      <c r="AL24" s="16"/>
      <c r="AM24" s="16"/>
      <c r="AN24" s="16"/>
      <c r="AO24" s="19"/>
    </row>
    <row r="25" spans="2:41" s="15" customFormat="1" ht="30" x14ac:dyDescent="0.2">
      <c r="B25" s="98"/>
      <c r="C25" s="108">
        <v>2025</v>
      </c>
      <c r="D25" s="109" t="s">
        <v>465</v>
      </c>
      <c r="E25" s="72" t="s">
        <v>436</v>
      </c>
      <c r="F25" s="108" t="s">
        <v>188</v>
      </c>
      <c r="G25" s="72" t="s">
        <v>437</v>
      </c>
      <c r="H25" s="108" t="s">
        <v>400</v>
      </c>
      <c r="I25" s="108" t="s">
        <v>434</v>
      </c>
      <c r="J25" s="108" t="s">
        <v>46</v>
      </c>
      <c r="K25" s="99" t="s">
        <v>416</v>
      </c>
      <c r="L25" s="98">
        <v>1256</v>
      </c>
      <c r="M25" s="101">
        <v>45736</v>
      </c>
      <c r="N25" s="114">
        <v>236400000</v>
      </c>
      <c r="O25" s="105">
        <v>0</v>
      </c>
      <c r="P25" s="105">
        <v>71000000</v>
      </c>
      <c r="Q25" s="105">
        <v>0</v>
      </c>
      <c r="R25" s="105">
        <v>46155826</v>
      </c>
      <c r="S25" s="106">
        <f t="shared" si="0"/>
        <v>353555826</v>
      </c>
      <c r="T25" s="104">
        <v>35000000</v>
      </c>
      <c r="U25" s="104">
        <v>0</v>
      </c>
      <c r="V25" s="107">
        <v>24</v>
      </c>
      <c r="W25" s="18"/>
      <c r="X25" s="17"/>
      <c r="Y25" s="17"/>
      <c r="Z25" s="73"/>
      <c r="AA25" s="17"/>
      <c r="AB25" s="17"/>
      <c r="AC25" s="17"/>
      <c r="AD25" s="20"/>
      <c r="AE25" s="20"/>
      <c r="AF25" s="20"/>
      <c r="AG25" s="20"/>
      <c r="AH25" s="20"/>
      <c r="AI25" s="20"/>
      <c r="AJ25" s="20"/>
      <c r="AK25" s="20"/>
      <c r="AL25" s="16"/>
      <c r="AM25" s="16"/>
      <c r="AN25" s="16"/>
      <c r="AO25" s="19"/>
    </row>
    <row r="26" spans="2:41" s="15" customFormat="1" ht="37.5" customHeight="1" x14ac:dyDescent="0.2">
      <c r="B26" s="98"/>
      <c r="C26" s="109">
        <v>2025</v>
      </c>
      <c r="D26" s="109" t="s">
        <v>54</v>
      </c>
      <c r="E26" s="17" t="s">
        <v>423</v>
      </c>
      <c r="F26" s="109" t="s">
        <v>43</v>
      </c>
      <c r="G26" s="17" t="s">
        <v>427</v>
      </c>
      <c r="H26" s="109" t="s">
        <v>404</v>
      </c>
      <c r="I26" s="109" t="s">
        <v>411</v>
      </c>
      <c r="J26" s="98" t="s">
        <v>432</v>
      </c>
      <c r="K26" s="98" t="s">
        <v>416</v>
      </c>
      <c r="L26" s="98">
        <v>1243</v>
      </c>
      <c r="M26" s="101">
        <v>45686</v>
      </c>
      <c r="N26" s="114">
        <v>5000000</v>
      </c>
      <c r="O26" s="105">
        <v>400000</v>
      </c>
      <c r="P26" s="105">
        <v>1200000</v>
      </c>
      <c r="Q26" s="105">
        <v>0</v>
      </c>
      <c r="R26" s="105">
        <v>488028</v>
      </c>
      <c r="S26" s="106">
        <f t="shared" si="0"/>
        <v>7088028</v>
      </c>
      <c r="T26" s="104">
        <v>0</v>
      </c>
      <c r="U26" s="104">
        <v>0</v>
      </c>
      <c r="V26" s="107">
        <v>1</v>
      </c>
      <c r="W26" s="18"/>
      <c r="X26" s="19"/>
      <c r="Y26" s="19"/>
      <c r="Z26" s="16"/>
      <c r="AA26" s="17"/>
      <c r="AB26" s="17"/>
      <c r="AC26" s="17"/>
      <c r="AD26" s="20"/>
      <c r="AE26" s="20"/>
      <c r="AF26" s="20"/>
      <c r="AG26" s="20"/>
      <c r="AH26" s="20"/>
      <c r="AI26" s="20"/>
      <c r="AJ26" s="20"/>
      <c r="AK26" s="20"/>
      <c r="AL26" s="16"/>
      <c r="AM26" s="16"/>
      <c r="AN26" s="16"/>
      <c r="AO26" s="19"/>
    </row>
    <row r="27" spans="2:41" s="15" customFormat="1" ht="30" customHeight="1" x14ac:dyDescent="0.2">
      <c r="B27" s="98">
        <f>+Tabla2[[#This Row],[Año Postulación]]</f>
        <v>2025</v>
      </c>
      <c r="C27" s="109">
        <v>2025</v>
      </c>
      <c r="D27" s="109" t="s">
        <v>54</v>
      </c>
      <c r="E27" s="17" t="s">
        <v>422</v>
      </c>
      <c r="F27" s="109" t="s">
        <v>43</v>
      </c>
      <c r="G27" s="17" t="s">
        <v>426</v>
      </c>
      <c r="H27" s="109" t="s">
        <v>242</v>
      </c>
      <c r="I27" s="109" t="s">
        <v>411</v>
      </c>
      <c r="J27" s="98" t="s">
        <v>431</v>
      </c>
      <c r="K27" s="98" t="s">
        <v>47</v>
      </c>
      <c r="L27" s="98">
        <v>1242</v>
      </c>
      <c r="M27" s="101">
        <v>45686</v>
      </c>
      <c r="N27" s="114">
        <v>14138120</v>
      </c>
      <c r="O27" s="105">
        <v>1400000</v>
      </c>
      <c r="P27" s="105">
        <v>1800000</v>
      </c>
      <c r="Q27" s="105"/>
      <c r="R27" s="105">
        <v>489787</v>
      </c>
      <c r="S27" s="106">
        <f t="shared" si="0"/>
        <v>17827907</v>
      </c>
      <c r="T27" s="104"/>
      <c r="U27" s="104"/>
      <c r="V27" s="107"/>
      <c r="W27" s="18"/>
      <c r="X27" s="19" t="s">
        <v>446</v>
      </c>
      <c r="Y27" s="19" t="s">
        <v>381</v>
      </c>
      <c r="Z27" s="16" t="s">
        <v>381</v>
      </c>
      <c r="AA27" s="17" t="s">
        <v>391</v>
      </c>
      <c r="AB27" s="17"/>
      <c r="AC27" s="17"/>
      <c r="AD27" s="114"/>
      <c r="AE27" s="105"/>
      <c r="AF27" s="105"/>
      <c r="AG27" s="105"/>
      <c r="AH27" s="105"/>
      <c r="AI27" s="20"/>
      <c r="AJ27" s="20">
        <f>Tabla2[[#This Row],[No pecuniario-IA]]+Tabla2[[#This Row],[Pecuniario-IA]]+Tabla2[[#This Row],[No pecuniario-AA]]+Tabla2[[#This Row],[Pecuniario-AA]]+Tabla2[[#This Row],[Monto adjudicado final-A]]</f>
        <v>0</v>
      </c>
      <c r="AK27" s="20"/>
      <c r="AL27" s="16"/>
      <c r="AM27" s="16"/>
      <c r="AN27" s="16"/>
      <c r="AO27" s="19"/>
    </row>
    <row r="28" spans="2:41" s="15" customFormat="1" ht="30" customHeight="1" x14ac:dyDescent="0.2">
      <c r="B28" s="98">
        <f>+Tabla2[[#This Row],[Año Postulación]]</f>
        <v>2025</v>
      </c>
      <c r="C28" s="109">
        <v>2025</v>
      </c>
      <c r="D28" s="109" t="s">
        <v>54</v>
      </c>
      <c r="E28" s="17" t="s">
        <v>422</v>
      </c>
      <c r="F28" s="109" t="s">
        <v>43</v>
      </c>
      <c r="G28" s="17" t="s">
        <v>424</v>
      </c>
      <c r="H28" s="109" t="s">
        <v>242</v>
      </c>
      <c r="I28" s="109" t="s">
        <v>411</v>
      </c>
      <c r="J28" s="98" t="s">
        <v>428</v>
      </c>
      <c r="K28" s="98" t="s">
        <v>47</v>
      </c>
      <c r="L28" s="98">
        <v>1241</v>
      </c>
      <c r="M28" s="101">
        <v>45686</v>
      </c>
      <c r="N28" s="114">
        <v>15000000</v>
      </c>
      <c r="O28" s="105">
        <v>4400003</v>
      </c>
      <c r="P28" s="105"/>
      <c r="Q28" s="105"/>
      <c r="R28" s="105">
        <v>215023</v>
      </c>
      <c r="S28" s="106">
        <f t="shared" si="0"/>
        <v>19615026</v>
      </c>
      <c r="T28" s="104"/>
      <c r="U28" s="104"/>
      <c r="V28" s="107"/>
      <c r="W28" s="18"/>
      <c r="X28" s="19" t="s">
        <v>446</v>
      </c>
      <c r="Y28" s="19" t="s">
        <v>381</v>
      </c>
      <c r="Z28" s="16" t="s">
        <v>381</v>
      </c>
      <c r="AA28" s="17" t="s">
        <v>391</v>
      </c>
      <c r="AB28" s="17"/>
      <c r="AC28" s="17"/>
      <c r="AD28" s="114"/>
      <c r="AE28" s="105"/>
      <c r="AF28" s="105"/>
      <c r="AG28" s="105"/>
      <c r="AH28" s="105"/>
      <c r="AI28" s="20"/>
      <c r="AJ28" s="20">
        <f>Tabla2[[#This Row],[No pecuniario-IA]]+Tabla2[[#This Row],[Pecuniario-IA]]+Tabla2[[#This Row],[No pecuniario-AA]]+Tabla2[[#This Row],[Pecuniario-AA]]+Tabla2[[#This Row],[Monto adjudicado final-A]]</f>
        <v>0</v>
      </c>
      <c r="AK28" s="20"/>
      <c r="AL28" s="16"/>
      <c r="AM28" s="16"/>
      <c r="AN28" s="16"/>
      <c r="AO28" s="19"/>
    </row>
    <row r="29" spans="2:41" s="15" customFormat="1" ht="30" customHeight="1" x14ac:dyDescent="0.2">
      <c r="B29" s="98"/>
      <c r="C29" s="109">
        <v>2024</v>
      </c>
      <c r="D29" s="109" t="s">
        <v>54</v>
      </c>
      <c r="E29" s="17" t="s">
        <v>423</v>
      </c>
      <c r="F29" s="109" t="s">
        <v>43</v>
      </c>
      <c r="G29" s="17" t="s">
        <v>427</v>
      </c>
      <c r="H29" s="109" t="s">
        <v>242</v>
      </c>
      <c r="I29" s="109" t="s">
        <v>411</v>
      </c>
      <c r="J29" s="98" t="s">
        <v>432</v>
      </c>
      <c r="K29" s="98" t="s">
        <v>416</v>
      </c>
      <c r="L29" s="98">
        <v>1234</v>
      </c>
      <c r="M29" s="101">
        <v>45686</v>
      </c>
      <c r="N29" s="114">
        <v>5000000</v>
      </c>
      <c r="O29" s="105">
        <v>400000</v>
      </c>
      <c r="P29" s="105">
        <v>1200000</v>
      </c>
      <c r="Q29" s="105"/>
      <c r="R29" s="105">
        <v>488028</v>
      </c>
      <c r="S29" s="106">
        <f t="shared" si="0"/>
        <v>7088028</v>
      </c>
      <c r="T29" s="104"/>
      <c r="U29" s="104"/>
      <c r="V29" s="107"/>
      <c r="W29" s="18"/>
      <c r="X29" s="19" t="s">
        <v>446</v>
      </c>
      <c r="Y29" s="19" t="s">
        <v>381</v>
      </c>
      <c r="Z29" s="16" t="s">
        <v>381</v>
      </c>
      <c r="AA29" s="17" t="s">
        <v>391</v>
      </c>
      <c r="AB29" s="17"/>
      <c r="AC29" s="17"/>
      <c r="AD29" s="20"/>
      <c r="AE29" s="20"/>
      <c r="AF29" s="20"/>
      <c r="AG29" s="20"/>
      <c r="AH29" s="20"/>
      <c r="AI29" s="20"/>
      <c r="AJ29" s="20"/>
      <c r="AK29" s="20"/>
      <c r="AL29" s="16"/>
      <c r="AM29" s="16"/>
      <c r="AN29" s="16"/>
      <c r="AO29" s="19"/>
    </row>
    <row r="30" spans="2:41" s="15" customFormat="1" ht="15" customHeight="1" x14ac:dyDescent="0.2">
      <c r="B30" s="111">
        <v>2025</v>
      </c>
      <c r="C30" s="109">
        <v>2025</v>
      </c>
      <c r="D30" s="109" t="s">
        <v>531</v>
      </c>
      <c r="E30" s="35" t="s">
        <v>525</v>
      </c>
      <c r="F30" s="109" t="s">
        <v>43</v>
      </c>
      <c r="G30" s="35" t="s">
        <v>526</v>
      </c>
      <c r="H30" s="35" t="s">
        <v>404</v>
      </c>
      <c r="I30" s="35" t="s">
        <v>505</v>
      </c>
      <c r="J30" s="35" t="s">
        <v>527</v>
      </c>
      <c r="K30" s="98" t="s">
        <v>47</v>
      </c>
      <c r="L30" s="98">
        <v>1229</v>
      </c>
      <c r="M30" s="101">
        <v>45684</v>
      </c>
      <c r="N30" s="114">
        <v>7667000000</v>
      </c>
      <c r="O30" s="105">
        <v>3066800000</v>
      </c>
      <c r="P30" s="105"/>
      <c r="Q30" s="105"/>
      <c r="R30" s="105">
        <v>657000000</v>
      </c>
      <c r="S30" s="106">
        <f t="shared" si="0"/>
        <v>11390800000</v>
      </c>
      <c r="T30" s="104"/>
      <c r="U30" s="104"/>
      <c r="V30" s="107">
        <v>60</v>
      </c>
      <c r="W30" s="18"/>
      <c r="X30" s="19"/>
      <c r="Y30" s="19"/>
      <c r="Z30" s="16"/>
      <c r="AA30" s="17"/>
      <c r="AB30" s="17"/>
      <c r="AC30" s="17" t="s">
        <v>532</v>
      </c>
      <c r="AD30" s="114"/>
      <c r="AE30" s="105"/>
      <c r="AF30" s="105"/>
      <c r="AG30" s="105"/>
      <c r="AH30" s="105"/>
      <c r="AI30" s="20"/>
      <c r="AJ30" s="20"/>
      <c r="AK30" s="20"/>
      <c r="AL30" s="16"/>
      <c r="AM30" s="16"/>
      <c r="AN30" s="16"/>
      <c r="AO30" s="19"/>
    </row>
    <row r="31" spans="2:41" s="15" customFormat="1" ht="30" x14ac:dyDescent="0.2">
      <c r="B31" s="98"/>
      <c r="C31" s="109">
        <v>2024</v>
      </c>
      <c r="D31" s="109" t="s">
        <v>54</v>
      </c>
      <c r="E31" s="17" t="s">
        <v>393</v>
      </c>
      <c r="F31" s="109" t="s">
        <v>43</v>
      </c>
      <c r="G31" s="17" t="s">
        <v>413</v>
      </c>
      <c r="H31" s="109" t="s">
        <v>242</v>
      </c>
      <c r="I31" s="109" t="s">
        <v>119</v>
      </c>
      <c r="J31" s="98" t="s">
        <v>46</v>
      </c>
      <c r="K31" s="98" t="s">
        <v>416</v>
      </c>
      <c r="L31" s="98">
        <v>1216</v>
      </c>
      <c r="M31" s="101" t="s">
        <v>448</v>
      </c>
      <c r="N31" s="114">
        <v>64420513</v>
      </c>
      <c r="O31" s="105">
        <v>1200000</v>
      </c>
      <c r="P31" s="105">
        <v>1600000</v>
      </c>
      <c r="Q31" s="105"/>
      <c r="R31" s="105">
        <v>31060225</v>
      </c>
      <c r="S31" s="106">
        <f t="shared" si="0"/>
        <v>98280738</v>
      </c>
      <c r="T31" s="104"/>
      <c r="U31" s="104"/>
      <c r="V31" s="107"/>
      <c r="W31" s="18"/>
      <c r="X31" s="19"/>
      <c r="Y31" s="19"/>
      <c r="Z31" s="16"/>
      <c r="AA31" s="17"/>
      <c r="AB31" s="17"/>
      <c r="AC31" s="17"/>
      <c r="AD31" s="20"/>
      <c r="AE31" s="20"/>
      <c r="AF31" s="20"/>
      <c r="AG31" s="20"/>
      <c r="AH31" s="20"/>
      <c r="AI31" s="20"/>
      <c r="AJ31" s="20"/>
      <c r="AK31" s="20"/>
      <c r="AL31" s="16"/>
      <c r="AM31" s="16"/>
      <c r="AN31" s="16"/>
      <c r="AO31" s="19"/>
    </row>
    <row r="32" spans="2:41" s="15" customFormat="1" ht="30" x14ac:dyDescent="0.2">
      <c r="B32" s="98"/>
      <c r="C32" s="109">
        <v>2024</v>
      </c>
      <c r="D32" s="109" t="s">
        <v>54</v>
      </c>
      <c r="E32" s="17" t="s">
        <v>393</v>
      </c>
      <c r="F32" s="109" t="s">
        <v>43</v>
      </c>
      <c r="G32" s="17" t="s">
        <v>417</v>
      </c>
      <c r="H32" s="109" t="s">
        <v>242</v>
      </c>
      <c r="I32" s="109" t="s">
        <v>411</v>
      </c>
      <c r="J32" s="98" t="s">
        <v>46</v>
      </c>
      <c r="K32" s="98" t="s">
        <v>416</v>
      </c>
      <c r="L32" s="98">
        <v>1211</v>
      </c>
      <c r="M32" s="101" t="s">
        <v>448</v>
      </c>
      <c r="N32" s="114">
        <v>149814646</v>
      </c>
      <c r="O32" s="105">
        <v>1750000</v>
      </c>
      <c r="P32" s="105">
        <v>1500000</v>
      </c>
      <c r="Q32" s="105"/>
      <c r="R32" s="105">
        <v>51649949</v>
      </c>
      <c r="S32" s="106">
        <f t="shared" si="0"/>
        <v>204714595</v>
      </c>
      <c r="T32" s="104"/>
      <c r="U32" s="104"/>
      <c r="V32" s="107"/>
      <c r="W32" s="18"/>
      <c r="X32" s="19"/>
      <c r="Y32" s="19"/>
      <c r="Z32" s="16"/>
      <c r="AA32" s="17"/>
      <c r="AB32" s="17"/>
      <c r="AC32" s="17"/>
      <c r="AD32" s="20"/>
      <c r="AE32" s="20"/>
      <c r="AF32" s="20"/>
      <c r="AG32" s="20"/>
      <c r="AH32" s="20"/>
      <c r="AI32" s="20"/>
      <c r="AJ32" s="20"/>
      <c r="AK32" s="20"/>
      <c r="AL32" s="16"/>
      <c r="AM32" s="16"/>
      <c r="AN32" s="16"/>
      <c r="AO32" s="19"/>
    </row>
    <row r="33" spans="2:41" s="15" customFormat="1" ht="30" x14ac:dyDescent="0.2">
      <c r="B33" s="98"/>
      <c r="C33" s="109">
        <v>2024</v>
      </c>
      <c r="D33" s="99" t="s">
        <v>54</v>
      </c>
      <c r="E33" s="36" t="s">
        <v>393</v>
      </c>
      <c r="F33" s="109" t="s">
        <v>188</v>
      </c>
      <c r="G33" s="35" t="s">
        <v>394</v>
      </c>
      <c r="H33" s="99" t="s">
        <v>395</v>
      </c>
      <c r="I33" s="99" t="s">
        <v>250</v>
      </c>
      <c r="J33" s="99" t="s">
        <v>46</v>
      </c>
      <c r="K33" s="99" t="s">
        <v>416</v>
      </c>
      <c r="L33" s="99">
        <v>1203</v>
      </c>
      <c r="M33" s="102">
        <v>45622</v>
      </c>
      <c r="N33" s="114">
        <v>116300000</v>
      </c>
      <c r="O33" s="105">
        <v>2000000</v>
      </c>
      <c r="P33" s="105">
        <v>11600000</v>
      </c>
      <c r="Q33" s="105">
        <v>0</v>
      </c>
      <c r="R33" s="105">
        <v>66377383</v>
      </c>
      <c r="S33" s="106">
        <f t="shared" si="0"/>
        <v>196277383</v>
      </c>
      <c r="T33" s="104">
        <v>5800000</v>
      </c>
      <c r="U33" s="104"/>
      <c r="V33" s="107">
        <v>36</v>
      </c>
      <c r="W33" s="18"/>
      <c r="X33" s="19"/>
      <c r="Y33" s="19"/>
      <c r="Z33" s="16"/>
      <c r="AA33" s="17"/>
      <c r="AB33" s="17"/>
      <c r="AC33" s="17"/>
      <c r="AD33" s="20"/>
      <c r="AE33" s="20"/>
      <c r="AF33" s="20"/>
      <c r="AG33" s="20"/>
      <c r="AH33" s="20"/>
      <c r="AI33" s="20"/>
      <c r="AJ33" s="20"/>
      <c r="AK33" s="20"/>
      <c r="AL33" s="16"/>
      <c r="AM33" s="16"/>
      <c r="AN33" s="16"/>
      <c r="AO33" s="19"/>
    </row>
    <row r="34" spans="2:41" s="15" customFormat="1" ht="45" x14ac:dyDescent="0.2">
      <c r="B34" s="98">
        <f>+Tabla2[[#This Row],[Año Postulación]]</f>
        <v>2024</v>
      </c>
      <c r="C34" s="109">
        <v>2024</v>
      </c>
      <c r="D34" s="109" t="s">
        <v>440</v>
      </c>
      <c r="E34" s="17" t="s">
        <v>418</v>
      </c>
      <c r="F34" s="109" t="s">
        <v>43</v>
      </c>
      <c r="G34" s="17" t="s">
        <v>419</v>
      </c>
      <c r="H34" s="109" t="s">
        <v>242</v>
      </c>
      <c r="I34" s="109" t="s">
        <v>250</v>
      </c>
      <c r="J34" s="98" t="s">
        <v>420</v>
      </c>
      <c r="K34" s="98" t="s">
        <v>47</v>
      </c>
      <c r="L34" s="98">
        <v>1141</v>
      </c>
      <c r="M34" s="101" t="s">
        <v>441</v>
      </c>
      <c r="N34" s="114">
        <v>25350960</v>
      </c>
      <c r="O34" s="105">
        <v>0</v>
      </c>
      <c r="P34" s="105">
        <v>0</v>
      </c>
      <c r="Q34" s="105">
        <v>0</v>
      </c>
      <c r="R34" s="105">
        <v>15587184</v>
      </c>
      <c r="S34" s="106">
        <f t="shared" si="0"/>
        <v>40938144</v>
      </c>
      <c r="T34" s="104">
        <v>0</v>
      </c>
      <c r="U34" s="104">
        <v>0</v>
      </c>
      <c r="V34" s="107">
        <v>36</v>
      </c>
      <c r="W34" s="18">
        <v>45658</v>
      </c>
      <c r="X34" s="19" t="s">
        <v>446</v>
      </c>
      <c r="Y34" s="19" t="s">
        <v>381</v>
      </c>
      <c r="Z34" s="16" t="s">
        <v>381</v>
      </c>
      <c r="AA34" s="17" t="s">
        <v>391</v>
      </c>
      <c r="AB34" s="17"/>
      <c r="AC34" s="17"/>
      <c r="AD34" s="20">
        <v>25350960</v>
      </c>
      <c r="AE34" s="20">
        <v>0</v>
      </c>
      <c r="AF34" s="20">
        <v>0</v>
      </c>
      <c r="AG34" s="20">
        <v>0</v>
      </c>
      <c r="AH34" s="20">
        <v>15587184</v>
      </c>
      <c r="AI34" s="20">
        <v>0</v>
      </c>
      <c r="AJ34" s="20">
        <v>40938144</v>
      </c>
      <c r="AK34" s="20">
        <v>0</v>
      </c>
      <c r="AL34" s="16">
        <v>503812</v>
      </c>
      <c r="AM34" s="16" t="s">
        <v>451</v>
      </c>
      <c r="AN34" s="16">
        <v>2024</v>
      </c>
      <c r="AO34" s="37">
        <v>45658</v>
      </c>
    </row>
    <row r="35" spans="2:41" s="15" customFormat="1" ht="45" customHeight="1" x14ac:dyDescent="0.2">
      <c r="B35" s="98"/>
      <c r="C35" s="109">
        <v>2024</v>
      </c>
      <c r="D35" s="109" t="s">
        <v>479</v>
      </c>
      <c r="E35" s="17" t="s">
        <v>406</v>
      </c>
      <c r="F35" s="109" t="s">
        <v>43</v>
      </c>
      <c r="G35" s="17" t="s">
        <v>478</v>
      </c>
      <c r="H35" s="109" t="s">
        <v>395</v>
      </c>
      <c r="I35" s="109" t="s">
        <v>141</v>
      </c>
      <c r="J35" s="98" t="s">
        <v>46</v>
      </c>
      <c r="K35" s="98" t="s">
        <v>416</v>
      </c>
      <c r="L35" s="98">
        <v>1123</v>
      </c>
      <c r="M35" s="101">
        <v>45541</v>
      </c>
      <c r="N35" s="114">
        <v>249932000</v>
      </c>
      <c r="O35" s="105">
        <v>2000000</v>
      </c>
      <c r="P35" s="105">
        <v>0</v>
      </c>
      <c r="Q35" s="105">
        <v>0</v>
      </c>
      <c r="R35" s="105">
        <v>53443329</v>
      </c>
      <c r="S35" s="106">
        <f t="shared" si="0"/>
        <v>305375329</v>
      </c>
      <c r="T35" s="104">
        <v>12500000</v>
      </c>
      <c r="U35" s="104">
        <v>0</v>
      </c>
      <c r="V35" s="107">
        <v>36</v>
      </c>
      <c r="W35" s="18"/>
      <c r="X35" s="19"/>
      <c r="Y35" s="19"/>
      <c r="Z35" s="16"/>
      <c r="AA35" s="17"/>
      <c r="AB35" s="17"/>
      <c r="AC35" s="17"/>
      <c r="AD35" s="20"/>
      <c r="AE35" s="20"/>
      <c r="AF35" s="20"/>
      <c r="AG35" s="20"/>
      <c r="AH35" s="20"/>
      <c r="AI35" s="20"/>
      <c r="AJ35" s="20"/>
      <c r="AK35" s="20"/>
      <c r="AL35" s="16"/>
      <c r="AM35" s="16"/>
      <c r="AN35" s="16"/>
      <c r="AO35" s="19"/>
    </row>
    <row r="36" spans="2:41" s="15" customFormat="1" ht="75" x14ac:dyDescent="0.2">
      <c r="B36" s="98"/>
      <c r="C36" s="109">
        <v>2024</v>
      </c>
      <c r="D36" s="109" t="s">
        <v>54</v>
      </c>
      <c r="E36" s="17" t="s">
        <v>370</v>
      </c>
      <c r="F36" s="109" t="s">
        <v>43</v>
      </c>
      <c r="G36" s="17" t="s">
        <v>368</v>
      </c>
      <c r="H36" s="109" t="s">
        <v>242</v>
      </c>
      <c r="I36" s="109" t="s">
        <v>119</v>
      </c>
      <c r="J36" s="98" t="s">
        <v>46</v>
      </c>
      <c r="K36" s="98" t="s">
        <v>416</v>
      </c>
      <c r="L36" s="98">
        <v>1080</v>
      </c>
      <c r="M36" s="101" t="s">
        <v>377</v>
      </c>
      <c r="N36" s="114">
        <v>15000000</v>
      </c>
      <c r="O36" s="105">
        <v>0</v>
      </c>
      <c r="P36" s="105">
        <v>0</v>
      </c>
      <c r="Q36" s="105">
        <v>0</v>
      </c>
      <c r="R36" s="105">
        <v>9402019</v>
      </c>
      <c r="S36" s="106">
        <f t="shared" si="0"/>
        <v>24402019</v>
      </c>
      <c r="T36" s="104">
        <v>0</v>
      </c>
      <c r="U36" s="104">
        <v>0</v>
      </c>
      <c r="V36" s="107">
        <v>7</v>
      </c>
      <c r="W36" s="18"/>
      <c r="X36" s="19"/>
      <c r="Y36" s="19"/>
      <c r="Z36" s="16"/>
      <c r="AA36" s="17"/>
      <c r="AB36" s="17"/>
      <c r="AC36" s="17"/>
      <c r="AD36" s="20"/>
      <c r="AE36" s="20"/>
      <c r="AF36" s="20"/>
      <c r="AG36" s="20"/>
      <c r="AH36" s="20"/>
      <c r="AI36" s="20"/>
      <c r="AJ36" s="20"/>
      <c r="AK36" s="20"/>
      <c r="AL36" s="16"/>
      <c r="AM36" s="16"/>
      <c r="AN36" s="16"/>
      <c r="AO36" s="19"/>
    </row>
    <row r="37" spans="2:41" s="15" customFormat="1" ht="30" customHeight="1" x14ac:dyDescent="0.2">
      <c r="B37" s="98">
        <f>+Tabla2[[#This Row],[Año Postulación]]</f>
        <v>2024</v>
      </c>
      <c r="C37" s="109">
        <v>2024</v>
      </c>
      <c r="D37" s="109" t="s">
        <v>54</v>
      </c>
      <c r="E37" s="17" t="s">
        <v>458</v>
      </c>
      <c r="F37" s="109" t="s">
        <v>43</v>
      </c>
      <c r="G37" s="17" t="s">
        <v>367</v>
      </c>
      <c r="H37" s="109" t="s">
        <v>372</v>
      </c>
      <c r="I37" s="109" t="s">
        <v>57</v>
      </c>
      <c r="J37" s="98" t="s">
        <v>373</v>
      </c>
      <c r="K37" s="98" t="s">
        <v>47</v>
      </c>
      <c r="L37" s="98">
        <v>971</v>
      </c>
      <c r="M37" s="101" t="s">
        <v>376</v>
      </c>
      <c r="N37" s="114">
        <v>0</v>
      </c>
      <c r="O37" s="105">
        <v>0</v>
      </c>
      <c r="P37" s="105">
        <v>0</v>
      </c>
      <c r="Q37" s="105">
        <v>0</v>
      </c>
      <c r="R37" s="105">
        <v>672000</v>
      </c>
      <c r="S37" s="106">
        <f t="shared" si="0"/>
        <v>672000</v>
      </c>
      <c r="T37" s="104">
        <v>0</v>
      </c>
      <c r="U37" s="104">
        <v>0</v>
      </c>
      <c r="V37" s="107">
        <v>1</v>
      </c>
      <c r="W37" s="18" t="s">
        <v>379</v>
      </c>
      <c r="X37" s="19" t="s">
        <v>390</v>
      </c>
      <c r="Y37" s="19" t="s">
        <v>381</v>
      </c>
      <c r="Z37" s="16" t="s">
        <v>381</v>
      </c>
      <c r="AA37" s="17" t="s">
        <v>391</v>
      </c>
      <c r="AB37" s="17" t="s">
        <v>392</v>
      </c>
      <c r="AC37" s="17"/>
      <c r="AD37" s="20">
        <v>0</v>
      </c>
      <c r="AE37" s="20">
        <v>0</v>
      </c>
      <c r="AF37" s="20">
        <v>0</v>
      </c>
      <c r="AG37" s="20">
        <v>0</v>
      </c>
      <c r="AH37" s="20">
        <v>671354</v>
      </c>
      <c r="AI37" s="20">
        <v>0</v>
      </c>
      <c r="AJ37" s="20">
        <v>0</v>
      </c>
      <c r="AK37" s="20">
        <v>0</v>
      </c>
      <c r="AL37" s="16">
        <v>503792</v>
      </c>
      <c r="AM37" s="16" t="s">
        <v>451</v>
      </c>
      <c r="AN37" s="16">
        <v>2024</v>
      </c>
      <c r="AO37" s="37">
        <v>45497</v>
      </c>
    </row>
    <row r="38" spans="2:41" s="15" customFormat="1" ht="30" customHeight="1" x14ac:dyDescent="0.2">
      <c r="B38" s="98">
        <f>+Tabla2[[#This Row],[Año Postulación]]</f>
        <v>2024</v>
      </c>
      <c r="C38" s="109">
        <v>2024</v>
      </c>
      <c r="D38" s="109" t="s">
        <v>54</v>
      </c>
      <c r="E38" s="17" t="s">
        <v>369</v>
      </c>
      <c r="F38" s="109" t="s">
        <v>43</v>
      </c>
      <c r="G38" s="17" t="s">
        <v>366</v>
      </c>
      <c r="H38" s="109" t="s">
        <v>372</v>
      </c>
      <c r="I38" s="109" t="s">
        <v>57</v>
      </c>
      <c r="J38" s="98" t="s">
        <v>46</v>
      </c>
      <c r="K38" s="98" t="s">
        <v>47</v>
      </c>
      <c r="L38" s="98">
        <v>965</v>
      </c>
      <c r="M38" s="101" t="s">
        <v>376</v>
      </c>
      <c r="N38" s="114">
        <v>6970000</v>
      </c>
      <c r="O38" s="105">
        <v>0</v>
      </c>
      <c r="P38" s="105">
        <v>0</v>
      </c>
      <c r="Q38" s="105">
        <v>470000</v>
      </c>
      <c r="R38" s="105">
        <v>1904426</v>
      </c>
      <c r="S38" s="106">
        <f t="shared" si="0"/>
        <v>9344426</v>
      </c>
      <c r="T38" s="104">
        <v>0</v>
      </c>
      <c r="U38" s="104">
        <v>0</v>
      </c>
      <c r="V38" s="107">
        <v>1</v>
      </c>
      <c r="W38" s="18" t="s">
        <v>379</v>
      </c>
      <c r="X38" s="19" t="s">
        <v>384</v>
      </c>
      <c r="Y38" s="19" t="s">
        <v>381</v>
      </c>
      <c r="Z38" s="16" t="s">
        <v>381</v>
      </c>
      <c r="AA38" s="17" t="s">
        <v>385</v>
      </c>
      <c r="AB38" s="17" t="s">
        <v>386</v>
      </c>
      <c r="AC38" s="17"/>
      <c r="AD38" s="20">
        <v>5500000</v>
      </c>
      <c r="AE38" s="20">
        <v>0</v>
      </c>
      <c r="AF38" s="20">
        <v>0</v>
      </c>
      <c r="AG38" s="20">
        <v>470000</v>
      </c>
      <c r="AH38" s="20">
        <v>1904426</v>
      </c>
      <c r="AI38" s="20">
        <v>0</v>
      </c>
      <c r="AJ38" s="20">
        <f>SUM(AD38:AH38)</f>
        <v>7874426</v>
      </c>
      <c r="AK38" s="20">
        <v>0</v>
      </c>
      <c r="AL38" s="16" t="s">
        <v>387</v>
      </c>
      <c r="AM38" s="16" t="s">
        <v>388</v>
      </c>
      <c r="AN38" s="16">
        <v>2024</v>
      </c>
      <c r="AO38" s="19" t="s">
        <v>389</v>
      </c>
    </row>
    <row r="39" spans="2:41" s="15" customFormat="1" ht="15" customHeight="1" x14ac:dyDescent="0.2">
      <c r="B39" s="98">
        <f>+Tabla2[[#This Row],[Año Postulación]]</f>
        <v>2024</v>
      </c>
      <c r="C39" s="109">
        <v>2024</v>
      </c>
      <c r="D39" s="109" t="s">
        <v>54</v>
      </c>
      <c r="E39" s="17" t="s">
        <v>369</v>
      </c>
      <c r="F39" s="109" t="s">
        <v>43</v>
      </c>
      <c r="G39" s="17" t="s">
        <v>365</v>
      </c>
      <c r="H39" s="109" t="s">
        <v>242</v>
      </c>
      <c r="I39" s="109" t="s">
        <v>101</v>
      </c>
      <c r="J39" s="98" t="s">
        <v>371</v>
      </c>
      <c r="K39" s="98" t="s">
        <v>47</v>
      </c>
      <c r="L39" s="99">
        <v>964</v>
      </c>
      <c r="M39" s="101" t="s">
        <v>376</v>
      </c>
      <c r="N39" s="114">
        <v>6962647</v>
      </c>
      <c r="O39" s="105">
        <v>0</v>
      </c>
      <c r="P39" s="105">
        <v>1300000</v>
      </c>
      <c r="Q39" s="105">
        <v>600000</v>
      </c>
      <c r="R39" s="105">
        <v>2395217</v>
      </c>
      <c r="S39" s="106">
        <f t="shared" si="0"/>
        <v>11257864</v>
      </c>
      <c r="T39" s="104">
        <v>0</v>
      </c>
      <c r="U39" s="104">
        <v>0</v>
      </c>
      <c r="V39" s="107">
        <v>1</v>
      </c>
      <c r="W39" s="18" t="s">
        <v>379</v>
      </c>
      <c r="X39" s="19" t="s">
        <v>380</v>
      </c>
      <c r="Y39" s="19" t="s">
        <v>381</v>
      </c>
      <c r="Z39" s="16" t="s">
        <v>381</v>
      </c>
      <c r="AA39" s="17" t="s">
        <v>382</v>
      </c>
      <c r="AB39" s="17" t="s">
        <v>383</v>
      </c>
      <c r="AC39" s="17"/>
      <c r="AD39" s="20">
        <v>5500000</v>
      </c>
      <c r="AE39" s="20">
        <v>0</v>
      </c>
      <c r="AF39" s="20">
        <v>1300000</v>
      </c>
      <c r="AG39" s="20">
        <v>600000</v>
      </c>
      <c r="AH39" s="20">
        <v>2504613</v>
      </c>
      <c r="AI39" s="20">
        <v>0</v>
      </c>
      <c r="AJ39" s="20">
        <v>9904613</v>
      </c>
      <c r="AK39" s="20">
        <v>0</v>
      </c>
      <c r="AL39" s="16">
        <v>503765</v>
      </c>
      <c r="AM39" s="16" t="s">
        <v>451</v>
      </c>
      <c r="AN39" s="16">
        <v>2024</v>
      </c>
      <c r="AO39" s="37">
        <v>45505</v>
      </c>
    </row>
    <row r="40" spans="2:41" s="15" customFormat="1" ht="30" x14ac:dyDescent="0.2">
      <c r="B40" s="98"/>
      <c r="C40" s="109">
        <v>2023</v>
      </c>
      <c r="D40" s="109" t="s">
        <v>316</v>
      </c>
      <c r="E40" s="17" t="s">
        <v>353</v>
      </c>
      <c r="F40" s="109" t="s">
        <v>43</v>
      </c>
      <c r="G40" s="17" t="s">
        <v>352</v>
      </c>
      <c r="H40" s="109" t="s">
        <v>100</v>
      </c>
      <c r="I40" s="109" t="s">
        <v>101</v>
      </c>
      <c r="J40" s="98" t="s">
        <v>355</v>
      </c>
      <c r="K40" s="98" t="s">
        <v>416</v>
      </c>
      <c r="L40" s="98">
        <v>795</v>
      </c>
      <c r="M40" s="101">
        <v>45155</v>
      </c>
      <c r="N40" s="114">
        <v>30000000</v>
      </c>
      <c r="O40" s="105">
        <v>0</v>
      </c>
      <c r="P40" s="105">
        <v>0</v>
      </c>
      <c r="Q40" s="105">
        <v>0</v>
      </c>
      <c r="R40" s="105">
        <v>18773412</v>
      </c>
      <c r="S40" s="106">
        <f t="shared" si="0"/>
        <v>48773412</v>
      </c>
      <c r="T40" s="104">
        <v>30000000</v>
      </c>
      <c r="U40" s="104">
        <v>0</v>
      </c>
      <c r="V40" s="107">
        <v>24</v>
      </c>
      <c r="W40" s="18"/>
      <c r="X40" s="19" t="s">
        <v>356</v>
      </c>
      <c r="Y40" s="19"/>
      <c r="Z40" s="16"/>
      <c r="AA40" s="17"/>
      <c r="AB40" s="17"/>
      <c r="AC40" s="17" t="s">
        <v>364</v>
      </c>
      <c r="AD40" s="20"/>
      <c r="AE40" s="20"/>
      <c r="AF40" s="20"/>
      <c r="AG40" s="20"/>
      <c r="AH40" s="20"/>
      <c r="AI40" s="20"/>
      <c r="AJ40" s="20"/>
      <c r="AK40" s="20"/>
      <c r="AL40" s="16"/>
      <c r="AM40" s="16"/>
      <c r="AN40" s="16"/>
      <c r="AO40" s="19"/>
    </row>
    <row r="41" spans="2:41" s="15" customFormat="1" ht="15" customHeight="1" x14ac:dyDescent="0.2">
      <c r="B41" s="98">
        <f>+Tabla2[[#This Row],[Año Postulación]]</f>
        <v>2023</v>
      </c>
      <c r="C41" s="109">
        <v>2023</v>
      </c>
      <c r="D41" s="109" t="s">
        <v>266</v>
      </c>
      <c r="E41" s="17" t="s">
        <v>343</v>
      </c>
      <c r="F41" s="109" t="s">
        <v>43</v>
      </c>
      <c r="G41" s="17" t="s">
        <v>344</v>
      </c>
      <c r="H41" s="109" t="s">
        <v>100</v>
      </c>
      <c r="I41" s="109" t="s">
        <v>470</v>
      </c>
      <c r="J41" s="98" t="s">
        <v>46</v>
      </c>
      <c r="K41" s="98" t="s">
        <v>47</v>
      </c>
      <c r="L41" s="98">
        <v>781</v>
      </c>
      <c r="M41" s="101">
        <v>45139</v>
      </c>
      <c r="N41" s="114">
        <v>165595000</v>
      </c>
      <c r="O41" s="105">
        <v>8284750</v>
      </c>
      <c r="P41" s="105"/>
      <c r="Q41" s="105"/>
      <c r="R41" s="105">
        <v>8284750</v>
      </c>
      <c r="S41" s="106">
        <f t="shared" si="0"/>
        <v>182164500</v>
      </c>
      <c r="T41" s="104">
        <v>8200000</v>
      </c>
      <c r="U41" s="104">
        <v>0</v>
      </c>
      <c r="V41" s="107">
        <v>36</v>
      </c>
      <c r="W41" s="18">
        <v>45603</v>
      </c>
      <c r="X41" s="19"/>
      <c r="Y41" s="19"/>
      <c r="Z41" s="16"/>
      <c r="AA41" s="17"/>
      <c r="AB41" s="17"/>
      <c r="AC41" s="17"/>
      <c r="AD41" s="20">
        <v>165595000</v>
      </c>
      <c r="AE41" s="20">
        <v>8284750</v>
      </c>
      <c r="AF41" s="20">
        <v>0</v>
      </c>
      <c r="AG41" s="20">
        <v>0</v>
      </c>
      <c r="AH41" s="20">
        <v>8284750</v>
      </c>
      <c r="AI41" s="20"/>
      <c r="AJ41" s="20">
        <v>182164500</v>
      </c>
      <c r="AK41" s="20">
        <v>8200000</v>
      </c>
      <c r="AL41" s="16">
        <v>503766</v>
      </c>
      <c r="AM41" s="16" t="s">
        <v>451</v>
      </c>
      <c r="AN41" s="16">
        <v>2024</v>
      </c>
      <c r="AO41" s="37">
        <v>45603</v>
      </c>
    </row>
    <row r="42" spans="2:41" s="15" customFormat="1" ht="15" customHeight="1" x14ac:dyDescent="0.2">
      <c r="B42" s="98"/>
      <c r="C42" s="109">
        <v>2023</v>
      </c>
      <c r="D42" s="109" t="s">
        <v>266</v>
      </c>
      <c r="E42" s="17" t="s">
        <v>343</v>
      </c>
      <c r="F42" s="109" t="s">
        <v>43</v>
      </c>
      <c r="G42" s="17" t="s">
        <v>348</v>
      </c>
      <c r="H42" s="109" t="s">
        <v>349</v>
      </c>
      <c r="I42" s="109" t="s">
        <v>473</v>
      </c>
      <c r="J42" s="98" t="s">
        <v>46</v>
      </c>
      <c r="K42" s="98" t="s">
        <v>416</v>
      </c>
      <c r="L42" s="98">
        <v>777</v>
      </c>
      <c r="M42" s="101">
        <v>45139</v>
      </c>
      <c r="N42" s="114">
        <v>249994800</v>
      </c>
      <c r="O42" s="105">
        <v>12545000</v>
      </c>
      <c r="P42" s="105"/>
      <c r="Q42" s="105"/>
      <c r="R42" s="105">
        <v>12543100</v>
      </c>
      <c r="S42" s="106">
        <f t="shared" si="0"/>
        <v>275082900</v>
      </c>
      <c r="T42" s="104">
        <v>12500000</v>
      </c>
      <c r="U42" s="104">
        <v>0</v>
      </c>
      <c r="V42" s="107">
        <v>36</v>
      </c>
      <c r="W42" s="18"/>
      <c r="X42" s="19"/>
      <c r="Y42" s="19"/>
      <c r="Z42" s="16"/>
      <c r="AA42" s="17"/>
      <c r="AB42" s="17"/>
      <c r="AC42" s="17"/>
      <c r="AD42" s="20"/>
      <c r="AE42" s="20"/>
      <c r="AF42" s="20"/>
      <c r="AG42" s="20"/>
      <c r="AH42" s="20"/>
      <c r="AI42" s="20"/>
      <c r="AJ42" s="20"/>
      <c r="AK42" s="20"/>
      <c r="AL42" s="16"/>
      <c r="AM42" s="16"/>
      <c r="AN42" s="16"/>
      <c r="AO42" s="19"/>
    </row>
    <row r="43" spans="2:41" s="15" customFormat="1" ht="30" customHeight="1" x14ac:dyDescent="0.2">
      <c r="B43" s="98">
        <f>+Tabla2[[#This Row],[Año Postulación]]</f>
        <v>2023</v>
      </c>
      <c r="C43" s="109">
        <v>2023</v>
      </c>
      <c r="D43" s="109" t="s">
        <v>266</v>
      </c>
      <c r="E43" s="17" t="s">
        <v>343</v>
      </c>
      <c r="F43" s="109" t="s">
        <v>43</v>
      </c>
      <c r="G43" s="17" t="s">
        <v>346</v>
      </c>
      <c r="H43" s="109" t="s">
        <v>100</v>
      </c>
      <c r="I43" s="109" t="s">
        <v>75</v>
      </c>
      <c r="J43" s="98" t="s">
        <v>46</v>
      </c>
      <c r="K43" s="98" t="s">
        <v>47</v>
      </c>
      <c r="L43" s="98">
        <v>775</v>
      </c>
      <c r="M43" s="101">
        <v>45139</v>
      </c>
      <c r="N43" s="114">
        <v>250000000</v>
      </c>
      <c r="O43" s="105">
        <v>12500000</v>
      </c>
      <c r="P43" s="105"/>
      <c r="Q43" s="105"/>
      <c r="R43" s="105">
        <v>12500000</v>
      </c>
      <c r="S43" s="106">
        <f t="shared" si="0"/>
        <v>275000000</v>
      </c>
      <c r="T43" s="104">
        <v>12500000</v>
      </c>
      <c r="U43" s="104">
        <v>0</v>
      </c>
      <c r="V43" s="107">
        <v>36</v>
      </c>
      <c r="W43" s="18"/>
      <c r="X43" s="19"/>
      <c r="Y43" s="19"/>
      <c r="Z43" s="16"/>
      <c r="AA43" s="17"/>
      <c r="AB43" s="17" t="s">
        <v>449</v>
      </c>
      <c r="AC43" s="17"/>
      <c r="AD43" s="20">
        <v>250000000</v>
      </c>
      <c r="AE43" s="20">
        <v>12500000</v>
      </c>
      <c r="AF43" s="20"/>
      <c r="AG43" s="20"/>
      <c r="AH43" s="20">
        <v>12500000</v>
      </c>
      <c r="AI43" s="20"/>
      <c r="AJ43" s="20"/>
      <c r="AK43" s="20">
        <v>12500000</v>
      </c>
      <c r="AL43" s="16">
        <v>503767</v>
      </c>
      <c r="AM43" s="16"/>
      <c r="AN43" s="16">
        <v>2024</v>
      </c>
      <c r="AO43" s="37">
        <v>45516</v>
      </c>
    </row>
    <row r="44" spans="2:41" s="15" customFormat="1" ht="46.5" customHeight="1" x14ac:dyDescent="0.2">
      <c r="B44" s="98">
        <f>+Tabla2[[#This Row],[Año Postulación]]</f>
        <v>2022</v>
      </c>
      <c r="C44" s="109">
        <v>2022</v>
      </c>
      <c r="D44" s="109" t="s">
        <v>316</v>
      </c>
      <c r="E44" s="17" t="s">
        <v>318</v>
      </c>
      <c r="F44" s="109" t="s">
        <v>43</v>
      </c>
      <c r="G44" s="17" t="s">
        <v>313</v>
      </c>
      <c r="H44" s="109" t="s">
        <v>100</v>
      </c>
      <c r="I44" s="109" t="s">
        <v>119</v>
      </c>
      <c r="J44" s="98" t="s">
        <v>338</v>
      </c>
      <c r="K44" s="98" t="s">
        <v>47</v>
      </c>
      <c r="L44" s="98">
        <v>501</v>
      </c>
      <c r="M44" s="101">
        <v>44783</v>
      </c>
      <c r="N44" s="114">
        <v>393269671</v>
      </c>
      <c r="O44" s="105">
        <v>0</v>
      </c>
      <c r="P44" s="105">
        <v>0</v>
      </c>
      <c r="Q44" s="105">
        <v>0</v>
      </c>
      <c r="R44" s="105">
        <v>184375763</v>
      </c>
      <c r="S44" s="106">
        <f t="shared" si="0"/>
        <v>577645434</v>
      </c>
      <c r="T44" s="104">
        <v>47606856</v>
      </c>
      <c r="U44" s="104">
        <v>0</v>
      </c>
      <c r="V44" s="107">
        <v>60</v>
      </c>
      <c r="W44" s="18"/>
      <c r="X44" s="19" t="s">
        <v>319</v>
      </c>
      <c r="Y44" s="19"/>
      <c r="Z44" s="16"/>
      <c r="AA44" s="17"/>
      <c r="AB44" s="17" t="s">
        <v>455</v>
      </c>
      <c r="AC44" s="17"/>
      <c r="AD44" s="20">
        <v>393269671</v>
      </c>
      <c r="AE44" s="20">
        <v>0</v>
      </c>
      <c r="AF44" s="20">
        <v>0</v>
      </c>
      <c r="AG44" s="20">
        <v>0</v>
      </c>
      <c r="AH44" s="20">
        <v>184375763</v>
      </c>
      <c r="AI44" s="20">
        <v>0</v>
      </c>
      <c r="AJ44" s="20">
        <v>577645434</v>
      </c>
      <c r="AK44" s="20">
        <v>39200000</v>
      </c>
      <c r="AL44" s="16">
        <v>503410</v>
      </c>
      <c r="AM44" s="16" t="s">
        <v>451</v>
      </c>
      <c r="AN44" s="16">
        <v>2022</v>
      </c>
      <c r="AO44" s="37">
        <v>44866</v>
      </c>
    </row>
    <row r="45" spans="2:41" s="15" customFormat="1" ht="39" customHeight="1" x14ac:dyDescent="0.2">
      <c r="B45" s="98">
        <f>+Tabla2[[#This Row],[Año Postulación]]</f>
        <v>2022</v>
      </c>
      <c r="C45" s="109">
        <v>2022</v>
      </c>
      <c r="D45" s="109" t="s">
        <v>266</v>
      </c>
      <c r="E45" s="17" t="s">
        <v>267</v>
      </c>
      <c r="F45" s="109" t="s">
        <v>43</v>
      </c>
      <c r="G45" s="17" t="s">
        <v>264</v>
      </c>
      <c r="H45" s="109" t="s">
        <v>100</v>
      </c>
      <c r="I45" s="109" t="s">
        <v>452</v>
      </c>
      <c r="J45" s="98" t="s">
        <v>46</v>
      </c>
      <c r="K45" s="98" t="s">
        <v>47</v>
      </c>
      <c r="L45" s="98">
        <v>495</v>
      </c>
      <c r="M45" s="101">
        <v>44774</v>
      </c>
      <c r="N45" s="114">
        <v>126038591</v>
      </c>
      <c r="O45" s="105">
        <v>0</v>
      </c>
      <c r="P45" s="105">
        <v>0</v>
      </c>
      <c r="Q45" s="105">
        <v>11025000</v>
      </c>
      <c r="R45" s="105">
        <v>11004864</v>
      </c>
      <c r="S45" s="106">
        <f t="shared" si="0"/>
        <v>148068455</v>
      </c>
      <c r="T45" s="104">
        <v>6800000</v>
      </c>
      <c r="U45" s="104">
        <v>0</v>
      </c>
      <c r="V45" s="107">
        <v>36</v>
      </c>
      <c r="W45" s="18">
        <v>44918</v>
      </c>
      <c r="X45" s="19"/>
      <c r="Y45" s="19"/>
      <c r="Z45" s="16"/>
      <c r="AA45" s="17" t="s">
        <v>453</v>
      </c>
      <c r="AB45" s="17" t="s">
        <v>454</v>
      </c>
      <c r="AC45" s="17"/>
      <c r="AD45" s="20">
        <v>126039000</v>
      </c>
      <c r="AE45" s="20">
        <v>0</v>
      </c>
      <c r="AF45" s="20">
        <v>0</v>
      </c>
      <c r="AG45" s="20">
        <v>11025000</v>
      </c>
      <c r="AH45" s="20">
        <v>11004825</v>
      </c>
      <c r="AI45" s="20"/>
      <c r="AJ45" s="20">
        <v>148068825</v>
      </c>
      <c r="AK45" s="20">
        <v>1500000</v>
      </c>
      <c r="AL45" s="16">
        <v>503420</v>
      </c>
      <c r="AM45" s="16" t="s">
        <v>451</v>
      </c>
      <c r="AN45" s="16">
        <v>2022</v>
      </c>
      <c r="AO45" s="37">
        <v>44918</v>
      </c>
    </row>
    <row r="46" spans="2:41" s="15" customFormat="1" ht="30" x14ac:dyDescent="0.2">
      <c r="B46" s="98">
        <f>+Tabla2[[#This Row],[Año Postulación]]</f>
        <v>2022</v>
      </c>
      <c r="C46" s="109">
        <v>2022</v>
      </c>
      <c r="D46" s="109" t="s">
        <v>266</v>
      </c>
      <c r="E46" s="17" t="s">
        <v>267</v>
      </c>
      <c r="F46" s="109" t="s">
        <v>43</v>
      </c>
      <c r="G46" s="17" t="s">
        <v>268</v>
      </c>
      <c r="H46" s="109" t="s">
        <v>100</v>
      </c>
      <c r="I46" s="109" t="s">
        <v>475</v>
      </c>
      <c r="J46" s="98" t="s">
        <v>46</v>
      </c>
      <c r="K46" s="98" t="s">
        <v>47</v>
      </c>
      <c r="L46" s="98">
        <v>494</v>
      </c>
      <c r="M46" s="101">
        <v>44774</v>
      </c>
      <c r="N46" s="114">
        <v>100533326</v>
      </c>
      <c r="O46" s="105">
        <v>9000000</v>
      </c>
      <c r="P46" s="105">
        <v>0</v>
      </c>
      <c r="Q46" s="105">
        <v>13240634</v>
      </c>
      <c r="R46" s="105">
        <v>4920000</v>
      </c>
      <c r="S46" s="106">
        <f t="shared" si="0"/>
        <v>127693960</v>
      </c>
      <c r="T46" s="104">
        <v>5026000</v>
      </c>
      <c r="U46" s="104">
        <v>0</v>
      </c>
      <c r="V46" s="107">
        <v>36</v>
      </c>
      <c r="W46" s="18">
        <v>44918</v>
      </c>
      <c r="X46" s="19"/>
      <c r="Y46" s="19"/>
      <c r="Z46" s="16"/>
      <c r="AA46" s="17"/>
      <c r="AB46" s="17" t="s">
        <v>456</v>
      </c>
      <c r="AC46" s="17"/>
      <c r="AD46" s="20">
        <v>100533326</v>
      </c>
      <c r="AE46" s="20">
        <v>9000000</v>
      </c>
      <c r="AF46" s="20">
        <v>0</v>
      </c>
      <c r="AG46" s="20">
        <v>4920000</v>
      </c>
      <c r="AH46" s="20">
        <v>13240634</v>
      </c>
      <c r="AI46" s="20">
        <v>0</v>
      </c>
      <c r="AJ46" s="20">
        <v>127693960</v>
      </c>
      <c r="AK46" s="20">
        <v>5026000</v>
      </c>
      <c r="AL46" s="16">
        <v>503419</v>
      </c>
      <c r="AM46" s="16" t="s">
        <v>451</v>
      </c>
      <c r="AN46" s="16">
        <v>2022</v>
      </c>
      <c r="AO46" s="37">
        <v>44918</v>
      </c>
    </row>
    <row r="47" spans="2:41" s="15" customFormat="1" ht="30" x14ac:dyDescent="0.2">
      <c r="B47" s="98"/>
      <c r="C47" s="109">
        <v>2022</v>
      </c>
      <c r="D47" s="109" t="s">
        <v>54</v>
      </c>
      <c r="E47" s="17" t="s">
        <v>241</v>
      </c>
      <c r="F47" s="109" t="s">
        <v>43</v>
      </c>
      <c r="G47" s="17" t="s">
        <v>447</v>
      </c>
      <c r="H47" s="109" t="s">
        <v>100</v>
      </c>
      <c r="I47" s="109" t="s">
        <v>57</v>
      </c>
      <c r="J47" s="98" t="s">
        <v>46</v>
      </c>
      <c r="K47" s="98" t="s">
        <v>416</v>
      </c>
      <c r="L47" s="98">
        <v>409</v>
      </c>
      <c r="M47" s="101">
        <v>44642</v>
      </c>
      <c r="N47" s="114">
        <v>6998600</v>
      </c>
      <c r="O47" s="105"/>
      <c r="P47" s="105">
        <v>850000</v>
      </c>
      <c r="Q47" s="105">
        <v>35000</v>
      </c>
      <c r="R47" s="105">
        <v>2082961</v>
      </c>
      <c r="S47" s="106">
        <f t="shared" si="0"/>
        <v>9966561</v>
      </c>
      <c r="T47" s="104"/>
      <c r="U47" s="104"/>
      <c r="V47" s="107"/>
      <c r="W47" s="18"/>
      <c r="X47" s="19"/>
      <c r="Y47" s="19"/>
      <c r="Z47" s="16"/>
      <c r="AA47" s="17"/>
      <c r="AB47" s="17"/>
      <c r="AC47" s="17"/>
      <c r="AD47" s="20"/>
      <c r="AE47" s="20"/>
      <c r="AF47" s="20"/>
      <c r="AG47" s="20"/>
      <c r="AH47" s="20"/>
      <c r="AI47" s="20"/>
      <c r="AJ47" s="20"/>
      <c r="AK47" s="20"/>
      <c r="AL47" s="16"/>
      <c r="AM47" s="16"/>
      <c r="AN47" s="16"/>
      <c r="AO47" s="19"/>
    </row>
    <row r="48" spans="2:41" s="15" customFormat="1" ht="30" customHeight="1" x14ac:dyDescent="0.2">
      <c r="B48" s="98"/>
      <c r="C48" s="109">
        <v>2021</v>
      </c>
      <c r="D48" s="109" t="s">
        <v>54</v>
      </c>
      <c r="E48" s="17" t="s">
        <v>159</v>
      </c>
      <c r="F48" s="109" t="s">
        <v>43</v>
      </c>
      <c r="G48" s="17" t="s">
        <v>160</v>
      </c>
      <c r="H48" s="109" t="s">
        <v>100</v>
      </c>
      <c r="I48" s="109" t="s">
        <v>119</v>
      </c>
      <c r="J48" s="98" t="s">
        <v>46</v>
      </c>
      <c r="K48" s="98" t="s">
        <v>416</v>
      </c>
      <c r="L48" s="98">
        <v>301</v>
      </c>
      <c r="M48" s="101">
        <v>44405</v>
      </c>
      <c r="N48" s="114">
        <v>20000000</v>
      </c>
      <c r="O48" s="105">
        <v>0</v>
      </c>
      <c r="P48" s="105">
        <v>300000</v>
      </c>
      <c r="Q48" s="105">
        <v>100000</v>
      </c>
      <c r="R48" s="105">
        <v>12183486</v>
      </c>
      <c r="S48" s="106">
        <f t="shared" si="0"/>
        <v>32583486</v>
      </c>
      <c r="T48" s="104"/>
      <c r="U48" s="104">
        <v>1400000</v>
      </c>
      <c r="V48" s="107">
        <v>12</v>
      </c>
      <c r="W48" s="18"/>
      <c r="X48" s="19"/>
      <c r="Y48" s="19">
        <v>44484</v>
      </c>
      <c r="Z48" s="16" t="s">
        <v>161</v>
      </c>
      <c r="AA48" s="17" t="s">
        <v>162</v>
      </c>
      <c r="AB48" s="17" t="s">
        <v>163</v>
      </c>
      <c r="AC48" s="17" t="s">
        <v>164</v>
      </c>
      <c r="AD48" s="20"/>
      <c r="AE48" s="20"/>
      <c r="AF48" s="20"/>
      <c r="AG48" s="20"/>
      <c r="AH48" s="20"/>
      <c r="AI48" s="20"/>
      <c r="AJ48" s="20"/>
      <c r="AK48" s="20"/>
      <c r="AL48" s="16"/>
      <c r="AM48" s="16"/>
      <c r="AN48" s="16"/>
      <c r="AO48" s="19"/>
    </row>
    <row r="49" spans="2:41" s="15" customFormat="1" ht="45" customHeight="1" x14ac:dyDescent="0.2">
      <c r="B49" s="98"/>
      <c r="C49" s="109">
        <v>2021</v>
      </c>
      <c r="D49" s="109" t="s">
        <v>72</v>
      </c>
      <c r="E49" s="17" t="s">
        <v>165</v>
      </c>
      <c r="F49" s="109" t="s">
        <v>43</v>
      </c>
      <c r="G49" s="17" t="s">
        <v>166</v>
      </c>
      <c r="H49" s="109" t="s">
        <v>100</v>
      </c>
      <c r="I49" s="109" t="s">
        <v>119</v>
      </c>
      <c r="J49" s="98" t="s">
        <v>46</v>
      </c>
      <c r="K49" s="98" t="s">
        <v>416</v>
      </c>
      <c r="L49" s="98">
        <v>232</v>
      </c>
      <c r="M49" s="101">
        <v>44389</v>
      </c>
      <c r="N49" s="114">
        <v>200000000</v>
      </c>
      <c r="O49" s="105">
        <v>0</v>
      </c>
      <c r="P49" s="105">
        <v>200000</v>
      </c>
      <c r="Q49" s="105">
        <v>0</v>
      </c>
      <c r="R49" s="105">
        <v>25400000</v>
      </c>
      <c r="S49" s="106">
        <f t="shared" si="0"/>
        <v>225600000</v>
      </c>
      <c r="T49" s="104">
        <v>10000000</v>
      </c>
      <c r="U49" s="104">
        <v>0</v>
      </c>
      <c r="V49" s="107">
        <v>18</v>
      </c>
      <c r="W49" s="18"/>
      <c r="X49" s="19"/>
      <c r="Y49" s="19"/>
      <c r="Z49" s="16"/>
      <c r="AA49" s="17"/>
      <c r="AB49" s="17" t="s">
        <v>122</v>
      </c>
      <c r="AC49" s="17" t="s">
        <v>167</v>
      </c>
      <c r="AD49" s="20"/>
      <c r="AE49" s="20"/>
      <c r="AF49" s="20"/>
      <c r="AG49" s="20"/>
      <c r="AH49" s="20"/>
      <c r="AI49" s="20"/>
      <c r="AJ49" s="20">
        <v>0</v>
      </c>
      <c r="AK49" s="20"/>
      <c r="AL49" s="16"/>
      <c r="AM49" s="16"/>
      <c r="AN49" s="16"/>
      <c r="AO49" s="19"/>
    </row>
    <row r="50" spans="2:41" s="15" customFormat="1" ht="33.75" customHeight="1" x14ac:dyDescent="0.2">
      <c r="B50" s="98"/>
      <c r="C50" s="109">
        <v>2022</v>
      </c>
      <c r="D50" s="109" t="s">
        <v>72</v>
      </c>
      <c r="E50" s="17" t="s">
        <v>73</v>
      </c>
      <c r="F50" s="109" t="s">
        <v>43</v>
      </c>
      <c r="G50" s="17" t="s">
        <v>287</v>
      </c>
      <c r="H50" s="109" t="s">
        <v>218</v>
      </c>
      <c r="I50" s="109" t="s">
        <v>57</v>
      </c>
      <c r="J50" s="98" t="s">
        <v>46</v>
      </c>
      <c r="K50" s="98" t="s">
        <v>416</v>
      </c>
      <c r="L50" s="98">
        <v>212</v>
      </c>
      <c r="M50" s="101" t="s">
        <v>273</v>
      </c>
      <c r="N50" s="114">
        <v>684754000</v>
      </c>
      <c r="O50" s="105"/>
      <c r="P50" s="105"/>
      <c r="Q50" s="105"/>
      <c r="R50" s="105">
        <v>0</v>
      </c>
      <c r="S50" s="106">
        <f t="shared" si="0"/>
        <v>684754000</v>
      </c>
      <c r="T50" s="104">
        <v>34207000</v>
      </c>
      <c r="U50" s="104">
        <v>0</v>
      </c>
      <c r="V50" s="107">
        <v>48</v>
      </c>
      <c r="W50" s="18">
        <v>44927</v>
      </c>
      <c r="X50" s="19"/>
      <c r="Y50" s="19"/>
      <c r="Z50" s="16"/>
      <c r="AA50" s="17"/>
      <c r="AB50" s="38" t="s">
        <v>450</v>
      </c>
      <c r="AC50" s="17"/>
      <c r="AD50" s="113">
        <v>684754000</v>
      </c>
      <c r="AE50" s="20">
        <v>0</v>
      </c>
      <c r="AF50" s="20">
        <v>0</v>
      </c>
      <c r="AG50" s="20">
        <v>0</v>
      </c>
      <c r="AH50" s="114">
        <v>167536094</v>
      </c>
      <c r="AI50" s="20">
        <v>0</v>
      </c>
      <c r="AJ50" s="115">
        <v>34207000</v>
      </c>
      <c r="AK50" s="20">
        <v>0</v>
      </c>
      <c r="AL50" s="16">
        <v>503418</v>
      </c>
      <c r="AM50" s="16" t="s">
        <v>451</v>
      </c>
      <c r="AN50" s="16">
        <v>2023</v>
      </c>
      <c r="AO50" s="37">
        <v>44927</v>
      </c>
    </row>
    <row r="51" spans="2:41" s="15" customFormat="1" ht="35.25" customHeight="1" x14ac:dyDescent="0.2">
      <c r="B51" s="98"/>
      <c r="C51" s="109">
        <v>2021</v>
      </c>
      <c r="D51" s="109" t="s">
        <v>72</v>
      </c>
      <c r="E51" s="17" t="s">
        <v>165</v>
      </c>
      <c r="F51" s="109" t="s">
        <v>43</v>
      </c>
      <c r="G51" s="17" t="s">
        <v>239</v>
      </c>
      <c r="H51" s="109" t="s">
        <v>100</v>
      </c>
      <c r="I51" s="109" t="s">
        <v>57</v>
      </c>
      <c r="J51" s="98" t="s">
        <v>46</v>
      </c>
      <c r="K51" s="98" t="s">
        <v>416</v>
      </c>
      <c r="L51" s="98">
        <v>212</v>
      </c>
      <c r="M51" s="101">
        <v>44410</v>
      </c>
      <c r="N51" s="114">
        <v>467365000</v>
      </c>
      <c r="O51" s="105">
        <v>10000000</v>
      </c>
      <c r="P51" s="105">
        <v>20000000</v>
      </c>
      <c r="Q51" s="105"/>
      <c r="R51" s="105">
        <v>125018000</v>
      </c>
      <c r="S51" s="106">
        <f t="shared" si="0"/>
        <v>622383000</v>
      </c>
      <c r="T51" s="104"/>
      <c r="U51" s="104"/>
      <c r="V51" s="107"/>
      <c r="W51" s="18"/>
      <c r="X51" s="19"/>
      <c r="Y51" s="19"/>
      <c r="Z51" s="16"/>
      <c r="AA51" s="17"/>
      <c r="AB51" s="17"/>
      <c r="AC51" s="17"/>
      <c r="AD51" s="20"/>
      <c r="AE51" s="20"/>
      <c r="AF51" s="20"/>
      <c r="AG51" s="20"/>
      <c r="AH51" s="20"/>
      <c r="AI51" s="20"/>
      <c r="AJ51" s="20"/>
      <c r="AK51" s="20"/>
      <c r="AL51" s="16"/>
      <c r="AM51" s="16"/>
      <c r="AN51" s="16"/>
      <c r="AO51" s="19"/>
    </row>
    <row r="52" spans="2:41" s="15" customFormat="1" ht="48.75" customHeight="1" x14ac:dyDescent="0.2">
      <c r="B52" s="98">
        <f>+Tabla2[[#This Row],[Año Postulación]]</f>
        <v>2021</v>
      </c>
      <c r="C52" s="109">
        <v>2021</v>
      </c>
      <c r="D52" s="109" t="s">
        <v>54</v>
      </c>
      <c r="E52" s="17" t="s">
        <v>151</v>
      </c>
      <c r="F52" s="109" t="s">
        <v>43</v>
      </c>
      <c r="G52" s="17" t="s">
        <v>152</v>
      </c>
      <c r="H52" s="109" t="s">
        <v>100</v>
      </c>
      <c r="I52" s="109" t="s">
        <v>57</v>
      </c>
      <c r="J52" s="98" t="s">
        <v>46</v>
      </c>
      <c r="K52" s="98" t="s">
        <v>47</v>
      </c>
      <c r="L52" s="98">
        <v>149</v>
      </c>
      <c r="M52" s="101">
        <v>44217</v>
      </c>
      <c r="N52" s="114">
        <v>6990000</v>
      </c>
      <c r="O52" s="105">
        <v>0</v>
      </c>
      <c r="P52" s="105">
        <v>0</v>
      </c>
      <c r="Q52" s="105">
        <v>1750000</v>
      </c>
      <c r="R52" s="105">
        <v>21000</v>
      </c>
      <c r="S52" s="106">
        <f t="shared" si="0"/>
        <v>8761000</v>
      </c>
      <c r="T52" s="104">
        <v>0</v>
      </c>
      <c r="U52" s="104">
        <v>0</v>
      </c>
      <c r="V52" s="107">
        <v>3</v>
      </c>
      <c r="W52" s="18">
        <v>44279</v>
      </c>
      <c r="X52" s="19" t="s">
        <v>153</v>
      </c>
      <c r="Y52" s="19"/>
      <c r="Z52" s="16"/>
      <c r="AA52" s="17" t="s">
        <v>154</v>
      </c>
      <c r="AB52" s="17" t="s">
        <v>155</v>
      </c>
      <c r="AC52" s="17" t="s">
        <v>156</v>
      </c>
      <c r="AD52" s="20">
        <v>6990000</v>
      </c>
      <c r="AE52" s="20"/>
      <c r="AF52" s="20"/>
      <c r="AG52" s="20">
        <v>21000</v>
      </c>
      <c r="AH52" s="20">
        <v>1771000</v>
      </c>
      <c r="AI52" s="20">
        <v>0</v>
      </c>
      <c r="AJ52" s="20">
        <v>8782000</v>
      </c>
      <c r="AK52" s="20"/>
      <c r="AL52" s="16" t="s">
        <v>157</v>
      </c>
      <c r="AM52" s="16" t="s">
        <v>50</v>
      </c>
      <c r="AN52" s="16">
        <v>2021</v>
      </c>
      <c r="AO52" s="19" t="s">
        <v>158</v>
      </c>
    </row>
    <row r="53" spans="2:41" s="15" customFormat="1" ht="41.25" customHeight="1" x14ac:dyDescent="0.2">
      <c r="B53" s="98"/>
      <c r="C53" s="109">
        <v>2020</v>
      </c>
      <c r="D53" s="109" t="s">
        <v>41</v>
      </c>
      <c r="E53" s="17" t="s">
        <v>145</v>
      </c>
      <c r="F53" s="109" t="s">
        <v>43</v>
      </c>
      <c r="G53" s="17" t="s">
        <v>146</v>
      </c>
      <c r="H53" s="109" t="s">
        <v>100</v>
      </c>
      <c r="I53" s="109" t="s">
        <v>119</v>
      </c>
      <c r="J53" s="98" t="s">
        <v>46</v>
      </c>
      <c r="K53" s="98" t="s">
        <v>416</v>
      </c>
      <c r="L53" s="98">
        <v>41</v>
      </c>
      <c r="M53" s="101">
        <v>44068</v>
      </c>
      <c r="N53" s="114">
        <v>46400000</v>
      </c>
      <c r="O53" s="105">
        <v>1500000</v>
      </c>
      <c r="P53" s="105">
        <v>1000000</v>
      </c>
      <c r="Q53" s="105">
        <v>2100000</v>
      </c>
      <c r="R53" s="105">
        <v>21000000</v>
      </c>
      <c r="S53" s="106">
        <f t="shared" si="0"/>
        <v>72000000</v>
      </c>
      <c r="T53" s="104">
        <v>2300000</v>
      </c>
      <c r="U53" s="104"/>
      <c r="V53" s="107">
        <v>36</v>
      </c>
      <c r="W53" s="18"/>
      <c r="X53" s="19"/>
      <c r="Y53" s="19">
        <v>44084</v>
      </c>
      <c r="Z53" s="16" t="s">
        <v>147</v>
      </c>
      <c r="AA53" s="17" t="s">
        <v>148</v>
      </c>
      <c r="AB53" s="17" t="s">
        <v>149</v>
      </c>
      <c r="AC53" s="17" t="s">
        <v>150</v>
      </c>
      <c r="AD53" s="20"/>
      <c r="AE53" s="20"/>
      <c r="AF53" s="20"/>
      <c r="AG53" s="20"/>
      <c r="AH53" s="20"/>
      <c r="AI53" s="20"/>
      <c r="AJ53" s="20"/>
      <c r="AK53" s="20"/>
      <c r="AL53" s="16"/>
      <c r="AM53" s="16"/>
      <c r="AN53" s="16"/>
      <c r="AO53" s="19"/>
    </row>
    <row r="54" spans="2:41" ht="30" x14ac:dyDescent="0.25">
      <c r="B54" s="98">
        <f>+Tabla2[[#This Row],[Año Postulación]]</f>
        <v>2022</v>
      </c>
      <c r="C54" s="109">
        <v>2022</v>
      </c>
      <c r="D54" s="109" t="s">
        <v>72</v>
      </c>
      <c r="E54" s="17" t="s">
        <v>73</v>
      </c>
      <c r="F54" s="109" t="s">
        <v>43</v>
      </c>
      <c r="G54" s="17" t="s">
        <v>274</v>
      </c>
      <c r="H54" s="109" t="s">
        <v>100</v>
      </c>
      <c r="I54" s="109" t="s">
        <v>472</v>
      </c>
      <c r="J54" s="98" t="s">
        <v>46</v>
      </c>
      <c r="K54" s="98" t="s">
        <v>76</v>
      </c>
      <c r="L54" s="98"/>
      <c r="M54" s="101" t="s">
        <v>273</v>
      </c>
      <c r="N54" s="114">
        <v>960546000</v>
      </c>
      <c r="O54" s="105"/>
      <c r="P54" s="105"/>
      <c r="Q54" s="105"/>
      <c r="R54" s="105">
        <v>150070000</v>
      </c>
      <c r="S54" s="106">
        <f t="shared" si="0"/>
        <v>1110616000</v>
      </c>
      <c r="T54" s="104">
        <v>47112447</v>
      </c>
      <c r="U54" s="104">
        <v>0</v>
      </c>
      <c r="V54" s="107">
        <v>36</v>
      </c>
      <c r="W54" s="18"/>
      <c r="X54" s="19"/>
      <c r="Y54" s="19"/>
      <c r="Z54" s="16"/>
      <c r="AA54" s="17"/>
      <c r="AB54" s="17"/>
      <c r="AC54" s="17"/>
      <c r="AD54" s="20"/>
      <c r="AE54" s="20"/>
      <c r="AF54" s="20"/>
      <c r="AG54" s="20"/>
      <c r="AH54" s="20"/>
      <c r="AI54" s="20"/>
      <c r="AJ54" s="20"/>
      <c r="AK54" s="20"/>
      <c r="AL54" s="16"/>
      <c r="AM54" s="16"/>
      <c r="AN54" s="16"/>
      <c r="AO54" s="19"/>
    </row>
    <row r="55" spans="2:41" ht="31.5" customHeight="1" x14ac:dyDescent="0.25">
      <c r="B55" s="98">
        <f>+Tabla2[[#This Row],[Año Postulación]]</f>
        <v>2022</v>
      </c>
      <c r="C55" s="109">
        <v>2022</v>
      </c>
      <c r="D55" s="109" t="s">
        <v>72</v>
      </c>
      <c r="E55" s="17" t="s">
        <v>73</v>
      </c>
      <c r="F55" s="109" t="s">
        <v>43</v>
      </c>
      <c r="G55" s="17" t="s">
        <v>277</v>
      </c>
      <c r="H55" s="109" t="s">
        <v>91</v>
      </c>
      <c r="I55" s="109" t="s">
        <v>63</v>
      </c>
      <c r="J55" s="98" t="s">
        <v>46</v>
      </c>
      <c r="K55" s="98" t="s">
        <v>76</v>
      </c>
      <c r="L55" s="98"/>
      <c r="M55" s="101" t="s">
        <v>273</v>
      </c>
      <c r="N55" s="114">
        <v>557365000</v>
      </c>
      <c r="O55" s="105"/>
      <c r="P55" s="105"/>
      <c r="Q55" s="105"/>
      <c r="R55" s="105">
        <v>90000000</v>
      </c>
      <c r="S55" s="106">
        <f t="shared" si="0"/>
        <v>647365000</v>
      </c>
      <c r="T55" s="104">
        <v>23375000</v>
      </c>
      <c r="U55" s="104">
        <v>0</v>
      </c>
      <c r="V55" s="107">
        <v>36</v>
      </c>
      <c r="W55" s="18"/>
      <c r="X55" s="19"/>
      <c r="Y55" s="19"/>
      <c r="Z55" s="16"/>
      <c r="AA55" s="17"/>
      <c r="AB55" s="17"/>
      <c r="AC55" s="17"/>
      <c r="AD55" s="20"/>
      <c r="AE55" s="20"/>
      <c r="AF55" s="20"/>
      <c r="AG55" s="20"/>
      <c r="AH55" s="20"/>
      <c r="AI55" s="20"/>
      <c r="AJ55" s="20"/>
      <c r="AK55" s="20"/>
      <c r="AL55" s="16"/>
      <c r="AM55" s="16"/>
      <c r="AN55" s="16"/>
      <c r="AO55" s="19"/>
    </row>
    <row r="56" spans="2:41" ht="35.25" customHeight="1" x14ac:dyDescent="0.25">
      <c r="B56" s="98">
        <f>+Tabla2[[#This Row],[Año Postulación]]</f>
        <v>2022</v>
      </c>
      <c r="C56" s="109">
        <v>2022</v>
      </c>
      <c r="D56" s="109" t="s">
        <v>72</v>
      </c>
      <c r="E56" s="17" t="s">
        <v>73</v>
      </c>
      <c r="F56" s="109" t="s">
        <v>43</v>
      </c>
      <c r="G56" s="17" t="s">
        <v>281</v>
      </c>
      <c r="H56" s="109" t="s">
        <v>100</v>
      </c>
      <c r="I56" s="109" t="s">
        <v>119</v>
      </c>
      <c r="J56" s="98" t="s">
        <v>46</v>
      </c>
      <c r="K56" s="98" t="s">
        <v>76</v>
      </c>
      <c r="L56" s="98"/>
      <c r="M56" s="101" t="s">
        <v>273</v>
      </c>
      <c r="N56" s="114">
        <v>567578947</v>
      </c>
      <c r="O56" s="105"/>
      <c r="P56" s="105"/>
      <c r="Q56" s="105"/>
      <c r="R56" s="105">
        <v>110000000</v>
      </c>
      <c r="S56" s="106">
        <f t="shared" si="0"/>
        <v>677578947</v>
      </c>
      <c r="T56" s="104">
        <v>28378947</v>
      </c>
      <c r="U56" s="104">
        <v>0</v>
      </c>
      <c r="V56" s="107">
        <v>48</v>
      </c>
      <c r="W56" s="18"/>
      <c r="X56" s="19"/>
      <c r="Y56" s="19"/>
      <c r="Z56" s="16"/>
      <c r="AA56" s="17"/>
      <c r="AB56" s="17"/>
      <c r="AC56" s="17"/>
      <c r="AD56" s="20"/>
      <c r="AE56" s="20"/>
      <c r="AF56" s="20"/>
      <c r="AG56" s="20"/>
      <c r="AH56" s="20"/>
      <c r="AI56" s="20"/>
      <c r="AJ56" s="20"/>
      <c r="AK56" s="20"/>
      <c r="AL56" s="16"/>
      <c r="AM56" s="16"/>
      <c r="AN56" s="16"/>
      <c r="AO56" s="19"/>
    </row>
    <row r="57" spans="2:41" ht="30" x14ac:dyDescent="0.25">
      <c r="B57" s="98">
        <f>+Tabla2[[#This Row],[Año Postulación]]</f>
        <v>2022</v>
      </c>
      <c r="C57" s="109">
        <v>2022</v>
      </c>
      <c r="D57" s="109" t="s">
        <v>72</v>
      </c>
      <c r="E57" s="17" t="s">
        <v>73</v>
      </c>
      <c r="F57" s="109" t="s">
        <v>43</v>
      </c>
      <c r="G57" s="17" t="s">
        <v>284</v>
      </c>
      <c r="H57" s="109" t="s">
        <v>100</v>
      </c>
      <c r="I57" s="109" t="s">
        <v>474</v>
      </c>
      <c r="J57" s="98" t="s">
        <v>46</v>
      </c>
      <c r="K57" s="98" t="s">
        <v>47</v>
      </c>
      <c r="L57" s="98"/>
      <c r="M57" s="101" t="s">
        <v>273</v>
      </c>
      <c r="N57" s="114">
        <v>698215000</v>
      </c>
      <c r="O57" s="105">
        <v>0</v>
      </c>
      <c r="P57" s="105">
        <v>0</v>
      </c>
      <c r="Q57" s="105"/>
      <c r="R57" s="105">
        <v>182430972</v>
      </c>
      <c r="S57" s="106">
        <f t="shared" si="0"/>
        <v>880645972</v>
      </c>
      <c r="T57" s="104">
        <v>34800000</v>
      </c>
      <c r="U57" s="104">
        <v>0</v>
      </c>
      <c r="V57" s="107">
        <v>48</v>
      </c>
      <c r="W57" s="18">
        <v>2023</v>
      </c>
      <c r="X57" s="19"/>
      <c r="Y57" s="19"/>
      <c r="Z57" s="16"/>
      <c r="AA57" s="17"/>
      <c r="AB57" s="17" t="s">
        <v>286</v>
      </c>
      <c r="AC57" s="17"/>
      <c r="AD57" s="20">
        <v>698215000</v>
      </c>
      <c r="AE57" s="20">
        <v>0</v>
      </c>
      <c r="AF57" s="20">
        <v>0</v>
      </c>
      <c r="AG57" s="20">
        <v>0</v>
      </c>
      <c r="AH57" s="20">
        <v>182430972</v>
      </c>
      <c r="AI57" s="20">
        <v>0</v>
      </c>
      <c r="AJ57" s="20">
        <v>880645972</v>
      </c>
      <c r="AK57" s="20">
        <v>34800000</v>
      </c>
      <c r="AL57" s="16">
        <v>503417</v>
      </c>
      <c r="AM57" s="16" t="s">
        <v>451</v>
      </c>
      <c r="AN57" s="16">
        <v>2022</v>
      </c>
      <c r="AO57" s="37">
        <v>44908</v>
      </c>
    </row>
    <row r="58" spans="2:41" ht="33.75" customHeight="1" x14ac:dyDescent="0.25">
      <c r="B58" s="98"/>
      <c r="C58" s="109">
        <v>2022</v>
      </c>
      <c r="D58" s="109" t="s">
        <v>72</v>
      </c>
      <c r="E58" s="17" t="s">
        <v>73</v>
      </c>
      <c r="F58" s="109" t="s">
        <v>43</v>
      </c>
      <c r="G58" s="17" t="s">
        <v>291</v>
      </c>
      <c r="H58" s="109" t="s">
        <v>100</v>
      </c>
      <c r="I58" s="109" t="s">
        <v>471</v>
      </c>
      <c r="J58" s="98" t="s">
        <v>46</v>
      </c>
      <c r="K58" s="98" t="s">
        <v>416</v>
      </c>
      <c r="L58" s="98"/>
      <c r="M58" s="101" t="s">
        <v>273</v>
      </c>
      <c r="N58" s="114">
        <v>723760462</v>
      </c>
      <c r="O58" s="105">
        <v>0</v>
      </c>
      <c r="P58" s="105">
        <v>0</v>
      </c>
      <c r="Q58" s="105">
        <v>0</v>
      </c>
      <c r="R58" s="105">
        <v>77619000</v>
      </c>
      <c r="S58" s="106">
        <f t="shared" si="0"/>
        <v>801379462</v>
      </c>
      <c r="T58" s="104">
        <v>36088000</v>
      </c>
      <c r="U58" s="104">
        <v>0</v>
      </c>
      <c r="V58" s="107">
        <v>48</v>
      </c>
      <c r="W58" s="18"/>
      <c r="X58" s="19"/>
      <c r="Y58" s="19"/>
      <c r="Z58" s="16"/>
      <c r="AA58" s="17"/>
      <c r="AB58" s="17" t="s">
        <v>292</v>
      </c>
      <c r="AC58" s="17"/>
      <c r="AD58" s="20">
        <v>723760000</v>
      </c>
      <c r="AE58" s="20">
        <v>0</v>
      </c>
      <c r="AF58" s="20">
        <v>0</v>
      </c>
      <c r="AG58" s="20">
        <v>0</v>
      </c>
      <c r="AH58" s="20">
        <v>45428668</v>
      </c>
      <c r="AI58" s="20"/>
      <c r="AJ58" s="20">
        <v>769188668</v>
      </c>
      <c r="AK58" s="20">
        <v>36088000</v>
      </c>
      <c r="AL58" s="16">
        <v>503416</v>
      </c>
      <c r="AM58" s="16" t="s">
        <v>451</v>
      </c>
      <c r="AN58" s="16">
        <v>2022</v>
      </c>
      <c r="AO58" s="37">
        <v>44927</v>
      </c>
    </row>
    <row r="59" spans="2:41" ht="43.5" customHeight="1" x14ac:dyDescent="0.25">
      <c r="B59" s="98"/>
      <c r="C59" s="109">
        <v>2022</v>
      </c>
      <c r="D59" s="109" t="s">
        <v>72</v>
      </c>
      <c r="E59" s="17" t="s">
        <v>165</v>
      </c>
      <c r="F59" s="109" t="s">
        <v>43</v>
      </c>
      <c r="G59" s="17" t="s">
        <v>337</v>
      </c>
      <c r="H59" s="109" t="s">
        <v>91</v>
      </c>
      <c r="I59" s="109" t="s">
        <v>130</v>
      </c>
      <c r="J59" s="98" t="s">
        <v>46</v>
      </c>
      <c r="K59" s="98" t="s">
        <v>416</v>
      </c>
      <c r="L59" s="98"/>
      <c r="M59" s="101">
        <v>44572</v>
      </c>
      <c r="N59" s="114">
        <v>309487000</v>
      </c>
      <c r="O59" s="105"/>
      <c r="P59" s="105"/>
      <c r="Q59" s="105"/>
      <c r="R59" s="105">
        <v>119281000</v>
      </c>
      <c r="S59" s="106">
        <f t="shared" si="0"/>
        <v>428768000</v>
      </c>
      <c r="T59" s="104"/>
      <c r="U59" s="104"/>
      <c r="V59" s="107">
        <v>36</v>
      </c>
      <c r="W59" s="18"/>
      <c r="X59" s="19"/>
      <c r="Y59" s="19"/>
      <c r="Z59" s="16"/>
      <c r="AA59" s="17"/>
      <c r="AB59" s="17"/>
      <c r="AC59" s="17"/>
      <c r="AD59" s="20"/>
      <c r="AE59" s="20"/>
      <c r="AF59" s="20"/>
      <c r="AG59" s="20"/>
      <c r="AH59" s="20"/>
      <c r="AI59" s="20"/>
      <c r="AJ59" s="20"/>
      <c r="AK59" s="20"/>
      <c r="AL59" s="16"/>
      <c r="AM59" s="16"/>
      <c r="AN59" s="16"/>
      <c r="AO59" s="19"/>
    </row>
    <row r="60" spans="2:41" ht="30" x14ac:dyDescent="0.25">
      <c r="B60" s="98"/>
      <c r="C60" s="109">
        <v>2019</v>
      </c>
      <c r="D60" s="109" t="s">
        <v>72</v>
      </c>
      <c r="E60" s="17" t="s">
        <v>73</v>
      </c>
      <c r="F60" s="109" t="s">
        <v>43</v>
      </c>
      <c r="G60" s="17" t="s">
        <v>129</v>
      </c>
      <c r="H60" s="109" t="s">
        <v>91</v>
      </c>
      <c r="I60" s="109" t="s">
        <v>130</v>
      </c>
      <c r="J60" s="98" t="s">
        <v>46</v>
      </c>
      <c r="K60" s="98" t="s">
        <v>416</v>
      </c>
      <c r="L60" s="98"/>
      <c r="M60" s="101">
        <v>43745</v>
      </c>
      <c r="N60" s="114">
        <v>464784191</v>
      </c>
      <c r="O60" s="105"/>
      <c r="P60" s="105"/>
      <c r="Q60" s="105"/>
      <c r="R60" s="105">
        <v>165570097</v>
      </c>
      <c r="S60" s="106">
        <f t="shared" si="0"/>
        <v>630354288</v>
      </c>
      <c r="T60" s="104">
        <v>23239000</v>
      </c>
      <c r="U60" s="104"/>
      <c r="V60" s="107">
        <v>36</v>
      </c>
      <c r="W60" s="18"/>
      <c r="X60" s="19"/>
      <c r="Y60" s="19" t="s">
        <v>125</v>
      </c>
      <c r="Z60" s="16" t="s">
        <v>126</v>
      </c>
      <c r="AA60" s="17"/>
      <c r="AB60" s="17" t="s">
        <v>131</v>
      </c>
      <c r="AC60" s="17"/>
      <c r="AD60" s="20"/>
      <c r="AE60" s="20"/>
      <c r="AF60" s="20"/>
      <c r="AG60" s="20"/>
      <c r="AH60" s="20"/>
      <c r="AI60" s="20"/>
      <c r="AJ60" s="20"/>
      <c r="AK60" s="20"/>
      <c r="AL60" s="16"/>
      <c r="AM60" s="16"/>
      <c r="AN60" s="16"/>
      <c r="AO60" s="19"/>
    </row>
    <row r="61" spans="2:41" ht="45" x14ac:dyDescent="0.25">
      <c r="B61" s="98"/>
      <c r="C61" s="109">
        <v>2019</v>
      </c>
      <c r="D61" s="109" t="s">
        <v>72</v>
      </c>
      <c r="E61" s="17" t="s">
        <v>73</v>
      </c>
      <c r="F61" s="109" t="s">
        <v>43</v>
      </c>
      <c r="G61" s="17" t="s">
        <v>124</v>
      </c>
      <c r="H61" s="109" t="s">
        <v>100</v>
      </c>
      <c r="I61" s="109" t="s">
        <v>52</v>
      </c>
      <c r="J61" s="98" t="s">
        <v>46</v>
      </c>
      <c r="K61" s="98" t="s">
        <v>416</v>
      </c>
      <c r="L61" s="98"/>
      <c r="M61" s="101">
        <v>43724</v>
      </c>
      <c r="N61" s="114">
        <v>416640000</v>
      </c>
      <c r="O61" s="105"/>
      <c r="P61" s="105"/>
      <c r="Q61" s="105"/>
      <c r="R61" s="105">
        <v>114338000</v>
      </c>
      <c r="S61" s="106">
        <f t="shared" si="0"/>
        <v>530978000</v>
      </c>
      <c r="T61" s="104">
        <v>20832000</v>
      </c>
      <c r="U61" s="104"/>
      <c r="V61" s="107">
        <v>36</v>
      </c>
      <c r="W61" s="18"/>
      <c r="X61" s="19"/>
      <c r="Y61" s="19" t="s">
        <v>125</v>
      </c>
      <c r="Z61" s="16" t="s">
        <v>126</v>
      </c>
      <c r="AA61" s="17"/>
      <c r="AB61" s="17" t="s">
        <v>127</v>
      </c>
      <c r="AC61" s="17" t="s">
        <v>128</v>
      </c>
      <c r="AD61" s="20"/>
      <c r="AE61" s="20"/>
      <c r="AF61" s="20"/>
      <c r="AG61" s="20"/>
      <c r="AH61" s="20"/>
      <c r="AI61" s="20"/>
      <c r="AJ61" s="20"/>
      <c r="AK61" s="20"/>
      <c r="AL61" s="16"/>
      <c r="AM61" s="16"/>
      <c r="AN61" s="16"/>
      <c r="AO61" s="19"/>
    </row>
    <row r="62" spans="2:41" ht="41.25" customHeight="1" x14ac:dyDescent="0.25">
      <c r="B62" s="98"/>
      <c r="C62" s="109">
        <v>2019</v>
      </c>
      <c r="D62" s="109" t="s">
        <v>72</v>
      </c>
      <c r="E62" s="17" t="s">
        <v>73</v>
      </c>
      <c r="F62" s="109" t="s">
        <v>43</v>
      </c>
      <c r="G62" s="17" t="s">
        <v>118</v>
      </c>
      <c r="H62" s="109" t="s">
        <v>100</v>
      </c>
      <c r="I62" s="109" t="s">
        <v>119</v>
      </c>
      <c r="J62" s="98" t="s">
        <v>46</v>
      </c>
      <c r="K62" s="98" t="s">
        <v>416</v>
      </c>
      <c r="L62" s="98"/>
      <c r="M62" s="101">
        <v>43706</v>
      </c>
      <c r="N62" s="114">
        <v>308500000</v>
      </c>
      <c r="O62" s="105"/>
      <c r="P62" s="105">
        <v>0</v>
      </c>
      <c r="Q62" s="105"/>
      <c r="R62" s="105">
        <v>49050000</v>
      </c>
      <c r="S62" s="106">
        <f t="shared" si="0"/>
        <v>357550000</v>
      </c>
      <c r="T62" s="104">
        <v>15285000</v>
      </c>
      <c r="U62" s="104"/>
      <c r="V62" s="107">
        <v>36</v>
      </c>
      <c r="W62" s="18"/>
      <c r="X62" s="19"/>
      <c r="Y62" s="19"/>
      <c r="Z62" s="16" t="s">
        <v>120</v>
      </c>
      <c r="AA62" s="17" t="s">
        <v>121</v>
      </c>
      <c r="AB62" s="17" t="s">
        <v>122</v>
      </c>
      <c r="AC62" s="17" t="s">
        <v>123</v>
      </c>
      <c r="AD62" s="20"/>
      <c r="AE62" s="20"/>
      <c r="AF62" s="20"/>
      <c r="AG62" s="20"/>
      <c r="AH62" s="20"/>
      <c r="AI62" s="20"/>
      <c r="AJ62" s="20"/>
      <c r="AK62" s="20"/>
      <c r="AL62" s="16"/>
      <c r="AM62" s="16"/>
      <c r="AN62" s="16"/>
      <c r="AO62" s="19"/>
    </row>
    <row r="63" spans="2:41" ht="30" x14ac:dyDescent="0.25">
      <c r="B63" s="111">
        <v>2019</v>
      </c>
      <c r="C63" s="109">
        <v>2019</v>
      </c>
      <c r="D63" s="109" t="s">
        <v>54</v>
      </c>
      <c r="E63" s="17" t="s">
        <v>89</v>
      </c>
      <c r="F63" s="109" t="s">
        <v>43</v>
      </c>
      <c r="G63" s="17" t="s">
        <v>90</v>
      </c>
      <c r="H63" s="109" t="s">
        <v>91</v>
      </c>
      <c r="I63" s="109" t="s">
        <v>92</v>
      </c>
      <c r="J63" s="98" t="s">
        <v>46</v>
      </c>
      <c r="K63" s="98" t="s">
        <v>47</v>
      </c>
      <c r="L63" s="98"/>
      <c r="M63" s="101">
        <v>43650</v>
      </c>
      <c r="N63" s="114">
        <v>3646000</v>
      </c>
      <c r="O63" s="105"/>
      <c r="P63" s="105"/>
      <c r="Q63" s="105"/>
      <c r="R63" s="105">
        <v>1933000</v>
      </c>
      <c r="S63" s="106">
        <f t="shared" si="0"/>
        <v>5579000</v>
      </c>
      <c r="T63" s="104"/>
      <c r="U63" s="104"/>
      <c r="V63" s="107">
        <v>4</v>
      </c>
      <c r="W63" s="18">
        <v>43703</v>
      </c>
      <c r="X63" s="19"/>
      <c r="Y63" s="19"/>
      <c r="Z63" s="16"/>
      <c r="AA63" s="17" t="s">
        <v>94</v>
      </c>
      <c r="AB63" s="17" t="s">
        <v>95</v>
      </c>
      <c r="AC63" s="17" t="s">
        <v>96</v>
      </c>
      <c r="AD63" s="20">
        <v>3646000</v>
      </c>
      <c r="AE63" s="20"/>
      <c r="AF63" s="20"/>
      <c r="AG63" s="20"/>
      <c r="AH63" s="20">
        <v>1933000</v>
      </c>
      <c r="AI63" s="20"/>
      <c r="AJ63" s="20">
        <v>5579000</v>
      </c>
      <c r="AK63" s="20"/>
      <c r="AL63" s="16" t="s">
        <v>97</v>
      </c>
      <c r="AM63" s="16" t="s">
        <v>50</v>
      </c>
      <c r="AN63" s="16">
        <v>2019</v>
      </c>
      <c r="AO63" s="19"/>
    </row>
    <row r="64" spans="2:41" ht="90" x14ac:dyDescent="0.25">
      <c r="B64" s="98">
        <f>+Tabla2[[#This Row],[Año Postulación]]</f>
        <v>2019</v>
      </c>
      <c r="C64" s="109">
        <v>2019</v>
      </c>
      <c r="D64" s="110" t="s">
        <v>54</v>
      </c>
      <c r="E64" s="43" t="s">
        <v>132</v>
      </c>
      <c r="F64" s="110" t="s">
        <v>43</v>
      </c>
      <c r="G64" s="43" t="s">
        <v>133</v>
      </c>
      <c r="H64" s="110" t="s">
        <v>134</v>
      </c>
      <c r="I64" s="110" t="s">
        <v>135</v>
      </c>
      <c r="J64" s="100" t="s">
        <v>46</v>
      </c>
      <c r="K64" s="98" t="s">
        <v>47</v>
      </c>
      <c r="L64" s="98"/>
      <c r="M64" s="103">
        <v>43649</v>
      </c>
      <c r="N64" s="114">
        <v>6993000</v>
      </c>
      <c r="O64" s="105"/>
      <c r="P64" s="105"/>
      <c r="Q64" s="105"/>
      <c r="R64" s="105">
        <v>1814000</v>
      </c>
      <c r="S64" s="106">
        <f t="shared" si="0"/>
        <v>8807000</v>
      </c>
      <c r="T64" s="104"/>
      <c r="U64" s="104"/>
      <c r="V64" s="107">
        <v>4</v>
      </c>
      <c r="W64" s="41">
        <v>43686</v>
      </c>
      <c r="X64" s="42"/>
      <c r="Y64" s="42"/>
      <c r="Z64" s="40"/>
      <c r="AA64" s="43" t="s">
        <v>136</v>
      </c>
      <c r="AB64" s="43" t="s">
        <v>137</v>
      </c>
      <c r="AC64" s="43" t="s">
        <v>138</v>
      </c>
      <c r="AD64" s="44">
        <v>6993000</v>
      </c>
      <c r="AE64" s="44"/>
      <c r="AF64" s="44"/>
      <c r="AG64" s="44">
        <v>35000</v>
      </c>
      <c r="AH64" s="44">
        <v>1814000</v>
      </c>
      <c r="AI64" s="44"/>
      <c r="AJ64" s="44">
        <v>8842000</v>
      </c>
      <c r="AK64" s="44"/>
      <c r="AL64" s="40" t="s">
        <v>139</v>
      </c>
      <c r="AM64" s="40" t="s">
        <v>50</v>
      </c>
      <c r="AN64" s="40">
        <v>2019</v>
      </c>
      <c r="AO64" s="42"/>
    </row>
    <row r="65" spans="2:41" ht="90" x14ac:dyDescent="0.25">
      <c r="B65" s="100">
        <f>+Tabla2[[#This Row],[Año Postulación]]</f>
        <v>2019</v>
      </c>
      <c r="C65" s="110">
        <v>2019</v>
      </c>
      <c r="D65" s="110" t="s">
        <v>54</v>
      </c>
      <c r="E65" s="43" t="s">
        <v>132</v>
      </c>
      <c r="F65" s="110" t="s">
        <v>43</v>
      </c>
      <c r="G65" s="43" t="s">
        <v>140</v>
      </c>
      <c r="H65" s="110" t="s">
        <v>91</v>
      </c>
      <c r="I65" s="110" t="s">
        <v>141</v>
      </c>
      <c r="J65" s="100" t="s">
        <v>46</v>
      </c>
      <c r="K65" s="100" t="s">
        <v>47</v>
      </c>
      <c r="L65" s="100"/>
      <c r="M65" s="103">
        <v>43649</v>
      </c>
      <c r="N65" s="114">
        <v>7000000</v>
      </c>
      <c r="O65" s="105">
        <v>500000</v>
      </c>
      <c r="P65" s="105">
        <v>500000</v>
      </c>
      <c r="Q65" s="105">
        <v>40000</v>
      </c>
      <c r="R65" s="105">
        <v>1200000</v>
      </c>
      <c r="S65" s="106">
        <f t="shared" si="0"/>
        <v>9240000</v>
      </c>
      <c r="T65" s="104"/>
      <c r="U65" s="104"/>
      <c r="V65" s="107">
        <v>3</v>
      </c>
      <c r="W65" s="41">
        <v>43686</v>
      </c>
      <c r="X65" s="42"/>
      <c r="Y65" s="42"/>
      <c r="Z65" s="40"/>
      <c r="AA65" s="43" t="s">
        <v>136</v>
      </c>
      <c r="AB65" s="43" t="s">
        <v>142</v>
      </c>
      <c r="AC65" s="43" t="s">
        <v>143</v>
      </c>
      <c r="AD65" s="44">
        <v>7000000</v>
      </c>
      <c r="AE65" s="44">
        <v>500000</v>
      </c>
      <c r="AF65" s="44">
        <v>500000</v>
      </c>
      <c r="AG65" s="44">
        <v>40000</v>
      </c>
      <c r="AH65" s="44">
        <v>1200000</v>
      </c>
      <c r="AI65" s="44"/>
      <c r="AJ65" s="44">
        <v>9240000</v>
      </c>
      <c r="AK65" s="44"/>
      <c r="AL65" s="40" t="s">
        <v>144</v>
      </c>
      <c r="AM65" s="40" t="s">
        <v>50</v>
      </c>
      <c r="AN65" s="40">
        <v>2019</v>
      </c>
      <c r="AO65" s="42"/>
    </row>
    <row r="66" spans="2:41" ht="75" x14ac:dyDescent="0.25">
      <c r="B66" s="100"/>
      <c r="C66" s="110">
        <v>2019</v>
      </c>
      <c r="D66" s="110" t="s">
        <v>41</v>
      </c>
      <c r="E66" s="43" t="s">
        <v>98</v>
      </c>
      <c r="F66" s="110" t="s">
        <v>43</v>
      </c>
      <c r="G66" s="17" t="s">
        <v>111</v>
      </c>
      <c r="H66" s="110" t="s">
        <v>100</v>
      </c>
      <c r="I66" s="110" t="s">
        <v>411</v>
      </c>
      <c r="J66" s="100" t="s">
        <v>46</v>
      </c>
      <c r="K66" s="100" t="s">
        <v>416</v>
      </c>
      <c r="L66" s="100"/>
      <c r="M66" s="103">
        <v>43581</v>
      </c>
      <c r="N66" s="114">
        <v>100000000</v>
      </c>
      <c r="O66" s="105">
        <v>5000000</v>
      </c>
      <c r="P66" s="105">
        <v>900000</v>
      </c>
      <c r="Q66" s="105"/>
      <c r="R66" s="105">
        <v>79924000</v>
      </c>
      <c r="S66" s="106">
        <f t="shared" si="0"/>
        <v>185824000</v>
      </c>
      <c r="T66" s="104"/>
      <c r="U66" s="104">
        <v>5000000</v>
      </c>
      <c r="V66" s="107">
        <v>36</v>
      </c>
      <c r="W66" s="41"/>
      <c r="X66" s="42"/>
      <c r="Y66" s="42">
        <v>43615</v>
      </c>
      <c r="Z66" s="40" t="s">
        <v>112</v>
      </c>
      <c r="AA66" s="43" t="s">
        <v>103</v>
      </c>
      <c r="AB66" s="43"/>
      <c r="AC66" s="43" t="s">
        <v>114</v>
      </c>
      <c r="AD66" s="44"/>
      <c r="AE66" s="44"/>
      <c r="AF66" s="44"/>
      <c r="AG66" s="44"/>
      <c r="AH66" s="44"/>
      <c r="AI66" s="44"/>
      <c r="AJ66" s="44"/>
      <c r="AK66" s="44"/>
      <c r="AL66" s="40"/>
      <c r="AM66" s="40"/>
      <c r="AN66" s="40"/>
      <c r="AO66" s="42"/>
    </row>
    <row r="67" spans="2:41" ht="75" x14ac:dyDescent="0.25">
      <c r="B67" s="100"/>
      <c r="C67" s="110">
        <v>2019</v>
      </c>
      <c r="D67" s="110" t="s">
        <v>41</v>
      </c>
      <c r="E67" s="43" t="s">
        <v>98</v>
      </c>
      <c r="F67" s="110" t="s">
        <v>43</v>
      </c>
      <c r="G67" s="43" t="s">
        <v>115</v>
      </c>
      <c r="H67" s="110" t="s">
        <v>91</v>
      </c>
      <c r="I67" s="110" t="s">
        <v>92</v>
      </c>
      <c r="J67" s="100" t="s">
        <v>46</v>
      </c>
      <c r="K67" s="100" t="s">
        <v>416</v>
      </c>
      <c r="L67" s="100"/>
      <c r="M67" s="103">
        <v>43581</v>
      </c>
      <c r="N67" s="114">
        <v>177200000</v>
      </c>
      <c r="O67" s="105">
        <v>7000000</v>
      </c>
      <c r="P67" s="105">
        <v>4860000</v>
      </c>
      <c r="Q67" s="105">
        <v>2000000</v>
      </c>
      <c r="R67" s="105">
        <v>73532000</v>
      </c>
      <c r="S67" s="106">
        <f t="shared" si="0"/>
        <v>264592000</v>
      </c>
      <c r="T67" s="104"/>
      <c r="U67" s="104">
        <v>7900000</v>
      </c>
      <c r="V67" s="107">
        <v>36</v>
      </c>
      <c r="W67" s="41"/>
      <c r="X67" s="42"/>
      <c r="Y67" s="42">
        <v>43631</v>
      </c>
      <c r="Z67" s="40" t="s">
        <v>109</v>
      </c>
      <c r="AA67" s="43" t="s">
        <v>103</v>
      </c>
      <c r="AB67" s="43"/>
      <c r="AC67" s="43" t="s">
        <v>116</v>
      </c>
      <c r="AD67" s="44"/>
      <c r="AE67" s="44"/>
      <c r="AF67" s="44"/>
      <c r="AG67" s="44"/>
      <c r="AH67" s="44"/>
      <c r="AI67" s="44"/>
      <c r="AJ67" s="44"/>
      <c r="AK67" s="44"/>
      <c r="AL67" s="40"/>
      <c r="AM67" s="40"/>
      <c r="AN67" s="40"/>
      <c r="AO67" s="42"/>
    </row>
    <row r="68" spans="2:41" x14ac:dyDescent="0.25">
      <c r="B68" s="100">
        <f>+Tabla2[[#This Row],[Año Postulación]]</f>
        <v>2019</v>
      </c>
      <c r="C68" s="110">
        <v>2019</v>
      </c>
      <c r="D68" s="110" t="s">
        <v>72</v>
      </c>
      <c r="E68" s="43" t="s">
        <v>73</v>
      </c>
      <c r="F68" s="110" t="s">
        <v>43</v>
      </c>
      <c r="G68" s="43" t="s">
        <v>117</v>
      </c>
      <c r="H68" s="110" t="s">
        <v>100</v>
      </c>
      <c r="I68" s="110" t="s">
        <v>101</v>
      </c>
      <c r="J68" s="100" t="s">
        <v>46</v>
      </c>
      <c r="K68" s="100" t="s">
        <v>76</v>
      </c>
      <c r="L68" s="100"/>
      <c r="M68" s="103">
        <v>43581</v>
      </c>
      <c r="N68" s="114">
        <v>329328000</v>
      </c>
      <c r="O68" s="105"/>
      <c r="P68" s="105"/>
      <c r="Q68" s="105"/>
      <c r="R68" s="105">
        <v>98610000</v>
      </c>
      <c r="S68" s="106">
        <f t="shared" si="0"/>
        <v>427938000</v>
      </c>
      <c r="T68" s="104"/>
      <c r="U68" s="104">
        <v>16466000</v>
      </c>
      <c r="V68" s="107">
        <v>36</v>
      </c>
      <c r="W68" s="41"/>
      <c r="X68" s="42"/>
      <c r="Y68" s="42"/>
      <c r="Z68" s="40"/>
      <c r="AA68" s="43"/>
      <c r="AB68" s="43"/>
      <c r="AC68" s="43"/>
      <c r="AD68" s="44"/>
      <c r="AE68" s="44"/>
      <c r="AF68" s="44"/>
      <c r="AG68" s="44"/>
      <c r="AH68" s="44"/>
      <c r="AI68" s="44"/>
      <c r="AJ68" s="44"/>
      <c r="AK68" s="44"/>
      <c r="AL68" s="40"/>
      <c r="AM68" s="40"/>
      <c r="AN68" s="40"/>
      <c r="AO68" s="42"/>
    </row>
    <row r="69" spans="2:41" ht="75" x14ac:dyDescent="0.25">
      <c r="B69" s="111">
        <v>2019</v>
      </c>
      <c r="C69" s="109">
        <v>2019</v>
      </c>
      <c r="D69" s="109" t="s">
        <v>41</v>
      </c>
      <c r="E69" s="17" t="s">
        <v>98</v>
      </c>
      <c r="F69" s="109" t="s">
        <v>43</v>
      </c>
      <c r="G69" s="17" t="s">
        <v>99</v>
      </c>
      <c r="H69" s="109" t="s">
        <v>100</v>
      </c>
      <c r="I69" s="109" t="s">
        <v>101</v>
      </c>
      <c r="J69" s="98" t="s">
        <v>46</v>
      </c>
      <c r="K69" s="98" t="s">
        <v>47</v>
      </c>
      <c r="L69" s="98"/>
      <c r="M69" s="101">
        <v>43580</v>
      </c>
      <c r="N69" s="114">
        <v>121650000</v>
      </c>
      <c r="O69" s="105">
        <v>10000000</v>
      </c>
      <c r="P69" s="105">
        <v>0</v>
      </c>
      <c r="Q69" s="105">
        <v>0</v>
      </c>
      <c r="R69" s="105">
        <v>55084000</v>
      </c>
      <c r="S69" s="106">
        <f t="shared" si="0"/>
        <v>186734000</v>
      </c>
      <c r="T69" s="104">
        <v>0</v>
      </c>
      <c r="U69" s="104">
        <v>6000000</v>
      </c>
      <c r="V69" s="107">
        <v>36</v>
      </c>
      <c r="W69" s="41">
        <v>43789</v>
      </c>
      <c r="X69" s="42"/>
      <c r="Y69" s="42"/>
      <c r="Z69" s="40" t="s">
        <v>102</v>
      </c>
      <c r="AA69" s="43" t="s">
        <v>103</v>
      </c>
      <c r="AB69" s="43" t="s">
        <v>104</v>
      </c>
      <c r="AC69" s="43" t="s">
        <v>105</v>
      </c>
      <c r="AD69" s="44">
        <v>121650000</v>
      </c>
      <c r="AE69" s="44">
        <v>10000000</v>
      </c>
      <c r="AF69" s="44"/>
      <c r="AG69" s="44"/>
      <c r="AH69" s="44">
        <v>55084000</v>
      </c>
      <c r="AI69" s="44">
        <v>6000000</v>
      </c>
      <c r="AJ69" s="44">
        <v>186734000</v>
      </c>
      <c r="AK69" s="44"/>
      <c r="AL69" s="40" t="s">
        <v>106</v>
      </c>
      <c r="AM69" s="40" t="s">
        <v>50</v>
      </c>
      <c r="AN69" s="40">
        <v>2020</v>
      </c>
      <c r="AO69" s="118">
        <v>43937</v>
      </c>
    </row>
    <row r="70" spans="2:41" ht="75" x14ac:dyDescent="0.25">
      <c r="B70" s="98"/>
      <c r="C70" s="109">
        <v>2019</v>
      </c>
      <c r="D70" s="109" t="s">
        <v>41</v>
      </c>
      <c r="E70" s="17" t="s">
        <v>98</v>
      </c>
      <c r="F70" s="109" t="s">
        <v>43</v>
      </c>
      <c r="G70" s="17" t="s">
        <v>107</v>
      </c>
      <c r="H70" s="109" t="s">
        <v>91</v>
      </c>
      <c r="I70" s="109" t="s">
        <v>108</v>
      </c>
      <c r="J70" s="98" t="s">
        <v>46</v>
      </c>
      <c r="K70" s="98" t="s">
        <v>416</v>
      </c>
      <c r="L70" s="98"/>
      <c r="M70" s="101">
        <v>43580</v>
      </c>
      <c r="N70" s="114">
        <v>199900000</v>
      </c>
      <c r="O70" s="105">
        <v>12000000</v>
      </c>
      <c r="P70" s="105"/>
      <c r="Q70" s="105"/>
      <c r="R70" s="105">
        <v>57885320</v>
      </c>
      <c r="S70" s="106">
        <f t="shared" si="0"/>
        <v>269785320</v>
      </c>
      <c r="T70" s="104"/>
      <c r="U70" s="104">
        <v>9800000</v>
      </c>
      <c r="V70" s="107">
        <v>36</v>
      </c>
      <c r="W70" s="41"/>
      <c r="X70" s="42"/>
      <c r="Y70" s="118">
        <v>43615</v>
      </c>
      <c r="Z70" s="40" t="s">
        <v>109</v>
      </c>
      <c r="AA70" s="43" t="s">
        <v>103</v>
      </c>
      <c r="AB70" s="43"/>
      <c r="AC70" s="43" t="s">
        <v>110</v>
      </c>
      <c r="AD70" s="44"/>
      <c r="AE70" s="44"/>
      <c r="AF70" s="44"/>
      <c r="AG70" s="44"/>
      <c r="AH70" s="44"/>
      <c r="AI70" s="44"/>
      <c r="AJ70" s="44"/>
      <c r="AK70" s="44"/>
      <c r="AL70" s="40"/>
      <c r="AM70" s="40"/>
      <c r="AN70" s="40"/>
      <c r="AO70" s="42"/>
    </row>
    <row r="71" spans="2:41" x14ac:dyDescent="0.25">
      <c r="B71" s="98">
        <f>+Tabla2[[#This Row],[Año Postulación]]</f>
        <v>2018</v>
      </c>
      <c r="C71" s="109">
        <v>2018</v>
      </c>
      <c r="D71" s="109" t="s">
        <v>72</v>
      </c>
      <c r="E71" s="17" t="s">
        <v>73</v>
      </c>
      <c r="F71" s="109" t="s">
        <v>43</v>
      </c>
      <c r="G71" s="17" t="s">
        <v>74</v>
      </c>
      <c r="H71" s="109"/>
      <c r="I71" s="109" t="s">
        <v>75</v>
      </c>
      <c r="J71" s="98" t="s">
        <v>46</v>
      </c>
      <c r="K71" s="98" t="s">
        <v>76</v>
      </c>
      <c r="L71" s="98"/>
      <c r="M71" s="101">
        <v>43445</v>
      </c>
      <c r="N71" s="114">
        <v>652620000</v>
      </c>
      <c r="O71" s="105"/>
      <c r="P71" s="105">
        <v>22500000</v>
      </c>
      <c r="Q71" s="105"/>
      <c r="R71" s="105">
        <v>340577000</v>
      </c>
      <c r="S71" s="106">
        <f t="shared" si="0"/>
        <v>1015697000</v>
      </c>
      <c r="T71" s="104"/>
      <c r="U71" s="104"/>
      <c r="V71" s="107">
        <v>36</v>
      </c>
      <c r="W71" s="41"/>
      <c r="X71" s="42"/>
      <c r="Y71" s="42"/>
      <c r="Z71" s="40"/>
      <c r="AA71" s="43"/>
      <c r="AB71" s="43" t="s">
        <v>77</v>
      </c>
      <c r="AC71" s="43"/>
      <c r="AD71" s="44"/>
      <c r="AE71" s="44"/>
      <c r="AF71" s="44"/>
      <c r="AG71" s="44"/>
      <c r="AH71" s="44"/>
      <c r="AI71" s="44"/>
      <c r="AJ71" s="44"/>
      <c r="AK71" s="44"/>
      <c r="AL71" s="40"/>
      <c r="AM71" s="40"/>
      <c r="AN71" s="40"/>
      <c r="AO71" s="42"/>
    </row>
    <row r="72" spans="2:41" ht="30" x14ac:dyDescent="0.25">
      <c r="B72" s="98">
        <v>2018</v>
      </c>
      <c r="C72" s="109">
        <v>2018</v>
      </c>
      <c r="D72" s="109" t="s">
        <v>54</v>
      </c>
      <c r="E72" s="17" t="s">
        <v>67</v>
      </c>
      <c r="F72" s="109" t="s">
        <v>43</v>
      </c>
      <c r="G72" s="17" t="s">
        <v>68</v>
      </c>
      <c r="H72" s="109"/>
      <c r="I72" s="109" t="s">
        <v>57</v>
      </c>
      <c r="J72" s="98" t="s">
        <v>46</v>
      </c>
      <c r="K72" s="98" t="s">
        <v>47</v>
      </c>
      <c r="L72" s="98"/>
      <c r="M72" s="101">
        <v>43425</v>
      </c>
      <c r="N72" s="114">
        <v>120000000</v>
      </c>
      <c r="O72" s="105"/>
      <c r="P72" s="105"/>
      <c r="Q72" s="105"/>
      <c r="R72" s="105">
        <v>74809068</v>
      </c>
      <c r="S72" s="106">
        <f t="shared" si="0"/>
        <v>194809068</v>
      </c>
      <c r="T72" s="104"/>
      <c r="U72" s="104"/>
      <c r="V72" s="107">
        <v>36</v>
      </c>
      <c r="W72" s="41">
        <v>43452</v>
      </c>
      <c r="X72" s="42"/>
      <c r="Y72" s="42"/>
      <c r="Z72" s="40"/>
      <c r="AA72" s="43" t="s">
        <v>69</v>
      </c>
      <c r="AB72" s="43" t="s">
        <v>70</v>
      </c>
      <c r="AC72" s="43" t="s">
        <v>71</v>
      </c>
      <c r="AD72" s="44">
        <v>120000000</v>
      </c>
      <c r="AE72" s="44">
        <v>0</v>
      </c>
      <c r="AF72" s="44">
        <v>7200000</v>
      </c>
      <c r="AG72" s="44">
        <v>600000</v>
      </c>
      <c r="AH72" s="44">
        <v>79829000</v>
      </c>
      <c r="AI72" s="44">
        <v>8400000</v>
      </c>
      <c r="AJ72" s="44">
        <v>207629000</v>
      </c>
      <c r="AK72" s="44"/>
      <c r="AL72" s="40">
        <v>502789</v>
      </c>
      <c r="AM72" s="40" t="s">
        <v>50</v>
      </c>
      <c r="AN72" s="40"/>
      <c r="AO72" s="42"/>
    </row>
    <row r="73" spans="2:41" ht="90" x14ac:dyDescent="0.25">
      <c r="B73" s="98"/>
      <c r="C73" s="109">
        <v>2018</v>
      </c>
      <c r="D73" s="109" t="s">
        <v>54</v>
      </c>
      <c r="E73" s="17" t="s">
        <v>78</v>
      </c>
      <c r="F73" s="109" t="s">
        <v>43</v>
      </c>
      <c r="G73" s="17" t="s">
        <v>79</v>
      </c>
      <c r="H73" s="109"/>
      <c r="I73" s="109" t="s">
        <v>63</v>
      </c>
      <c r="J73" s="98" t="s">
        <v>80</v>
      </c>
      <c r="K73" s="98" t="s">
        <v>416</v>
      </c>
      <c r="L73" s="98"/>
      <c r="M73" s="101">
        <v>43342</v>
      </c>
      <c r="N73" s="114">
        <v>44793000</v>
      </c>
      <c r="O73" s="105"/>
      <c r="P73" s="105"/>
      <c r="Q73" s="105"/>
      <c r="R73" s="105">
        <v>33795000</v>
      </c>
      <c r="S73" s="106">
        <f t="shared" si="0"/>
        <v>78588000</v>
      </c>
      <c r="T73" s="104"/>
      <c r="U73" s="104"/>
      <c r="V73" s="107">
        <v>36</v>
      </c>
      <c r="W73" s="41"/>
      <c r="X73" s="42"/>
      <c r="Y73" s="42">
        <v>43581</v>
      </c>
      <c r="Z73" s="40"/>
      <c r="AA73" s="43" t="s">
        <v>82</v>
      </c>
      <c r="AB73" s="43" t="s">
        <v>83</v>
      </c>
      <c r="AC73" s="43"/>
      <c r="AD73" s="44"/>
      <c r="AE73" s="44"/>
      <c r="AF73" s="44"/>
      <c r="AG73" s="44"/>
      <c r="AH73" s="44"/>
      <c r="AI73" s="44"/>
      <c r="AJ73" s="44"/>
      <c r="AK73" s="44"/>
      <c r="AL73" s="40"/>
      <c r="AM73" s="40"/>
      <c r="AN73" s="40"/>
      <c r="AO73" s="42"/>
    </row>
    <row r="74" spans="2:41" ht="45" x14ac:dyDescent="0.25">
      <c r="B74" s="100"/>
      <c r="C74" s="110">
        <v>2018</v>
      </c>
      <c r="D74" s="109" t="s">
        <v>84</v>
      </c>
      <c r="E74" s="43" t="s">
        <v>85</v>
      </c>
      <c r="F74" s="109" t="s">
        <v>43</v>
      </c>
      <c r="G74" s="43" t="s">
        <v>86</v>
      </c>
      <c r="H74" s="110"/>
      <c r="I74" s="110" t="s">
        <v>63</v>
      </c>
      <c r="J74" s="100" t="s">
        <v>87</v>
      </c>
      <c r="K74" s="100" t="s">
        <v>416</v>
      </c>
      <c r="L74" s="100"/>
      <c r="M74" s="103">
        <v>43340</v>
      </c>
      <c r="N74" s="114">
        <v>2633000</v>
      </c>
      <c r="O74" s="105"/>
      <c r="P74" s="105"/>
      <c r="Q74" s="105"/>
      <c r="R74" s="105">
        <v>7225722</v>
      </c>
      <c r="S74" s="106">
        <f t="shared" si="0"/>
        <v>9858722</v>
      </c>
      <c r="T74" s="104">
        <v>2238000</v>
      </c>
      <c r="U74" s="104"/>
      <c r="V74" s="107">
        <v>36</v>
      </c>
      <c r="W74" s="41"/>
      <c r="X74" s="42"/>
      <c r="Y74" s="42">
        <v>43496</v>
      </c>
      <c r="Z74" s="40"/>
      <c r="AA74" s="43" t="s">
        <v>88</v>
      </c>
      <c r="AB74" s="43"/>
      <c r="AC74" s="43"/>
      <c r="AD74" s="44"/>
      <c r="AE74" s="44"/>
      <c r="AF74" s="44"/>
      <c r="AG74" s="44"/>
      <c r="AH74" s="44"/>
      <c r="AI74" s="44"/>
      <c r="AJ74" s="44"/>
      <c r="AK74" s="44"/>
      <c r="AL74" s="40"/>
      <c r="AM74" s="40"/>
      <c r="AN74" s="40"/>
      <c r="AO74" s="42"/>
    </row>
    <row r="75" spans="2:41" ht="30" x14ac:dyDescent="0.25">
      <c r="B75" s="111">
        <v>2017</v>
      </c>
      <c r="C75" s="109">
        <v>2017</v>
      </c>
      <c r="D75" s="109" t="s">
        <v>54</v>
      </c>
      <c r="E75" s="17" t="s">
        <v>55</v>
      </c>
      <c r="F75" s="109" t="s">
        <v>43</v>
      </c>
      <c r="G75" s="17" t="s">
        <v>56</v>
      </c>
      <c r="H75" s="109"/>
      <c r="I75" s="109" t="s">
        <v>57</v>
      </c>
      <c r="J75" s="98" t="s">
        <v>46</v>
      </c>
      <c r="K75" s="100" t="s">
        <v>47</v>
      </c>
      <c r="L75" s="98"/>
      <c r="M75" s="117">
        <v>43059</v>
      </c>
      <c r="N75" s="114"/>
      <c r="O75" s="105"/>
      <c r="P75" s="105"/>
      <c r="Q75" s="105"/>
      <c r="R75" s="105"/>
      <c r="S75" s="106">
        <f t="shared" si="0"/>
        <v>0</v>
      </c>
      <c r="T75" s="104"/>
      <c r="U75" s="104"/>
      <c r="V75" s="107">
        <v>36</v>
      </c>
      <c r="W75" s="18">
        <v>43088</v>
      </c>
      <c r="X75" s="19"/>
      <c r="Y75" s="19"/>
      <c r="Z75" s="16"/>
      <c r="AA75" s="17"/>
      <c r="AB75" s="17" t="s">
        <v>58</v>
      </c>
      <c r="AC75" s="17"/>
      <c r="AD75" s="20">
        <v>464280000</v>
      </c>
      <c r="AE75" s="20">
        <v>0</v>
      </c>
      <c r="AF75" s="20">
        <v>0</v>
      </c>
      <c r="AG75" s="20">
        <v>2500000</v>
      </c>
      <c r="AH75" s="20">
        <v>77383000</v>
      </c>
      <c r="AI75" s="20">
        <v>0</v>
      </c>
      <c r="AJ75" s="20">
        <v>544163000</v>
      </c>
      <c r="AK75" s="20">
        <v>0</v>
      </c>
      <c r="AL75" s="16">
        <v>502634</v>
      </c>
      <c r="AM75" s="16" t="s">
        <v>50</v>
      </c>
      <c r="AN75" s="16"/>
      <c r="AO75" s="19"/>
    </row>
    <row r="76" spans="2:41" ht="45" x14ac:dyDescent="0.25">
      <c r="B76" s="111">
        <v>2017</v>
      </c>
      <c r="C76" s="109">
        <v>2017</v>
      </c>
      <c r="D76" s="109" t="s">
        <v>41</v>
      </c>
      <c r="E76" s="17" t="s">
        <v>42</v>
      </c>
      <c r="F76" s="109" t="s">
        <v>43</v>
      </c>
      <c r="G76" s="17" t="s">
        <v>44</v>
      </c>
      <c r="H76" s="109"/>
      <c r="I76" s="109" t="s">
        <v>45</v>
      </c>
      <c r="J76" s="98" t="s">
        <v>46</v>
      </c>
      <c r="K76" s="100" t="s">
        <v>47</v>
      </c>
      <c r="L76" s="98"/>
      <c r="M76" s="117">
        <v>42956</v>
      </c>
      <c r="N76" s="114"/>
      <c r="O76" s="105"/>
      <c r="P76" s="105"/>
      <c r="Q76" s="105"/>
      <c r="R76" s="105"/>
      <c r="S76" s="106">
        <f t="shared" si="0"/>
        <v>0</v>
      </c>
      <c r="T76" s="104"/>
      <c r="U76" s="104"/>
      <c r="V76" s="107">
        <v>24</v>
      </c>
      <c r="W76" s="18">
        <v>43082</v>
      </c>
      <c r="X76" s="19"/>
      <c r="Y76" s="19"/>
      <c r="Z76" s="16"/>
      <c r="AA76" s="17" t="s">
        <v>48</v>
      </c>
      <c r="AB76" s="17" t="s">
        <v>49</v>
      </c>
      <c r="AC76" s="17"/>
      <c r="AD76" s="20">
        <v>49944000</v>
      </c>
      <c r="AE76" s="20">
        <v>0</v>
      </c>
      <c r="AF76" s="20">
        <v>0</v>
      </c>
      <c r="AG76" s="20">
        <v>4165000</v>
      </c>
      <c r="AH76" s="20">
        <v>33711000</v>
      </c>
      <c r="AI76" s="20">
        <v>2378000</v>
      </c>
      <c r="AJ76" s="20">
        <v>87820000</v>
      </c>
      <c r="AK76" s="20">
        <v>0</v>
      </c>
      <c r="AL76" s="16">
        <v>502695</v>
      </c>
      <c r="AM76" s="16" t="s">
        <v>50</v>
      </c>
      <c r="AN76" s="16"/>
      <c r="AO76" s="19"/>
    </row>
    <row r="77" spans="2:41" ht="45" x14ac:dyDescent="0.25">
      <c r="B77" s="111">
        <v>2017</v>
      </c>
      <c r="C77" s="109">
        <v>2017</v>
      </c>
      <c r="D77" s="109" t="s">
        <v>41</v>
      </c>
      <c r="E77" s="17" t="s">
        <v>42</v>
      </c>
      <c r="F77" s="109" t="s">
        <v>43</v>
      </c>
      <c r="G77" s="17" t="s">
        <v>51</v>
      </c>
      <c r="H77" s="109"/>
      <c r="I77" s="109" t="s">
        <v>52</v>
      </c>
      <c r="J77" s="98" t="s">
        <v>46</v>
      </c>
      <c r="K77" s="98" t="s">
        <v>47</v>
      </c>
      <c r="L77" s="98"/>
      <c r="M77" s="117">
        <v>42956</v>
      </c>
      <c r="N77" s="114"/>
      <c r="O77" s="105"/>
      <c r="P77" s="105"/>
      <c r="Q77" s="105"/>
      <c r="R77" s="105"/>
      <c r="S77" s="106">
        <f t="shared" si="0"/>
        <v>0</v>
      </c>
      <c r="T77" s="104"/>
      <c r="U77" s="104"/>
      <c r="V77" s="107">
        <v>36</v>
      </c>
      <c r="W77" s="18">
        <v>43082</v>
      </c>
      <c r="X77" s="19"/>
      <c r="Y77" s="19"/>
      <c r="Z77" s="16"/>
      <c r="AA77" s="17" t="s">
        <v>48</v>
      </c>
      <c r="AB77" s="17" t="s">
        <v>53</v>
      </c>
      <c r="AC77" s="17"/>
      <c r="AD77" s="20">
        <v>91270000</v>
      </c>
      <c r="AE77" s="20">
        <v>10000000</v>
      </c>
      <c r="AF77" s="20">
        <v>0</v>
      </c>
      <c r="AG77" s="20">
        <v>0</v>
      </c>
      <c r="AH77" s="20">
        <v>43760000</v>
      </c>
      <c r="AI77" s="20">
        <v>4500000</v>
      </c>
      <c r="AJ77" s="20">
        <v>145030000</v>
      </c>
      <c r="AK77" s="20">
        <v>0</v>
      </c>
      <c r="AL77" s="16">
        <v>502702</v>
      </c>
      <c r="AM77" s="16" t="s">
        <v>50</v>
      </c>
      <c r="AN77" s="16"/>
      <c r="AO77" s="19"/>
    </row>
    <row r="78" spans="2:41" ht="30" x14ac:dyDescent="0.25">
      <c r="B78" s="111">
        <v>2017</v>
      </c>
      <c r="C78" s="109">
        <v>2017</v>
      </c>
      <c r="D78" s="109" t="s">
        <v>54</v>
      </c>
      <c r="E78" s="17" t="s">
        <v>59</v>
      </c>
      <c r="F78" s="109" t="s">
        <v>60</v>
      </c>
      <c r="G78" s="17" t="s">
        <v>61</v>
      </c>
      <c r="H78" s="109"/>
      <c r="I78" s="109" t="s">
        <v>63</v>
      </c>
      <c r="J78" s="98" t="s">
        <v>64</v>
      </c>
      <c r="K78" s="98" t="s">
        <v>47</v>
      </c>
      <c r="L78" s="98"/>
      <c r="M78" s="117">
        <v>42870</v>
      </c>
      <c r="N78" s="114"/>
      <c r="O78" s="105"/>
      <c r="P78" s="105"/>
      <c r="Q78" s="105"/>
      <c r="R78" s="105"/>
      <c r="S78" s="106">
        <f t="shared" si="0"/>
        <v>0</v>
      </c>
      <c r="T78" s="104"/>
      <c r="U78" s="104"/>
      <c r="V78" s="107" t="s">
        <v>181</v>
      </c>
      <c r="W78" s="18">
        <v>42954</v>
      </c>
      <c r="X78" s="19"/>
      <c r="Y78" s="19"/>
      <c r="Z78" s="16"/>
      <c r="AA78" s="17" t="s">
        <v>65</v>
      </c>
      <c r="AB78" s="17" t="s">
        <v>66</v>
      </c>
      <c r="AC78" s="17"/>
      <c r="AD78" s="20">
        <v>25258000</v>
      </c>
      <c r="AE78" s="20">
        <v>0</v>
      </c>
      <c r="AF78" s="20">
        <v>0</v>
      </c>
      <c r="AG78" s="20">
        <v>0</v>
      </c>
      <c r="AH78" s="20">
        <v>18989000</v>
      </c>
      <c r="AI78" s="20">
        <v>0</v>
      </c>
      <c r="AJ78" s="20">
        <v>44247000</v>
      </c>
      <c r="AK78" s="20">
        <v>0</v>
      </c>
      <c r="AL78" s="16">
        <v>502639</v>
      </c>
      <c r="AM78" s="16" t="s">
        <v>50</v>
      </c>
      <c r="AN78" s="16"/>
      <c r="AO78" s="19"/>
    </row>
  </sheetData>
  <mergeCells count="4">
    <mergeCell ref="AE10:AF10"/>
    <mergeCell ref="AG10:AH10"/>
    <mergeCell ref="O10:P10"/>
    <mergeCell ref="C2:G5"/>
  </mergeCells>
  <phoneticPr fontId="9" type="noConversion"/>
  <hyperlinks>
    <hyperlink ref="AA73" r:id="rId1" location="tab-04" display="https://www.conicyt.cl/fondecyt/2018/07/26/concurso-regular-fondecyt-2019/ - tab-04"/>
    <hyperlink ref="AA67" r:id="rId2"/>
    <hyperlink ref="AA69" r:id="rId3"/>
    <hyperlink ref="AA70" r:id="rId4"/>
    <hyperlink ref="AA66" r:id="rId5"/>
    <hyperlink ref="AA65" r:id="rId6"/>
    <hyperlink ref="I65" r:id="rId7" display="https://inia.a0-raptor.app/issues/USUARIO-289"/>
  </hyperlinks>
  <pageMargins left="0.7" right="0.7" top="0.75" bottom="0.75" header="0.3" footer="0.3"/>
  <pageSetup orientation="portrait" r:id="rId8"/>
  <drawing r:id="rId9"/>
  <legacyDrawing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showGridLines="0" zoomScaleNormal="100" workbookViewId="0">
      <selection activeCell="E7" sqref="E7"/>
    </sheetView>
  </sheetViews>
  <sheetFormatPr baseColWidth="10" defaultRowHeight="15" x14ac:dyDescent="0.25"/>
  <cols>
    <col min="1" max="1" width="20.85546875" customWidth="1"/>
    <col min="2" max="2" width="20" customWidth="1"/>
    <col min="3" max="3" width="21.140625" customWidth="1"/>
    <col min="4" max="4" width="10.5703125" customWidth="1"/>
    <col min="5" max="5" width="75.7109375" customWidth="1"/>
    <col min="6" max="6" width="31.28515625" bestFit="1" customWidth="1"/>
    <col min="7" max="7" width="26.140625" bestFit="1" customWidth="1"/>
    <col min="8" max="8" width="17.28515625" bestFit="1" customWidth="1"/>
    <col min="9" max="9" width="24.42578125" bestFit="1" customWidth="1"/>
    <col min="10" max="10" width="10.42578125" bestFit="1" customWidth="1"/>
    <col min="11" max="11" width="11.140625" bestFit="1" customWidth="1"/>
    <col min="12" max="12" width="12.85546875" bestFit="1" customWidth="1"/>
    <col min="13" max="13" width="16.28515625" customWidth="1"/>
  </cols>
  <sheetData>
    <row r="1" spans="1:13" s="26" customFormat="1" ht="30.75" thickBot="1" x14ac:dyDescent="0.3">
      <c r="A1" s="21" t="s">
        <v>169</v>
      </c>
      <c r="B1" s="22" t="s">
        <v>272</v>
      </c>
      <c r="C1" s="22" t="s">
        <v>170</v>
      </c>
      <c r="D1" s="23" t="s">
        <v>8</v>
      </c>
      <c r="E1" s="24" t="s">
        <v>171</v>
      </c>
      <c r="F1" s="21" t="s">
        <v>10</v>
      </c>
      <c r="G1" s="25" t="s">
        <v>12</v>
      </c>
      <c r="H1" s="25" t="s">
        <v>173</v>
      </c>
      <c r="I1" s="25" t="s">
        <v>174</v>
      </c>
      <c r="J1" s="25" t="s">
        <v>175</v>
      </c>
      <c r="K1" s="25" t="s">
        <v>47</v>
      </c>
      <c r="L1" s="25" t="s">
        <v>176</v>
      </c>
      <c r="M1" s="25" t="s">
        <v>177</v>
      </c>
    </row>
    <row r="2" spans="1:13" ht="24.75" thickTop="1" x14ac:dyDescent="0.25">
      <c r="A2" s="5">
        <v>2022</v>
      </c>
      <c r="B2" s="7" t="s">
        <v>273</v>
      </c>
      <c r="C2" s="4" t="s">
        <v>271</v>
      </c>
      <c r="D2" s="5" t="s">
        <v>43</v>
      </c>
      <c r="E2" s="8" t="s">
        <v>274</v>
      </c>
      <c r="F2" s="4" t="s">
        <v>242</v>
      </c>
      <c r="G2" s="4" t="s">
        <v>275</v>
      </c>
      <c r="H2" s="4" t="s">
        <v>46</v>
      </c>
      <c r="I2" s="4" t="s">
        <v>320</v>
      </c>
      <c r="J2" s="4" t="s">
        <v>113</v>
      </c>
      <c r="K2" s="4"/>
      <c r="L2" s="4" t="s">
        <v>276</v>
      </c>
      <c r="M2" s="4" t="s">
        <v>240</v>
      </c>
    </row>
    <row r="3" spans="1:13" ht="24" x14ac:dyDescent="0.25">
      <c r="A3" s="5">
        <v>2022</v>
      </c>
      <c r="B3" s="7" t="s">
        <v>273</v>
      </c>
      <c r="C3" s="4" t="s">
        <v>271</v>
      </c>
      <c r="D3" s="5" t="s">
        <v>43</v>
      </c>
      <c r="E3" s="8" t="s">
        <v>277</v>
      </c>
      <c r="F3" s="4" t="s">
        <v>278</v>
      </c>
      <c r="G3" s="4" t="s">
        <v>279</v>
      </c>
      <c r="H3" s="4" t="s">
        <v>46</v>
      </c>
      <c r="I3" s="4" t="s">
        <v>320</v>
      </c>
      <c r="J3" s="4" t="s">
        <v>113</v>
      </c>
      <c r="K3" s="4"/>
      <c r="L3" s="4" t="s">
        <v>280</v>
      </c>
      <c r="M3" s="4" t="s">
        <v>240</v>
      </c>
    </row>
    <row r="4" spans="1:13" x14ac:dyDescent="0.25">
      <c r="A4" s="5">
        <v>2022</v>
      </c>
      <c r="B4" s="7" t="s">
        <v>273</v>
      </c>
      <c r="C4" s="4" t="s">
        <v>271</v>
      </c>
      <c r="D4" s="5" t="s">
        <v>43</v>
      </c>
      <c r="E4" s="8" t="s">
        <v>281</v>
      </c>
      <c r="F4" s="4" t="s">
        <v>242</v>
      </c>
      <c r="G4" s="4" t="s">
        <v>282</v>
      </c>
      <c r="H4" s="4" t="s">
        <v>46</v>
      </c>
      <c r="I4" s="4" t="s">
        <v>320</v>
      </c>
      <c r="J4" s="4" t="s">
        <v>113</v>
      </c>
      <c r="K4" s="4"/>
      <c r="L4" s="4" t="s">
        <v>283</v>
      </c>
      <c r="M4" s="4" t="s">
        <v>240</v>
      </c>
    </row>
    <row r="5" spans="1:13" ht="24" x14ac:dyDescent="0.25">
      <c r="A5" s="5">
        <v>2022</v>
      </c>
      <c r="B5" s="7" t="s">
        <v>273</v>
      </c>
      <c r="C5" s="4" t="s">
        <v>271</v>
      </c>
      <c r="D5" s="5" t="s">
        <v>43</v>
      </c>
      <c r="E5" s="8" t="s">
        <v>284</v>
      </c>
      <c r="F5" s="4" t="s">
        <v>242</v>
      </c>
      <c r="G5" s="4" t="s">
        <v>285</v>
      </c>
      <c r="H5" s="4" t="s">
        <v>46</v>
      </c>
      <c r="I5" s="4" t="s">
        <v>320</v>
      </c>
      <c r="J5" s="4" t="s">
        <v>113</v>
      </c>
      <c r="K5" s="4"/>
      <c r="L5" s="4" t="s">
        <v>286</v>
      </c>
      <c r="M5" s="4" t="s">
        <v>47</v>
      </c>
    </row>
    <row r="6" spans="1:13" ht="24" x14ac:dyDescent="0.25">
      <c r="A6" s="5">
        <v>2022</v>
      </c>
      <c r="B6" s="7" t="s">
        <v>273</v>
      </c>
      <c r="C6" s="4" t="s">
        <v>271</v>
      </c>
      <c r="D6" s="5" t="s">
        <v>43</v>
      </c>
      <c r="E6" s="8" t="s">
        <v>287</v>
      </c>
      <c r="F6" s="4" t="s">
        <v>288</v>
      </c>
      <c r="G6" s="4" t="s">
        <v>289</v>
      </c>
      <c r="H6" s="4" t="s">
        <v>46</v>
      </c>
      <c r="I6" s="4" t="s">
        <v>320</v>
      </c>
      <c r="J6" s="4" t="s">
        <v>113</v>
      </c>
      <c r="K6" s="4"/>
      <c r="L6" s="4" t="s">
        <v>290</v>
      </c>
      <c r="M6" s="4" t="s">
        <v>47</v>
      </c>
    </row>
    <row r="7" spans="1:13" ht="24" x14ac:dyDescent="0.25">
      <c r="A7" s="5">
        <v>2022</v>
      </c>
      <c r="B7" s="7" t="s">
        <v>273</v>
      </c>
      <c r="C7" s="4" t="s">
        <v>271</v>
      </c>
      <c r="D7" s="5" t="s">
        <v>43</v>
      </c>
      <c r="E7" s="8" t="s">
        <v>291</v>
      </c>
      <c r="F7" s="4" t="s">
        <v>242</v>
      </c>
      <c r="G7" s="4" t="s">
        <v>225</v>
      </c>
      <c r="H7" s="4" t="s">
        <v>46</v>
      </c>
      <c r="I7" s="4" t="s">
        <v>320</v>
      </c>
      <c r="J7" s="4" t="s">
        <v>113</v>
      </c>
      <c r="K7" s="4"/>
      <c r="L7" s="4" t="s">
        <v>292</v>
      </c>
      <c r="M7" s="4" t="s">
        <v>47</v>
      </c>
    </row>
    <row r="8" spans="1:13" x14ac:dyDescent="0.25">
      <c r="A8" s="5"/>
      <c r="B8" s="6"/>
      <c r="C8" s="4"/>
      <c r="D8" s="4"/>
      <c r="E8" s="8"/>
      <c r="F8" s="4"/>
      <c r="G8" s="4"/>
      <c r="H8" s="4"/>
      <c r="I8" s="4"/>
      <c r="J8" s="4"/>
      <c r="K8" s="4"/>
      <c r="L8" s="4"/>
      <c r="M8" s="4"/>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showGridLines="0" workbookViewId="0">
      <selection activeCell="N9" sqref="N9"/>
    </sheetView>
  </sheetViews>
  <sheetFormatPr baseColWidth="10" defaultRowHeight="15" x14ac:dyDescent="0.25"/>
  <cols>
    <col min="1" max="1" width="29.42578125" customWidth="1"/>
    <col min="2" max="2" width="16.85546875" customWidth="1"/>
    <col min="3" max="3" width="8.42578125" customWidth="1"/>
    <col min="4" max="4" width="58.5703125" customWidth="1"/>
    <col min="5" max="5" width="23.7109375" customWidth="1"/>
    <col min="6" max="6" width="10.28515625" bestFit="1" customWidth="1"/>
    <col min="7" max="7" width="18" customWidth="1"/>
    <col min="8" max="8" width="16.28515625" bestFit="1" customWidth="1"/>
    <col min="9" max="9" width="9.85546875" bestFit="1" customWidth="1"/>
    <col min="10" max="10" width="10.7109375" bestFit="1" customWidth="1"/>
    <col min="11" max="11" width="16.42578125" customWidth="1"/>
    <col min="12" max="12" width="18.28515625" customWidth="1"/>
    <col min="13" max="13" width="20.140625" customWidth="1"/>
    <col min="14" max="14" width="12.5703125" customWidth="1"/>
    <col min="15" max="15" width="22.85546875" customWidth="1"/>
  </cols>
  <sheetData>
    <row r="1" spans="1:15" s="26" customFormat="1" ht="30.75" thickBot="1" x14ac:dyDescent="0.3">
      <c r="A1" s="21" t="s">
        <v>293</v>
      </c>
      <c r="B1" s="22" t="s">
        <v>298</v>
      </c>
      <c r="C1" s="23" t="s">
        <v>8</v>
      </c>
      <c r="D1" s="24" t="s">
        <v>171</v>
      </c>
      <c r="E1" s="27" t="s">
        <v>10</v>
      </c>
      <c r="F1" s="27" t="s">
        <v>172</v>
      </c>
      <c r="G1" s="25" t="s">
        <v>12</v>
      </c>
      <c r="H1" s="25" t="s">
        <v>173</v>
      </c>
      <c r="I1" s="25" t="s">
        <v>175</v>
      </c>
      <c r="J1" s="25" t="s">
        <v>47</v>
      </c>
      <c r="K1" s="25" t="s">
        <v>294</v>
      </c>
      <c r="L1" s="25" t="s">
        <v>300</v>
      </c>
      <c r="M1" s="25" t="s">
        <v>301</v>
      </c>
      <c r="N1" s="25" t="s">
        <v>22</v>
      </c>
      <c r="O1" s="25" t="s">
        <v>176</v>
      </c>
    </row>
    <row r="2" spans="1:15" ht="36.75" thickTop="1" x14ac:dyDescent="0.25">
      <c r="A2" s="5" t="s">
        <v>295</v>
      </c>
      <c r="B2" s="7" t="s">
        <v>299</v>
      </c>
      <c r="C2" s="5" t="s">
        <v>43</v>
      </c>
      <c r="D2" s="8" t="s">
        <v>296</v>
      </c>
      <c r="E2" s="4" t="s">
        <v>248</v>
      </c>
      <c r="F2" s="4"/>
      <c r="G2" s="4" t="s">
        <v>279</v>
      </c>
      <c r="H2" s="4" t="s">
        <v>46</v>
      </c>
      <c r="I2" s="4" t="s">
        <v>113</v>
      </c>
      <c r="J2" s="4" t="s">
        <v>113</v>
      </c>
      <c r="K2" s="9">
        <v>1800000</v>
      </c>
      <c r="L2" s="9">
        <v>2502869</v>
      </c>
      <c r="M2" s="9">
        <v>0</v>
      </c>
      <c r="N2" s="9"/>
      <c r="O2" s="4" t="s">
        <v>297</v>
      </c>
    </row>
    <row r="3" spans="1:15" ht="21" customHeight="1" x14ac:dyDescent="0.25">
      <c r="A3" s="5" t="s">
        <v>303</v>
      </c>
      <c r="B3" s="7" t="s">
        <v>305</v>
      </c>
      <c r="C3" s="5" t="s">
        <v>43</v>
      </c>
      <c r="D3" s="8" t="s">
        <v>302</v>
      </c>
      <c r="E3" s="4" t="s">
        <v>278</v>
      </c>
      <c r="F3" s="4"/>
      <c r="G3" s="4" t="s">
        <v>279</v>
      </c>
      <c r="H3" s="4" t="s">
        <v>46</v>
      </c>
      <c r="I3" s="4" t="s">
        <v>113</v>
      </c>
      <c r="J3" s="4" t="s">
        <v>113</v>
      </c>
      <c r="K3" s="9">
        <v>6433830</v>
      </c>
      <c r="L3" s="9">
        <v>1158807</v>
      </c>
      <c r="M3" s="9">
        <v>0</v>
      </c>
      <c r="N3" s="9">
        <v>8</v>
      </c>
      <c r="O3" s="4" t="s">
        <v>304</v>
      </c>
    </row>
    <row r="4" spans="1:15" ht="24.6" customHeight="1" x14ac:dyDescent="0.25">
      <c r="A4" s="5" t="s">
        <v>307</v>
      </c>
      <c r="B4" s="7" t="s">
        <v>308</v>
      </c>
      <c r="C4" s="5" t="s">
        <v>43</v>
      </c>
      <c r="D4" s="8" t="s">
        <v>306</v>
      </c>
      <c r="E4" s="4" t="s">
        <v>242</v>
      </c>
      <c r="F4" s="4"/>
      <c r="G4" s="4" t="s">
        <v>282</v>
      </c>
      <c r="H4" s="4" t="s">
        <v>46</v>
      </c>
      <c r="I4" s="4" t="s">
        <v>113</v>
      </c>
      <c r="J4" s="4" t="s">
        <v>113</v>
      </c>
      <c r="K4" s="9">
        <v>4775000</v>
      </c>
      <c r="L4" s="9">
        <v>4413289</v>
      </c>
      <c r="M4" s="9">
        <v>0</v>
      </c>
      <c r="N4" s="9">
        <v>9</v>
      </c>
      <c r="O4" s="4" t="s">
        <v>309</v>
      </c>
    </row>
    <row r="5" spans="1:15" ht="36" x14ac:dyDescent="0.25">
      <c r="A5" s="5" t="s">
        <v>310</v>
      </c>
      <c r="B5" s="7" t="s">
        <v>308</v>
      </c>
      <c r="C5" s="5" t="s">
        <v>43</v>
      </c>
      <c r="D5" s="8" t="s">
        <v>311</v>
      </c>
      <c r="E5" s="4" t="s">
        <v>242</v>
      </c>
      <c r="F5" s="4"/>
      <c r="G5" s="4" t="s">
        <v>282</v>
      </c>
      <c r="H5" s="4" t="s">
        <v>46</v>
      </c>
      <c r="I5" s="4" t="s">
        <v>113</v>
      </c>
      <c r="J5" s="4" t="s">
        <v>113</v>
      </c>
      <c r="K5" s="9">
        <v>5225000</v>
      </c>
      <c r="L5" s="9">
        <v>4413289</v>
      </c>
      <c r="M5" s="9">
        <v>0</v>
      </c>
      <c r="N5" s="9">
        <v>9</v>
      </c>
      <c r="O5" s="4" t="s">
        <v>309</v>
      </c>
    </row>
    <row r="6" spans="1:15" ht="36" x14ac:dyDescent="0.25">
      <c r="A6" s="5" t="s">
        <v>327</v>
      </c>
      <c r="B6" s="7" t="s">
        <v>328</v>
      </c>
      <c r="C6" s="5" t="s">
        <v>43</v>
      </c>
      <c r="D6" s="10" t="s">
        <v>329</v>
      </c>
      <c r="E6" s="4" t="s">
        <v>330</v>
      </c>
      <c r="F6" s="4"/>
      <c r="G6" s="4" t="s">
        <v>331</v>
      </c>
      <c r="H6" s="4" t="s">
        <v>46</v>
      </c>
      <c r="I6" s="4" t="s">
        <v>113</v>
      </c>
      <c r="J6" s="4" t="s">
        <v>113</v>
      </c>
      <c r="K6" s="9">
        <v>4908168</v>
      </c>
      <c r="L6" s="9">
        <v>503570</v>
      </c>
      <c r="M6" s="9">
        <v>0</v>
      </c>
      <c r="N6" s="9">
        <v>2</v>
      </c>
      <c r="O6" s="4" t="s">
        <v>332</v>
      </c>
    </row>
    <row r="7" spans="1:15" ht="24" x14ac:dyDescent="0.25">
      <c r="A7" s="5" t="s">
        <v>333</v>
      </c>
      <c r="B7" s="7" t="s">
        <v>334</v>
      </c>
      <c r="C7" s="5" t="s">
        <v>43</v>
      </c>
      <c r="D7" s="10" t="s">
        <v>335</v>
      </c>
      <c r="E7" s="4" t="s">
        <v>242</v>
      </c>
      <c r="F7" s="4"/>
      <c r="G7" s="4" t="s">
        <v>336</v>
      </c>
      <c r="H7" s="4" t="s">
        <v>46</v>
      </c>
      <c r="I7" s="4" t="s">
        <v>113</v>
      </c>
      <c r="J7" s="4" t="s">
        <v>113</v>
      </c>
      <c r="K7" s="9">
        <v>81700000</v>
      </c>
      <c r="L7" s="9">
        <v>72422200</v>
      </c>
      <c r="M7" s="9">
        <v>0</v>
      </c>
      <c r="N7" s="9">
        <v>7</v>
      </c>
      <c r="O7" s="4" t="s">
        <v>339</v>
      </c>
    </row>
    <row r="8" spans="1:15" ht="20.45" customHeight="1" x14ac:dyDescent="0.25">
      <c r="A8" s="5" t="s">
        <v>341</v>
      </c>
      <c r="B8" s="1">
        <v>45015</v>
      </c>
      <c r="C8" s="3" t="s">
        <v>43</v>
      </c>
      <c r="D8" s="3" t="s">
        <v>342</v>
      </c>
      <c r="E8" s="4" t="s">
        <v>242</v>
      </c>
      <c r="F8" s="3"/>
      <c r="G8" s="3" t="s">
        <v>282</v>
      </c>
      <c r="H8" s="3" t="s">
        <v>46</v>
      </c>
      <c r="I8" s="3" t="s">
        <v>113</v>
      </c>
      <c r="J8" s="3" t="s">
        <v>113</v>
      </c>
      <c r="K8" s="9">
        <v>2500000</v>
      </c>
      <c r="L8" s="3"/>
      <c r="M8" s="3"/>
      <c r="N8" s="2">
        <v>10</v>
      </c>
      <c r="O8" s="4" t="s">
        <v>309</v>
      </c>
    </row>
    <row r="9" spans="1:15" x14ac:dyDescent="0.25">
      <c r="A9" s="5" t="s">
        <v>341</v>
      </c>
      <c r="B9" s="1">
        <v>45170</v>
      </c>
      <c r="C9" s="3" t="s">
        <v>43</v>
      </c>
      <c r="D9" s="3" t="s">
        <v>357</v>
      </c>
      <c r="E9" s="4" t="s">
        <v>242</v>
      </c>
      <c r="F9" s="3"/>
      <c r="G9" s="3" t="s">
        <v>282</v>
      </c>
      <c r="H9" s="3" t="s">
        <v>46</v>
      </c>
      <c r="I9" s="3" t="s">
        <v>113</v>
      </c>
      <c r="J9" s="3" t="s">
        <v>113</v>
      </c>
      <c r="K9" s="9">
        <f>5523110*1.19</f>
        <v>6572500.8999999994</v>
      </c>
      <c r="L9" s="3"/>
      <c r="M9" s="3"/>
      <c r="N9" s="2">
        <v>9</v>
      </c>
      <c r="O9" s="4" t="s">
        <v>309</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Perfiles Raihuen</vt:lpstr>
      <vt:lpstr>PY Postulados Raihuen</vt:lpstr>
      <vt:lpstr>FNDR Maule</vt:lpstr>
      <vt:lpstr>Convenios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Esteban Nuñez  Berrios</dc:creator>
  <cp:lastModifiedBy>Inves_Rayentue</cp:lastModifiedBy>
  <dcterms:created xsi:type="dcterms:W3CDTF">2022-05-23T20:28:30Z</dcterms:created>
  <dcterms:modified xsi:type="dcterms:W3CDTF">2026-04-30T18:30:58Z</dcterms:modified>
</cp:coreProperties>
</file>