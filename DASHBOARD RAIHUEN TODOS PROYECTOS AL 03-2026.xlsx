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Notebook UPSE01\Documents\Raihuén\UPSE-RAIHUEN\"/>
    </mc:Choice>
  </mc:AlternateContent>
  <bookViews>
    <workbookView xWindow="0" yWindow="0" windowWidth="20490" windowHeight="8055" activeTab="3"/>
  </bookViews>
  <sheets>
    <sheet name="BBDD PY" sheetId="1" r:id="rId1"/>
    <sheet name="KPIS" sheetId="2" r:id="rId2"/>
    <sheet name="Resumen" sheetId="5" r:id="rId3"/>
    <sheet name="DASHBOARD" sheetId="3" r:id="rId4"/>
  </sheets>
  <definedNames>
    <definedName name="SegmentaciónDeDatos_Dependencia">#N/A</definedName>
    <definedName name="SegmentaciónDeDatos_Estado_Proyecto">#N/A</definedName>
    <definedName name="SegmentaciónDeDatos_Jefe_Proyecto">#N/A</definedName>
    <definedName name="SegmentaciónDeDatos_Nombre_FF">#N/A</definedName>
  </definedNames>
  <calcPr calcId="152511"/>
  <pivotCaches>
    <pivotCache cacheId="7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U16" i="1" l="1"/>
  <c r="U62" i="1"/>
  <c r="U7" i="1" l="1"/>
  <c r="U8" i="1"/>
  <c r="U63" i="1" l="1"/>
  <c r="U5" i="1" l="1"/>
  <c r="U6" i="1"/>
  <c r="U14" i="1"/>
  <c r="U17" i="1"/>
  <c r="U18" i="1"/>
  <c r="U19" i="1"/>
  <c r="U23" i="1"/>
  <c r="U24" i="1"/>
  <c r="U26" i="1"/>
  <c r="U32" i="1"/>
  <c r="U29" i="1"/>
  <c r="U31" i="1"/>
  <c r="U34" i="1"/>
  <c r="U35" i="1"/>
  <c r="U37" i="1"/>
  <c r="U38" i="1"/>
  <c r="U42" i="1"/>
  <c r="U43" i="1"/>
  <c r="U44" i="1"/>
  <c r="U45" i="1"/>
  <c r="U46" i="1"/>
  <c r="U47" i="1"/>
  <c r="U48" i="1"/>
  <c r="U51" i="1"/>
  <c r="U60" i="1"/>
  <c r="U61" i="1"/>
  <c r="U56" i="1"/>
  <c r="U59" i="1"/>
  <c r="U55" i="1"/>
  <c r="U53" i="1"/>
  <c r="U50" i="1"/>
  <c r="U49" i="1"/>
  <c r="U41" i="1"/>
  <c r="U40" i="1"/>
  <c r="U39" i="1"/>
  <c r="U36" i="1"/>
  <c r="U33" i="1"/>
  <c r="U27" i="1"/>
  <c r="U58" i="1"/>
  <c r="U54" i="1"/>
  <c r="U30" i="1"/>
  <c r="U25" i="1"/>
  <c r="U22" i="1"/>
  <c r="U21" i="1"/>
  <c r="U20" i="1"/>
  <c r="U15" i="1"/>
  <c r="U13" i="1"/>
  <c r="U12" i="1"/>
  <c r="U11" i="1"/>
  <c r="U10" i="1"/>
  <c r="U9" i="1"/>
  <c r="U52" i="1"/>
  <c r="U57" i="1"/>
  <c r="U28" i="1" l="1"/>
</calcChain>
</file>

<file path=xl/sharedStrings.xml><?xml version="1.0" encoding="utf-8"?>
<sst xmlns="http://schemas.openxmlformats.org/spreadsheetml/2006/main" count="886" uniqueCount="247">
  <si>
    <t>Dependencia</t>
  </si>
  <si>
    <t>Código</t>
  </si>
  <si>
    <t>FF</t>
  </si>
  <si>
    <t>Otras FF</t>
  </si>
  <si>
    <t>Estado Código</t>
  </si>
  <si>
    <t>Estado Formulario</t>
  </si>
  <si>
    <t>Estado Acta Inicio</t>
  </si>
  <si>
    <t>Estado Contrato</t>
  </si>
  <si>
    <t>Título Proyecto</t>
  </si>
  <si>
    <t>Jefe Proyecto</t>
  </si>
  <si>
    <t>Estado Proyecto</t>
  </si>
  <si>
    <t>Desde</t>
  </si>
  <si>
    <t>Hasta</t>
  </si>
  <si>
    <t>Código Externo</t>
  </si>
  <si>
    <t>21 - Raihuén/Cauquenes</t>
  </si>
  <si>
    <t>Activado</t>
  </si>
  <si>
    <t>Aprobado</t>
  </si>
  <si>
    <t>GTT Arándanos del Secano</t>
  </si>
  <si>
    <t>BARAHONA LEIVA, VIVIANA LORENA</t>
  </si>
  <si>
    <t>Terminado</t>
  </si>
  <si>
    <t>2020-03-01</t>
  </si>
  <si>
    <t>2022-03-31</t>
  </si>
  <si>
    <t>GCA Profesionales en Sistemas Ovinos</t>
  </si>
  <si>
    <t>2022-12-31</t>
  </si>
  <si>
    <t>Manejo del pastoreo en praderas naturales y sembradas de zonas con climas mediterráneos</t>
  </si>
  <si>
    <t>ESPINOZA TRONCOSO, SOLEDAD</t>
  </si>
  <si>
    <t>2021-01-01</t>
  </si>
  <si>
    <t>2023-12-31</t>
  </si>
  <si>
    <t>2024-12-31</t>
  </si>
  <si>
    <t>LILLO VILCHI, GONZALO EDUARDO</t>
  </si>
  <si>
    <t>En Ejecución</t>
  </si>
  <si>
    <t>2025-12-31</t>
  </si>
  <si>
    <t>2019-01-01</t>
  </si>
  <si>
    <t>2023-01-01</t>
  </si>
  <si>
    <t>2020-04-01</t>
  </si>
  <si>
    <t>Aprobada</t>
  </si>
  <si>
    <t>Totalmente Tramitado</t>
  </si>
  <si>
    <t>Exploring the physiological and agronomic implications of legume species with contrasting nitrogen fixation responses to soil inorganic N.</t>
  </si>
  <si>
    <t>2024-03-30</t>
  </si>
  <si>
    <t>GET Profesionales Maule Sur</t>
  </si>
  <si>
    <t>2022-07-01</t>
  </si>
  <si>
    <t>2025-03-31</t>
  </si>
  <si>
    <t>Evaluación de polímero Rescaype en productividad de cultivos</t>
  </si>
  <si>
    <t>Contribuir a mejorar la disponibilidad de forraje del sistema ganado - pradera de los pequeños y medianos productores de la Comuna de El Carmen</t>
  </si>
  <si>
    <t>2022-07-11</t>
  </si>
  <si>
    <t>2024-10-31</t>
  </si>
  <si>
    <t>2022-05-23</t>
  </si>
  <si>
    <t>2023-08-31</t>
  </si>
  <si>
    <t>GET Ovinos Cauquenes</t>
  </si>
  <si>
    <t>2022-08-29</t>
  </si>
  <si>
    <t>2024-01-03</t>
  </si>
  <si>
    <t>Transferencia generación de banco de germoplasma para la obtención de plantas de calidad</t>
  </si>
  <si>
    <t>CHILIAN, RICARDO JAVIER</t>
  </si>
  <si>
    <t>2027-06-30</t>
  </si>
  <si>
    <t>BIP 40042526-0</t>
  </si>
  <si>
    <t>Transferencia programa desarrollo en la cadena de valor de leguminosas, del Maule a Chile</t>
  </si>
  <si>
    <t>TAY NEVES, KIANYON SANLING</t>
  </si>
  <si>
    <t>2022-12-13</t>
  </si>
  <si>
    <t>BIP 40041425-0</t>
  </si>
  <si>
    <t>68
70</t>
  </si>
  <si>
    <t>Cultivo de frutillas más rentables y sin residuos para la agroindustria, usando microorganismos benéficos para controlar enfermedades de suelo</t>
  </si>
  <si>
    <t>MILLAS ORTIZ, PAZ ANTONIA</t>
  </si>
  <si>
    <t>2022-12-23</t>
  </si>
  <si>
    <t>2026-01-02</t>
  </si>
  <si>
    <t>BIP 40047282-0</t>
  </si>
  <si>
    <t>GET Ovinos Hualañé</t>
  </si>
  <si>
    <t>2023-07-01</t>
  </si>
  <si>
    <t>MORALES ALCAYAGA, CARMEN GLORIA</t>
  </si>
  <si>
    <t>2023-11-01</t>
  </si>
  <si>
    <t>Revalorización del cultivo de la quínoa, a través de la caracterización de las saponinas presentes en la planta</t>
  </si>
  <si>
    <t>ESTRADA BRAVO, FELIX RODOLFO</t>
  </si>
  <si>
    <t>2024-11-07</t>
  </si>
  <si>
    <t>2027-12-31</t>
  </si>
  <si>
    <t>Praderas de Secano</t>
  </si>
  <si>
    <t>2024-04-01</t>
  </si>
  <si>
    <t>2024-08-01</t>
  </si>
  <si>
    <t>2025-01-01</t>
  </si>
  <si>
    <t>2025-10-31</t>
  </si>
  <si>
    <t>Uso eficiente del agua mediante riego inteligente y biofiltros en sistemas agroforestales, utilizando especies tolerantes a la sequía en el secano interior de la región del Maule</t>
  </si>
  <si>
    <t>2028-01-01</t>
  </si>
  <si>
    <t>Praderas Polifíticas: Una Alternativa para el Secano</t>
  </si>
  <si>
    <t>SAENZ MORENO, CAMILA VALENTINA</t>
  </si>
  <si>
    <t>2025-03-03</t>
  </si>
  <si>
    <t>GET OVINOS CAUQUENES 2</t>
  </si>
  <si>
    <t>GET Bovinos Longaví</t>
  </si>
  <si>
    <t>2025-03-01</t>
  </si>
  <si>
    <t>Implementación de una Colección de Recursos Genéticos  adaptados a condiciones ambientales extremas, utilizando energías renovables, en el secano Interior de la región del Maule.</t>
  </si>
  <si>
    <t>DONOSO ÑANCULAO, GABRIEL HERNAN</t>
  </si>
  <si>
    <t>Vitivinicultura para la zona sur</t>
  </si>
  <si>
    <t>GUTIERREZ GAMBOA, GASTON</t>
  </si>
  <si>
    <t>GET Red de Innovación y Transferencia Tecnológica para Productores de Manzanos Patrimoniales de la Región de La Araucanía</t>
  </si>
  <si>
    <t>2027-02-28</t>
  </si>
  <si>
    <t>MODIFICATIONS ON BUNCH MICROCLIMATE BY SUSTAINABLEVITICULTURAL PRACTICES TO OPTIMIXE GRAPE ANDA WINE PRODUCTION AS ADAPTING STRATEGY TO HIGH TEMPERATURES</t>
  </si>
  <si>
    <t>2024-03-15</t>
  </si>
  <si>
    <t>2027-03-14</t>
  </si>
  <si>
    <t>RED INTERNACIONAL DE VITIVINICULTURA DE CLIMAS FRÍOS</t>
  </si>
  <si>
    <t>2024-11-06</t>
  </si>
  <si>
    <t>2025-11-06</t>
  </si>
  <si>
    <t>FOVI240188</t>
  </si>
  <si>
    <t/>
  </si>
  <si>
    <t>23 - Raihuén/Raihuén</t>
  </si>
  <si>
    <t>12
70</t>
  </si>
  <si>
    <t>Transferencia producción de arroz climáticamente inteligente</t>
  </si>
  <si>
    <t>CORDERO LARA, KARLA IVONNE</t>
  </si>
  <si>
    <t>2020-12-28</t>
  </si>
  <si>
    <t>BIP 40027609-0</t>
  </si>
  <si>
    <t>68
70
13</t>
  </si>
  <si>
    <t>Transferencia Mosca suzukii protección fruticultura y empleo</t>
  </si>
  <si>
    <t>DEVOTTO MORENO, LUIS D.</t>
  </si>
  <si>
    <t>BIP 40.027.596-0</t>
  </si>
  <si>
    <t>Programa de innovación en el uso eficiente del recurso hídrico para la pequeña agricultura de la región de Maule</t>
  </si>
  <si>
    <t>2021-12-15</t>
  </si>
  <si>
    <t>2023-09-29</t>
  </si>
  <si>
    <t>PYT-2021-0662</t>
  </si>
  <si>
    <t>GTT Berries LONGAVI</t>
  </si>
  <si>
    <t>Red Agrometeorológica Nacional</t>
  </si>
  <si>
    <t>REYES MUÑOZ, MARISOL</t>
  </si>
  <si>
    <t>Modificado</t>
  </si>
  <si>
    <t>Transferencia desarrollo de un producto para incrementar la tolerancia al estrés hídrico y calidad organoléptica de frutos de arándanos mediante el uso de inductores hormonales y nutricionales</t>
  </si>
  <si>
    <t>BALBONTIN SEPULVEDA, CRISTIAN ALEJANDRO</t>
  </si>
  <si>
    <t>2018-05-31</t>
  </si>
  <si>
    <t>2023-06-30</t>
  </si>
  <si>
    <t>BIP 40.001.062-0</t>
  </si>
  <si>
    <t>Prospección y validación de nuevas alternativas de berries de alto valor alimenticio para potenciar la industria de la región del Maule.</t>
  </si>
  <si>
    <t>2018-12-28</t>
  </si>
  <si>
    <t>2022-09-16</t>
  </si>
  <si>
    <t>PYT-2018-0713</t>
  </si>
  <si>
    <t>Transferencia caracterización y valoración de vides y vinos del Maule</t>
  </si>
  <si>
    <t>2020-04-16</t>
  </si>
  <si>
    <t>BIP 40.018.935-0</t>
  </si>
  <si>
    <t>Estudios y evaluaciones vitivinícolas y enológicas</t>
  </si>
  <si>
    <t>2020-09-01</t>
  </si>
  <si>
    <t>2025-11-30</t>
  </si>
  <si>
    <t>N/A</t>
  </si>
  <si>
    <t>Valorización de vinos chilenos mediante la determinación de su huella genética</t>
  </si>
  <si>
    <t>DIAZ GALVEZ, IRINA</t>
  </si>
  <si>
    <t>2020-12-01</t>
  </si>
  <si>
    <t>2023-11-30</t>
  </si>
  <si>
    <t>PYT-2020-0036</t>
  </si>
  <si>
    <t>GET Berries Colbún</t>
  </si>
  <si>
    <t>2022-04-01</t>
  </si>
  <si>
    <t>GET Frambuesas Linares</t>
  </si>
  <si>
    <t>2022-03-01</t>
  </si>
  <si>
    <t>2025-02-28</t>
  </si>
  <si>
    <t>GET Vides Cauquenes</t>
  </si>
  <si>
    <t>2022-06-01</t>
  </si>
  <si>
    <t>GET Sistemas Agroecológicos Maule</t>
  </si>
  <si>
    <t>2022-09-01</t>
  </si>
  <si>
    <t>2025-08-31</t>
  </si>
  <si>
    <t>GET Jóvenes Rurales Agroecológicos</t>
  </si>
  <si>
    <t>Fortalecer las capacidades técnicas en el manejo hortícola sostenible, la gestión hídrica y la asociatividad de los usuarios del PRODESAL de Lampa</t>
  </si>
  <si>
    <t>LLADSER URZUA, JOSE PABLO</t>
  </si>
  <si>
    <t>2022-09-05</t>
  </si>
  <si>
    <t xml:space="preserve">Implementación del Piloto del Programa de Promoción y Fortalecimiento de la producción sustentable de cultivos tradicionales </t>
  </si>
  <si>
    <t>2022-10-05</t>
  </si>
  <si>
    <t>2023-04-30</t>
  </si>
  <si>
    <t>Agricultura regenerativa y prácticas sustentables en viñedos para enfrentar el Cambio Climático</t>
  </si>
  <si>
    <t>2022-11-01</t>
  </si>
  <si>
    <t>22PTECCC-219368</t>
  </si>
  <si>
    <t>Transferencia adaptación de innovaciones tecnológicas para fortalecer capacidades en berries</t>
  </si>
  <si>
    <t>BIP 40034272-0</t>
  </si>
  <si>
    <t>"Alternativas eco-amigables para el manejo de nemátodos fitoparásitos en tomates y vides"</t>
  </si>
  <si>
    <t>2026-06-30</t>
  </si>
  <si>
    <t>BIP 40047049-0</t>
  </si>
  <si>
    <t>Programa de Encuentros Tecnológicos (PET) Maule</t>
  </si>
  <si>
    <t>2023-05-01</t>
  </si>
  <si>
    <t>Programa de Transición a la Agricultura Sostenible - TAS</t>
  </si>
  <si>
    <t>2025-07-31</t>
  </si>
  <si>
    <t>Arroz Climáticamente Inteligente 2.0: en transición a la descarbonización del sector arrocero de la Región del Maule</t>
  </si>
  <si>
    <t>2024-09-01</t>
  </si>
  <si>
    <t>BIP 40.058.824-0</t>
  </si>
  <si>
    <t>Prestación de servicio de INIA al Servicio Agrícola y Ganadero SAG Evaluación variedades de Arroz</t>
  </si>
  <si>
    <t>Modernización para acelerar la adopción de tecnologías generadas por el INIA dirigidas a la diversificación productiva y sustentable de la Agricultura Chilena</t>
  </si>
  <si>
    <t>2023-12-15</t>
  </si>
  <si>
    <t>2024-07-19</t>
  </si>
  <si>
    <t xml:space="preserve"> 23ITP-P-245559</t>
  </si>
  <si>
    <t xml:space="preserve">Vitivinicultura criolla y patrimonial del Maule </t>
  </si>
  <si>
    <t>2024-11-22</t>
  </si>
  <si>
    <t>EVR-2024-0366</t>
  </si>
  <si>
    <t>Seminario "Gestión del recurso agua: uso de herramientas tecnológicas y difusión de estrategias exitosas"</t>
  </si>
  <si>
    <t>2024-07-17</t>
  </si>
  <si>
    <t>2024-08-27</t>
  </si>
  <si>
    <t>EVR-2024-0375</t>
  </si>
  <si>
    <t>Contrato de Prestación de Servicios entre el Comité Agroseguros e INIA</t>
  </si>
  <si>
    <t>2024-07-23</t>
  </si>
  <si>
    <t>2025-06-30</t>
  </si>
  <si>
    <t>Gira internacional a Francia para la innovación en tecnologías sostenibles en el sistema agroalimentario de los espárragos del Maule</t>
  </si>
  <si>
    <t>2025-05-27</t>
  </si>
  <si>
    <t>2025-11-13</t>
  </si>
  <si>
    <t>GIT-2025-0334</t>
  </si>
  <si>
    <t xml:space="preserve">GET mujeres del Mataquito			</t>
  </si>
  <si>
    <t>2025-07-01</t>
  </si>
  <si>
    <t>2028-06-30</t>
  </si>
  <si>
    <t>Programa de Transición a la Agricultura Sostenible - TAS año 3 - Maule</t>
  </si>
  <si>
    <t>2025-10-08</t>
  </si>
  <si>
    <t>2027-10-31</t>
  </si>
  <si>
    <t>Nombre FF</t>
  </si>
  <si>
    <t>MONTO FF</t>
  </si>
  <si>
    <t>PECUNIO ASOCIADO</t>
  </si>
  <si>
    <t>NO PECUNIO ASOCIADO</t>
  </si>
  <si>
    <t>PECUNIO INIA</t>
  </si>
  <si>
    <t>NO PECUNIO INIA</t>
  </si>
  <si>
    <t>TOTAL PROYECTO</t>
  </si>
  <si>
    <t>MinCiencias</t>
  </si>
  <si>
    <t>Subsecretaria</t>
  </si>
  <si>
    <t>Gobierno Regional</t>
  </si>
  <si>
    <t>Convenio Municipal</t>
  </si>
  <si>
    <t>Conicyt</t>
  </si>
  <si>
    <t>Prestación de Servicio con Públicos</t>
  </si>
  <si>
    <t>Fondecyt</t>
  </si>
  <si>
    <t>FNDR</t>
  </si>
  <si>
    <t>Indap</t>
  </si>
  <si>
    <t>Innova</t>
  </si>
  <si>
    <t>Convenio Privado</t>
  </si>
  <si>
    <t>FIA</t>
  </si>
  <si>
    <t>Etiquetas de fila</t>
  </si>
  <si>
    <t>Total general</t>
  </si>
  <si>
    <t>Cuenta de Nombre FF</t>
  </si>
  <si>
    <t>Suma de MONTO FF</t>
  </si>
  <si>
    <t>Suma de PECUNIO ASOCIADO</t>
  </si>
  <si>
    <t>Cuenta de Estado Proyecto</t>
  </si>
  <si>
    <t>Núcleo Aberdeen Angus Negro</t>
  </si>
  <si>
    <t>PEÑA PEREZ, GONZALO JAVIER</t>
  </si>
  <si>
    <t>1 de enero de 2025</t>
  </si>
  <si>
    <t>30 de nov</t>
  </si>
  <si>
    <t>Otros Convenios</t>
  </si>
  <si>
    <t>Vitivinicultura Sostenible y Liderazgo Femenino en el Secano Interior del Maule: Innovación, Transferencia y Empoderamiento Rural</t>
  </si>
  <si>
    <t>EVR-2025-0279</t>
  </si>
  <si>
    <t>Conaf</t>
  </si>
  <si>
    <t>Sin Información</t>
  </si>
  <si>
    <t>Centro de Investigación e Innovación VitiScience</t>
  </si>
  <si>
    <t>VERDUGO VASQUEZ, NICOLAS JVIER</t>
  </si>
  <si>
    <t>Provisorio</t>
  </si>
  <si>
    <t>Revisión Finanzas</t>
  </si>
  <si>
    <t>“Proyecto +Bosques, juntos contra el Cambio Climático"</t>
  </si>
  <si>
    <t>Sistema ganadero ovino-bovinos - CE Cauquenes (vinculado a 500840)</t>
  </si>
  <si>
    <t>Producción</t>
  </si>
  <si>
    <t>Conservación ex-situ de germoplasma del APP Cerro Santa Inés de dicho proyecto Etapa 2</t>
  </si>
  <si>
    <t>PAÑITRUR DE LA FUENTE, CAROLINA PAZ</t>
  </si>
  <si>
    <t>Negociación</t>
  </si>
  <si>
    <t>(en blanco)</t>
  </si>
  <si>
    <t>N° Proyectos</t>
  </si>
  <si>
    <t>$ Total FF</t>
  </si>
  <si>
    <t>Fuente F.</t>
  </si>
  <si>
    <t>N° de Proyectos</t>
  </si>
  <si>
    <t>$Total FF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</si>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</sst>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 &quot;$&quot;* #,##0_ ;_ &quot;$&quot;* \-#,##0_ ;_ &quot;$&quot;* &quot;-&quot;_ ;_ @_ "/>
  </numFmts>
  <fonts count="11" x14ac:knownFonts="1">
    <font>
      <sz val="11"/>
      <name val="Arial"/>
      <family val="1"/>
    </font>
    <font>
      <b/>
      <sz val="11"/>
      <name val="Arial"/>
      <family val="1"/>
    </font>
    <font>
      <sz val="11"/>
      <name val="Arial"/>
      <family val="1"/>
    </font>
    <font>
      <b/>
      <sz val="11"/>
      <name val="Arial"/>
      <family val="2"/>
    </font>
    <font>
      <b/>
      <sz val="11"/>
      <color theme="0"/>
      <name val="Arial"/>
      <family val="1"/>
    </font>
    <font>
      <sz val="11"/>
      <color theme="0"/>
      <name val="Arial"/>
      <family val="1"/>
    </font>
    <font>
      <b/>
      <sz val="11"/>
      <color theme="0"/>
      <name val="Arial"/>
      <family val="2"/>
    </font>
    <font>
      <b/>
      <sz val="11"/>
      <color theme="0"/>
      <name val="Helvetica"/>
      <family val="2"/>
    </font>
    <font>
      <b/>
      <sz val="12.1"/>
      <color theme="0"/>
      <name val="Helvetica"/>
      <family val="2"/>
    </font>
    <font>
      <b/>
      <sz val="12"/>
      <color theme="0"/>
      <name val="Helvetica"/>
      <family val="2"/>
    </font>
    <font>
      <sz val="12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NumberFormat="1"/>
    <xf numFmtId="42" fontId="5" fillId="3" borderId="16" xfId="0" applyNumberFormat="1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42" fontId="5" fillId="3" borderId="18" xfId="0" applyNumberFormat="1" applyFont="1" applyFill="1" applyBorder="1" applyAlignment="1">
      <alignment horizontal="center"/>
    </xf>
    <xf numFmtId="42" fontId="5" fillId="3" borderId="14" xfId="0" applyNumberFormat="1" applyFont="1" applyFill="1" applyBorder="1" applyAlignment="1">
      <alignment horizontal="center"/>
    </xf>
    <xf numFmtId="0" fontId="5" fillId="3" borderId="17" xfId="0" applyFont="1" applyFill="1" applyBorder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42" fontId="5" fillId="3" borderId="0" xfId="0" applyNumberFormat="1" applyFont="1" applyFill="1"/>
    <xf numFmtId="0" fontId="5" fillId="3" borderId="0" xfId="0" applyNumberFormat="1" applyFont="1" applyFill="1"/>
    <xf numFmtId="0" fontId="5" fillId="3" borderId="17" xfId="0" applyFont="1" applyFill="1" applyBorder="1"/>
    <xf numFmtId="0" fontId="5" fillId="3" borderId="18" xfId="0" applyFont="1" applyFill="1" applyBorder="1"/>
    <xf numFmtId="0" fontId="5" fillId="3" borderId="12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left"/>
    </xf>
    <xf numFmtId="0" fontId="5" fillId="3" borderId="19" xfId="0" applyNumberFormat="1" applyFont="1" applyFill="1" applyBorder="1"/>
    <xf numFmtId="0" fontId="5" fillId="3" borderId="20" xfId="0" applyFont="1" applyFill="1" applyBorder="1" applyAlignment="1">
      <alignment horizontal="left"/>
    </xf>
    <xf numFmtId="0" fontId="5" fillId="3" borderId="20" xfId="0" applyNumberFormat="1" applyFont="1" applyFill="1" applyBorder="1"/>
    <xf numFmtId="0" fontId="5" fillId="3" borderId="2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2" xfId="0" applyNumberFormat="1" applyFont="1" applyFill="1" applyBorder="1"/>
    <xf numFmtId="0" fontId="5" fillId="3" borderId="18" xfId="0" applyFont="1" applyFill="1" applyBorder="1" applyAlignment="1">
      <alignment horizontal="left"/>
    </xf>
    <xf numFmtId="0" fontId="5" fillId="3" borderId="13" xfId="0" applyNumberFormat="1" applyFont="1" applyFill="1" applyBorder="1" applyAlignment="1">
      <alignment horizontal="center"/>
    </xf>
    <xf numFmtId="0" fontId="5" fillId="3" borderId="15" xfId="0" applyNumberFormat="1" applyFont="1" applyFill="1" applyBorder="1" applyAlignment="1">
      <alignment horizontal="center"/>
    </xf>
    <xf numFmtId="0" fontId="5" fillId="3" borderId="17" xfId="0" applyNumberFormat="1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10" fillId="0" borderId="0" xfId="0" applyFont="1"/>
    <xf numFmtId="0" fontId="6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6" fillId="2" borderId="6" xfId="0" applyFont="1" applyFill="1" applyBorder="1"/>
    <xf numFmtId="42" fontId="6" fillId="2" borderId="7" xfId="1" applyFont="1" applyFill="1" applyBorder="1" applyAlignment="1">
      <alignment horizontal="center" wrapText="1"/>
    </xf>
    <xf numFmtId="42" fontId="6" fillId="2" borderId="7" xfId="1" applyFont="1" applyFill="1" applyBorder="1" applyAlignment="1">
      <alignment horizontal="center" vertical="center" wrapText="1"/>
    </xf>
    <xf numFmtId="0" fontId="6" fillId="2" borderId="7" xfId="0" applyFont="1" applyFill="1" applyBorder="1"/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42" fontId="4" fillId="2" borderId="2" xfId="1" applyFont="1" applyFill="1" applyBorder="1" applyAlignment="1">
      <alignment horizontal="center" vertical="center" wrapText="1"/>
    </xf>
    <xf numFmtId="42" fontId="7" fillId="2" borderId="2" xfId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left" vertical="top" wrapText="1"/>
    </xf>
    <xf numFmtId="42" fontId="6" fillId="2" borderId="2" xfId="1" applyFont="1" applyFill="1" applyBorder="1" applyAlignment="1">
      <alignment horizontal="center" vertical="center" wrapText="1"/>
    </xf>
    <xf numFmtId="3" fontId="6" fillId="2" borderId="2" xfId="0" applyNumberFormat="1" applyFont="1" applyFill="1" applyBorder="1"/>
    <xf numFmtId="42" fontId="6" fillId="2" borderId="0" xfId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left" vertical="top" wrapText="1"/>
    </xf>
    <xf numFmtId="42" fontId="6" fillId="2" borderId="2" xfId="1" applyFont="1" applyFill="1" applyBorder="1" applyAlignment="1">
      <alignment horizontal="center" vertical="center"/>
    </xf>
    <xf numFmtId="42" fontId="6" fillId="2" borderId="3" xfId="1" applyFont="1" applyFill="1" applyBorder="1" applyAlignment="1">
      <alignment horizontal="center" vertical="center" wrapText="1"/>
    </xf>
    <xf numFmtId="42" fontId="6" fillId="2" borderId="9" xfId="1" applyFont="1" applyFill="1" applyBorder="1" applyAlignment="1">
      <alignment horizontal="center" vertical="center" wrapText="1"/>
    </xf>
    <xf numFmtId="42" fontId="6" fillId="2" borderId="4" xfId="1" applyFont="1" applyFill="1" applyBorder="1" applyAlignment="1">
      <alignment horizontal="center" vertical="center" wrapText="1"/>
    </xf>
    <xf numFmtId="42" fontId="8" fillId="2" borderId="2" xfId="1" applyFont="1" applyFill="1" applyBorder="1" applyAlignment="1">
      <alignment horizontal="center" vertical="center" wrapText="1"/>
    </xf>
    <xf numFmtId="42" fontId="4" fillId="2" borderId="6" xfId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left" vertical="top" wrapText="1"/>
    </xf>
    <xf numFmtId="42" fontId="4" fillId="2" borderId="0" xfId="1" applyFont="1" applyFill="1" applyBorder="1" applyAlignment="1">
      <alignment horizontal="center" vertical="center" wrapText="1"/>
    </xf>
    <xf numFmtId="42" fontId="4" fillId="2" borderId="8" xfId="1" applyFont="1" applyFill="1" applyBorder="1" applyAlignment="1">
      <alignment horizontal="center" vertical="center" wrapText="1"/>
    </xf>
    <xf numFmtId="42" fontId="4" fillId="2" borderId="9" xfId="1" applyFont="1" applyFill="1" applyBorder="1" applyAlignment="1">
      <alignment horizontal="center" vertical="center" wrapText="1"/>
    </xf>
    <xf numFmtId="42" fontId="9" fillId="2" borderId="2" xfId="1" applyFont="1" applyFill="1" applyBorder="1" applyAlignment="1">
      <alignment horizontal="center" vertical="center"/>
    </xf>
    <xf numFmtId="42" fontId="4" fillId="2" borderId="4" xfId="1" applyFont="1" applyFill="1" applyBorder="1" applyAlignment="1">
      <alignment horizontal="center" vertical="center" wrapText="1"/>
    </xf>
    <xf numFmtId="42" fontId="6" fillId="2" borderId="8" xfId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0" xfId="0" applyFont="1" applyFill="1"/>
    <xf numFmtId="42" fontId="6" fillId="2" borderId="0" xfId="1" applyFont="1" applyFill="1" applyAlignment="1">
      <alignment horizontal="center"/>
    </xf>
    <xf numFmtId="0" fontId="3" fillId="2" borderId="0" xfId="0" applyFont="1" applyFill="1"/>
    <xf numFmtId="42" fontId="3" fillId="2" borderId="0" xfId="1" applyFont="1" applyFill="1" applyAlignment="1">
      <alignment horizontal="center"/>
    </xf>
    <xf numFmtId="0" fontId="6" fillId="2" borderId="5" xfId="0" applyFont="1" applyFill="1" applyBorder="1"/>
    <xf numFmtId="0" fontId="6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/>
    <xf numFmtId="0" fontId="6" fillId="2" borderId="9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</cellXfs>
  <cellStyles count="2">
    <cellStyle name="Moneda [0]" xfId="1" builtinId="7"/>
    <cellStyle name="Normal" xfId="0" builtinId="0"/>
  </cellStyles>
  <dxfs count="934"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theme="0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center" readingOrder="0"/>
    </dxf>
    <dxf>
      <alignment horizontal="center" readingOrder="0"/>
    </dxf>
    <dxf>
      <alignment horizontal="left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32" formatCode="_ &quot;$&quot;* #,##0_ ;_ &quot;$&quot;* \-#,##0_ ;_ &quot;$&quot;* &quot;-&quot;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RAIHUEN TODOS PROYECTOS AL 03-2026.xlsx]KPIS!Tabla dinámica23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KPIS!$C$3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KPIS!$B$4:$B$6</c:f>
              <c:strCache>
                <c:ptCount val="2"/>
                <c:pt idx="0">
                  <c:v>21 - Raihuén/Cauquenes</c:v>
                </c:pt>
                <c:pt idx="1">
                  <c:v>23 - Raihuén/Raihuén</c:v>
                </c:pt>
              </c:strCache>
            </c:strRef>
          </c:cat>
          <c:val>
            <c:numRef>
              <c:f>KPIS!$C$4:$C$6</c:f>
              <c:numCache>
                <c:formatCode>General</c:formatCode>
                <c:ptCount val="2"/>
                <c:pt idx="0">
                  <c:v>28</c:v>
                </c:pt>
                <c:pt idx="1">
                  <c:v>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RAIHUEN TODOS PROYECTOS AL 03-2026.xlsx]KPIS!Tabla dinámica24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Proyectos por FF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5.9160286625071518E-3"/>
              <c:y val="4.069206499179198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KPIS!$C$11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6"/>
              <c:layout>
                <c:manualLayout>
                  <c:x val="5.9160286625071518E-3"/>
                  <c:y val="4.06920649917919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KPIS!$B$12:$B$29</c:f>
              <c:strCache>
                <c:ptCount val="17"/>
                <c:pt idx="0">
                  <c:v>Conicyt</c:v>
                </c:pt>
                <c:pt idx="1">
                  <c:v>Convenio Municipal</c:v>
                </c:pt>
                <c:pt idx="2">
                  <c:v>Convenio Privado</c:v>
                </c:pt>
                <c:pt idx="3">
                  <c:v>FIA</c:v>
                </c:pt>
                <c:pt idx="4">
                  <c:v>FNDR</c:v>
                </c:pt>
                <c:pt idx="5">
                  <c:v>Fondecyt</c:v>
                </c:pt>
                <c:pt idx="6">
                  <c:v>Gobierno Regional</c:v>
                </c:pt>
                <c:pt idx="7">
                  <c:v>Indap</c:v>
                </c:pt>
                <c:pt idx="8">
                  <c:v>Innova</c:v>
                </c:pt>
                <c:pt idx="9">
                  <c:v>MinCiencias</c:v>
                </c:pt>
                <c:pt idx="10">
                  <c:v>Prestación de Servicio con Públicos</c:v>
                </c:pt>
                <c:pt idx="11">
                  <c:v>Subsecretaria</c:v>
                </c:pt>
                <c:pt idx="12">
                  <c:v>(en blanco)</c:v>
                </c:pt>
                <c:pt idx="13">
                  <c:v>Otros Convenios</c:v>
                </c:pt>
                <c:pt idx="14">
                  <c:v>Conaf</c:v>
                </c:pt>
                <c:pt idx="15">
                  <c:v>Sin Información</c:v>
                </c:pt>
                <c:pt idx="16">
                  <c:v>Producción</c:v>
                </c:pt>
              </c:strCache>
            </c:strRef>
          </c:cat>
          <c:val>
            <c:numRef>
              <c:f>KPIS!$C$12:$C$29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  <c:pt idx="6">
                  <c:v>8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546664880"/>
        <c:axId val="-546660528"/>
        <c:axId val="0"/>
      </c:bar3DChart>
      <c:catAx>
        <c:axId val="-54666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60528"/>
        <c:crosses val="autoZero"/>
        <c:auto val="1"/>
        <c:lblAlgn val="ctr"/>
        <c:lblOffset val="100"/>
        <c:noMultiLvlLbl val="0"/>
      </c:catAx>
      <c:valAx>
        <c:axId val="-54666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RAIHUEN TODOS PROYECTOS AL 03-2026.xlsx]KPIS!Tabla dinámica25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L" sz="1400" b="1">
                <a:solidFill>
                  <a:sysClr val="windowText" lastClr="000000"/>
                </a:solidFill>
              </a:rPr>
              <a:t>Proyectos por IR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KPIS!$C$33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KPIS!$B$34:$B$54</c:f>
              <c:strCache>
                <c:ptCount val="20"/>
                <c:pt idx="0">
                  <c:v>BALBONTIN SEPULVEDA, CRISTIAN ALEJANDRO</c:v>
                </c:pt>
                <c:pt idx="1">
                  <c:v>BARAHONA LEIVA, VIVIANA LORENA</c:v>
                </c:pt>
                <c:pt idx="2">
                  <c:v>CHILIAN, RICARDO JAVIER</c:v>
                </c:pt>
                <c:pt idx="3">
                  <c:v>CORDERO LARA, KARLA IVONNE</c:v>
                </c:pt>
                <c:pt idx="4">
                  <c:v>DEVOTTO MORENO, LUIS D.</c:v>
                </c:pt>
                <c:pt idx="5">
                  <c:v>DIAZ GALVEZ, IRINA</c:v>
                </c:pt>
                <c:pt idx="6">
                  <c:v>DONOSO ÑANCULAO, GABRIEL HERNAN</c:v>
                </c:pt>
                <c:pt idx="7">
                  <c:v>ESPINOZA TRONCOSO, SOLEDAD</c:v>
                </c:pt>
                <c:pt idx="8">
                  <c:v>ESTRADA BRAVO, FELIX RODOLFO</c:v>
                </c:pt>
                <c:pt idx="9">
                  <c:v>GUTIERREZ GAMBOA, GASTON</c:v>
                </c:pt>
                <c:pt idx="10">
                  <c:v>LILLO VILCHI, GONZALO EDUARDO</c:v>
                </c:pt>
                <c:pt idx="11">
                  <c:v>LLADSER URZUA, JOSE PABLO</c:v>
                </c:pt>
                <c:pt idx="12">
                  <c:v>MILLAS ORTIZ, PAZ ANTONIA</c:v>
                </c:pt>
                <c:pt idx="13">
                  <c:v>MORALES ALCAYAGA, CARMEN GLORIA</c:v>
                </c:pt>
                <c:pt idx="14">
                  <c:v>PEÑA PEREZ, GONZALO JAVIER</c:v>
                </c:pt>
                <c:pt idx="15">
                  <c:v>REYES MUÑOZ, MARISOL</c:v>
                </c:pt>
                <c:pt idx="16">
                  <c:v>SAENZ MORENO, CAMILA VALENTINA</c:v>
                </c:pt>
                <c:pt idx="17">
                  <c:v>TAY NEVES, KIANYON SANLING</c:v>
                </c:pt>
                <c:pt idx="18">
                  <c:v>VERDUGO VASQUEZ, NICOLAS JVIER</c:v>
                </c:pt>
                <c:pt idx="19">
                  <c:v>PAÑITRUR DE LA FUENTE, CAROLINA PAZ</c:v>
                </c:pt>
              </c:strCache>
            </c:strRef>
          </c:cat>
          <c:val>
            <c:numRef>
              <c:f>KPIS!$C$34:$C$54</c:f>
              <c:numCache>
                <c:formatCode>General</c:formatCode>
                <c:ptCount val="20"/>
                <c:pt idx="0">
                  <c:v>1</c:v>
                </c:pt>
                <c:pt idx="1">
                  <c:v>11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6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13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-546659984"/>
        <c:axId val="-546669776"/>
        <c:axId val="0"/>
      </c:bar3DChart>
      <c:catAx>
        <c:axId val="-5466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69776"/>
        <c:crosses val="autoZero"/>
        <c:auto val="1"/>
        <c:lblAlgn val="ctr"/>
        <c:lblOffset val="100"/>
        <c:noMultiLvlLbl val="0"/>
      </c:catAx>
      <c:valAx>
        <c:axId val="-546669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54665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RAIHUEN TODOS PROYECTOS AL 03-2026.xlsx]KPIS!Tabla dinámica26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>
                <a:solidFill>
                  <a:sysClr val="windowText" lastClr="000000"/>
                </a:solidFill>
              </a:rPr>
              <a:t>$ Capturada por FF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rAngAx val="0"/>
    </c:view3D>
    <c:floor>
      <c:thickness val="0"/>
      <c:spPr>
        <a:noFill/>
        <a:ln w="25400"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KPIS!$C$55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KPIS!$B$56:$B$73</c:f>
              <c:strCache>
                <c:ptCount val="17"/>
                <c:pt idx="0">
                  <c:v>Conicyt</c:v>
                </c:pt>
                <c:pt idx="1">
                  <c:v>Convenio Municipal</c:v>
                </c:pt>
                <c:pt idx="2">
                  <c:v>Convenio Privado</c:v>
                </c:pt>
                <c:pt idx="3">
                  <c:v>FIA</c:v>
                </c:pt>
                <c:pt idx="4">
                  <c:v>FNDR</c:v>
                </c:pt>
                <c:pt idx="5">
                  <c:v>Fondecyt</c:v>
                </c:pt>
                <c:pt idx="6">
                  <c:v>Gobierno Regional</c:v>
                </c:pt>
                <c:pt idx="7">
                  <c:v>Indap</c:v>
                </c:pt>
                <c:pt idx="8">
                  <c:v>Innova</c:v>
                </c:pt>
                <c:pt idx="9">
                  <c:v>MinCiencias</c:v>
                </c:pt>
                <c:pt idx="10">
                  <c:v>Prestación de Servicio con Públicos</c:v>
                </c:pt>
                <c:pt idx="11">
                  <c:v>Subsecretaria</c:v>
                </c:pt>
                <c:pt idx="12">
                  <c:v>(en blanco)</c:v>
                </c:pt>
                <c:pt idx="13">
                  <c:v>Otros Convenios</c:v>
                </c:pt>
                <c:pt idx="14">
                  <c:v>Conaf</c:v>
                </c:pt>
                <c:pt idx="15">
                  <c:v>Sin Información</c:v>
                </c:pt>
                <c:pt idx="16">
                  <c:v>Producción</c:v>
                </c:pt>
              </c:strCache>
            </c:strRef>
          </c:cat>
          <c:val>
            <c:numRef>
              <c:f>KPIS!$C$56:$C$73</c:f>
              <c:numCache>
                <c:formatCode>_("$"* #,##0_);_("$"* \(#,##0\);_("$"* "-"_);_(@_)</c:formatCode>
                <c:ptCount val="17"/>
                <c:pt idx="0">
                  <c:v>1</c:v>
                </c:pt>
                <c:pt idx="1">
                  <c:v>6708168</c:v>
                </c:pt>
                <c:pt idx="2">
                  <c:v>34377398</c:v>
                </c:pt>
                <c:pt idx="3">
                  <c:v>139680034</c:v>
                </c:pt>
                <c:pt idx="4">
                  <c:v>2106729000</c:v>
                </c:pt>
                <c:pt idx="5">
                  <c:v>15652000</c:v>
                </c:pt>
                <c:pt idx="6">
                  <c:v>1141227546</c:v>
                </c:pt>
                <c:pt idx="7">
                  <c:v>226555407</c:v>
                </c:pt>
                <c:pt idx="8">
                  <c:v>418984631</c:v>
                </c:pt>
                <c:pt idx="9">
                  <c:v>80252005</c:v>
                </c:pt>
                <c:pt idx="10">
                  <c:v>2100840</c:v>
                </c:pt>
                <c:pt idx="11">
                  <c:v>63889644</c:v>
                </c:pt>
                <c:pt idx="12">
                  <c:v>59417781</c:v>
                </c:pt>
                <c:pt idx="13">
                  <c:v>24074063</c:v>
                </c:pt>
                <c:pt idx="14">
                  <c:v>66000000</c:v>
                </c:pt>
                <c:pt idx="15">
                  <c:v>0</c:v>
                </c:pt>
                <c:pt idx="16">
                  <c:v>14561435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7"/>
        <c:shape val="box"/>
        <c:axId val="-546673584"/>
        <c:axId val="-546656720"/>
        <c:axId val="0"/>
      </c:bar3DChart>
      <c:catAx>
        <c:axId val="-54667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56720"/>
        <c:crosses val="autoZero"/>
        <c:auto val="1"/>
        <c:lblAlgn val="ctr"/>
        <c:lblOffset val="100"/>
        <c:noMultiLvlLbl val="0"/>
      </c:catAx>
      <c:valAx>
        <c:axId val="-5466567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73584"/>
        <c:crosses val="autoZero"/>
        <c:crossBetween val="between"/>
      </c:valAx>
      <c:spPr>
        <a:solidFill>
          <a:schemeClr val="lt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RAIHUEN TODOS PROYECTOS AL 03-2026.xlsx]KPIS!Tabla dinámica27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600" b="1">
                <a:solidFill>
                  <a:sysClr val="windowText" lastClr="000000"/>
                </a:solidFill>
              </a:rPr>
              <a:t>$ FF Capturado por IR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1090019299746851"/>
          <c:y val="0.16707374506837935"/>
          <c:w val="0.76369774712640337"/>
          <c:h val="0.402374888592053"/>
        </c:manualLayout>
      </c:layout>
      <c:lineChart>
        <c:grouping val="standard"/>
        <c:varyColors val="0"/>
        <c:ser>
          <c:idx val="0"/>
          <c:order val="0"/>
          <c:tx>
            <c:strRef>
              <c:f>KPIS!$G$3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KPIS!$F$4:$F$24</c:f>
              <c:strCache>
                <c:ptCount val="20"/>
                <c:pt idx="0">
                  <c:v>BALBONTIN SEPULVEDA, CRISTIAN ALEJANDRO</c:v>
                </c:pt>
                <c:pt idx="1">
                  <c:v>BARAHONA LEIVA, VIVIANA LORENA</c:v>
                </c:pt>
                <c:pt idx="2">
                  <c:v>CHILIAN, RICARDO JAVIER</c:v>
                </c:pt>
                <c:pt idx="3">
                  <c:v>CORDERO LARA, KARLA IVONNE</c:v>
                </c:pt>
                <c:pt idx="4">
                  <c:v>DEVOTTO MORENO, LUIS D.</c:v>
                </c:pt>
                <c:pt idx="5">
                  <c:v>DIAZ GALVEZ, IRINA</c:v>
                </c:pt>
                <c:pt idx="6">
                  <c:v>DONOSO ÑANCULAO, GABRIEL HERNAN</c:v>
                </c:pt>
                <c:pt idx="7">
                  <c:v>ESPINOZA TRONCOSO, SOLEDAD</c:v>
                </c:pt>
                <c:pt idx="8">
                  <c:v>ESTRADA BRAVO, FELIX RODOLFO</c:v>
                </c:pt>
                <c:pt idx="9">
                  <c:v>GUTIERREZ GAMBOA, GASTON</c:v>
                </c:pt>
                <c:pt idx="10">
                  <c:v>LILLO VILCHI, GONZALO EDUARDO</c:v>
                </c:pt>
                <c:pt idx="11">
                  <c:v>LLADSER URZUA, JOSE PABLO</c:v>
                </c:pt>
                <c:pt idx="12">
                  <c:v>MILLAS ORTIZ, PAZ ANTONIA</c:v>
                </c:pt>
                <c:pt idx="13">
                  <c:v>MORALES ALCAYAGA, CARMEN GLORIA</c:v>
                </c:pt>
                <c:pt idx="14">
                  <c:v>PEÑA PEREZ, GONZALO JAVIER</c:v>
                </c:pt>
                <c:pt idx="15">
                  <c:v>REYES MUÑOZ, MARISOL</c:v>
                </c:pt>
                <c:pt idx="16">
                  <c:v>SAENZ MORENO, CAMILA VALENTINA</c:v>
                </c:pt>
                <c:pt idx="17">
                  <c:v>TAY NEVES, KIANYON SANLING</c:v>
                </c:pt>
                <c:pt idx="18">
                  <c:v>VERDUGO VASQUEZ, NICOLAS JVIER</c:v>
                </c:pt>
                <c:pt idx="19">
                  <c:v>PAÑITRUR DE LA FUENTE, CAROLINA PAZ</c:v>
                </c:pt>
              </c:strCache>
            </c:strRef>
          </c:cat>
          <c:val>
            <c:numRef>
              <c:f>KPIS!$G$4:$G$24</c:f>
              <c:numCache>
                <c:formatCode>_("$"* #,##0_);_("$"* \(#,##0\);_("$"* "-"_);_(@_)</c:formatCode>
                <c:ptCount val="20"/>
                <c:pt idx="0">
                  <c:v>39756046</c:v>
                </c:pt>
                <c:pt idx="1">
                  <c:v>193930877</c:v>
                </c:pt>
                <c:pt idx="2">
                  <c:v>723760000</c:v>
                </c:pt>
                <c:pt idx="3">
                  <c:v>453657143</c:v>
                </c:pt>
                <c:pt idx="4">
                  <c:v>200000000</c:v>
                </c:pt>
                <c:pt idx="5">
                  <c:v>89200000</c:v>
                </c:pt>
                <c:pt idx="6">
                  <c:v>80252005</c:v>
                </c:pt>
                <c:pt idx="7">
                  <c:v>19263634</c:v>
                </c:pt>
                <c:pt idx="8">
                  <c:v>165595000</c:v>
                </c:pt>
                <c:pt idx="9">
                  <c:v>24697407</c:v>
                </c:pt>
                <c:pt idx="10">
                  <c:v>364000</c:v>
                </c:pt>
                <c:pt idx="11">
                  <c:v>4908168</c:v>
                </c:pt>
                <c:pt idx="12">
                  <c:v>100533326</c:v>
                </c:pt>
                <c:pt idx="13">
                  <c:v>1016820568</c:v>
                </c:pt>
                <c:pt idx="14">
                  <c:v>38635498</c:v>
                </c:pt>
                <c:pt idx="15">
                  <c:v>486436500</c:v>
                </c:pt>
                <c:pt idx="16">
                  <c:v>4767000</c:v>
                </c:pt>
                <c:pt idx="17">
                  <c:v>698215000</c:v>
                </c:pt>
                <c:pt idx="18">
                  <c:v>0</c:v>
                </c:pt>
                <c:pt idx="19">
                  <c:v>59417781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46664336"/>
        <c:axId val="-546670320"/>
      </c:lineChart>
      <c:catAx>
        <c:axId val="-54666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70320"/>
        <c:crosses val="autoZero"/>
        <c:auto val="1"/>
        <c:lblAlgn val="ctr"/>
        <c:lblOffset val="100"/>
        <c:noMultiLvlLbl val="0"/>
      </c:catAx>
      <c:valAx>
        <c:axId val="-546670320"/>
        <c:scaling>
          <c:orientation val="minMax"/>
        </c:scaling>
        <c:delete val="0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6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RAIHUEN TODOS PROYECTOS AL 03-2026.xlsx]KPIS!Tabla dinámica28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600" b="1">
                <a:solidFill>
                  <a:sysClr val="windowText" lastClr="000000"/>
                </a:solidFill>
              </a:rPr>
              <a:t>$ Pecunio Capturado por IR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KPIS!$G$27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KPIS!$F$28:$F$48</c:f>
              <c:strCache>
                <c:ptCount val="20"/>
                <c:pt idx="0">
                  <c:v>BALBONTIN SEPULVEDA, CRISTIAN ALEJANDRO</c:v>
                </c:pt>
                <c:pt idx="1">
                  <c:v>BARAHONA LEIVA, VIVIANA LORENA</c:v>
                </c:pt>
                <c:pt idx="2">
                  <c:v>CHILIAN, RICARDO JAVIER</c:v>
                </c:pt>
                <c:pt idx="3">
                  <c:v>CORDERO LARA, KARLA IVONNE</c:v>
                </c:pt>
                <c:pt idx="4">
                  <c:v>DEVOTTO MORENO, LUIS D.</c:v>
                </c:pt>
                <c:pt idx="5">
                  <c:v>DIAZ GALVEZ, IRINA</c:v>
                </c:pt>
                <c:pt idx="6">
                  <c:v>DONOSO ÑANCULAO, GABRIEL HERNAN</c:v>
                </c:pt>
                <c:pt idx="7">
                  <c:v>ESPINOZA TRONCOSO, SOLEDAD</c:v>
                </c:pt>
                <c:pt idx="8">
                  <c:v>ESTRADA BRAVO, FELIX RODOLFO</c:v>
                </c:pt>
                <c:pt idx="9">
                  <c:v>GUTIERREZ GAMBOA, GASTON</c:v>
                </c:pt>
                <c:pt idx="10">
                  <c:v>LILLO VILCHI, GONZALO EDUARDO</c:v>
                </c:pt>
                <c:pt idx="11">
                  <c:v>LLADSER URZUA, JOSE PABLO</c:v>
                </c:pt>
                <c:pt idx="12">
                  <c:v>MILLAS ORTIZ, PAZ ANTONIA</c:v>
                </c:pt>
                <c:pt idx="13">
                  <c:v>MORALES ALCAYAGA, CARMEN GLORIA</c:v>
                </c:pt>
                <c:pt idx="14">
                  <c:v>PEÑA PEREZ, GONZALO JAVIER</c:v>
                </c:pt>
                <c:pt idx="15">
                  <c:v>REYES MUÑOZ, MARISOL</c:v>
                </c:pt>
                <c:pt idx="16">
                  <c:v>SAENZ MORENO, CAMILA VALENTINA</c:v>
                </c:pt>
                <c:pt idx="17">
                  <c:v>TAY NEVES, KIANYON SANLING</c:v>
                </c:pt>
                <c:pt idx="18">
                  <c:v>VERDUGO VASQUEZ, NICOLAS JVIER</c:v>
                </c:pt>
                <c:pt idx="19">
                  <c:v>PAÑITRUR DE LA FUENTE, CAROLINA PAZ</c:v>
                </c:pt>
              </c:strCache>
            </c:strRef>
          </c:cat>
          <c:val>
            <c:numRef>
              <c:f>KPIS!$G$28:$G$48</c:f>
              <c:numCache>
                <c:formatCode>_("$"* #,##0_);_("$"* \(#,##0\);_("$"* "-"_);_(@_)</c:formatCode>
                <c:ptCount val="20"/>
                <c:pt idx="0">
                  <c:v>4000000</c:v>
                </c:pt>
                <c:pt idx="1">
                  <c:v>0</c:v>
                </c:pt>
                <c:pt idx="2">
                  <c:v>0</c:v>
                </c:pt>
                <c:pt idx="3">
                  <c:v>23008309</c:v>
                </c:pt>
                <c:pt idx="4">
                  <c:v>15000000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8284750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9000000</c:v>
                </c:pt>
                <c:pt idx="13">
                  <c:v>850000</c:v>
                </c:pt>
                <c:pt idx="14">
                  <c:v>0</c:v>
                </c:pt>
                <c:pt idx="15">
                  <c:v>10500000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546679568"/>
        <c:axId val="-546679024"/>
        <c:axId val="0"/>
      </c:bar3DChart>
      <c:catAx>
        <c:axId val="-54667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79024"/>
        <c:crosses val="autoZero"/>
        <c:auto val="1"/>
        <c:lblAlgn val="ctr"/>
        <c:lblOffset val="100"/>
        <c:noMultiLvlLbl val="0"/>
      </c:catAx>
      <c:valAx>
        <c:axId val="-546679024"/>
        <c:scaling>
          <c:orientation val="minMax"/>
        </c:scaling>
        <c:delete val="0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7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RAIHUEN TODOS PROYECTOS AL 03-2026.xlsx]KPIS!Tabla dinámica29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L" sz="1600" b="1">
                <a:solidFill>
                  <a:sysClr val="windowText" lastClr="000000"/>
                </a:solidFill>
              </a:rPr>
              <a:t>Proyectos por Estado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3.8800697923735291E-3"/>
              <c:y val="0.211885199244711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7.760139584746987E-3"/>
              <c:y val="0.373915057490666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dLbl>
          <c:idx val="0"/>
          <c:layout>
            <c:manualLayout>
              <c:x val="-7.760139584746987E-3"/>
              <c:y val="4.36234233739111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KPIS!$G$50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3.8800697923735291E-3"/>
                  <c:y val="0.211885199244711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760139584746987E-3"/>
                  <c:y val="0.373915057490666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KPIS!$F$51:$F$54</c:f>
              <c:strCache>
                <c:ptCount val="3"/>
                <c:pt idx="0">
                  <c:v>En Ejecución</c:v>
                </c:pt>
                <c:pt idx="1">
                  <c:v>Terminado</c:v>
                </c:pt>
                <c:pt idx="2">
                  <c:v>Negociación</c:v>
                </c:pt>
              </c:strCache>
            </c:strRef>
          </c:cat>
          <c:val>
            <c:numRef>
              <c:f>KPIS!$G$51:$G$54</c:f>
              <c:numCache>
                <c:formatCode>General</c:formatCode>
                <c:ptCount val="3"/>
                <c:pt idx="0">
                  <c:v>28</c:v>
                </c:pt>
                <c:pt idx="1">
                  <c:v>31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546674672"/>
        <c:axId val="-546670864"/>
        <c:axId val="0"/>
      </c:bar3DChart>
      <c:catAx>
        <c:axId val="-54667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70864"/>
        <c:crosses val="autoZero"/>
        <c:auto val="1"/>
        <c:lblAlgn val="ctr"/>
        <c:lblOffset val="100"/>
        <c:noMultiLvlLbl val="0"/>
      </c:catAx>
      <c:valAx>
        <c:axId val="-54667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746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RAIHUEN TODOS PROYECTOS AL 03-2026.xlsx]KPIS!Tabla dinámica30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600" b="1">
                <a:solidFill>
                  <a:sysClr val="windowText" lastClr="000000"/>
                </a:solidFill>
              </a:rPr>
              <a:t>$ por Estado de Proyecto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53014384646398"/>
                  <c:h val="0.13434525149100818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985095386700932"/>
                  <c:h val="0.14632902724482319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KPIS!$G$57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/>
              <c:numFmt formatCode="&quot;$&quot;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53014384646398"/>
                      <c:h val="0.13434525149100818"/>
                    </c:manualLayout>
                  </c15:layout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985095386700932"/>
                      <c:h val="0.14632902724482319"/>
                    </c:manualLayout>
                  </c15:layout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KPIS!$F$58:$F$61</c:f>
              <c:strCache>
                <c:ptCount val="3"/>
                <c:pt idx="0">
                  <c:v>En Ejecución</c:v>
                </c:pt>
                <c:pt idx="1">
                  <c:v>Terminado</c:v>
                </c:pt>
                <c:pt idx="2">
                  <c:v>Negociación</c:v>
                </c:pt>
              </c:strCache>
            </c:strRef>
          </c:cat>
          <c:val>
            <c:numRef>
              <c:f>KPIS!$G$58:$G$61</c:f>
              <c:numCache>
                <c:formatCode>_("$"* #,##0_);_("$"* \(#,##0\);_("$"* "-"_);_(@_)</c:formatCode>
                <c:ptCount val="3"/>
                <c:pt idx="0">
                  <c:v>3455902118</c:v>
                </c:pt>
                <c:pt idx="1">
                  <c:v>944307835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546672496"/>
        <c:axId val="-546656176"/>
        <c:axId val="0"/>
      </c:bar3DChart>
      <c:catAx>
        <c:axId val="-54667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56176"/>
        <c:crosses val="autoZero"/>
        <c:auto val="1"/>
        <c:lblAlgn val="ctr"/>
        <c:lblOffset val="100"/>
        <c:noMultiLvlLbl val="0"/>
      </c:catAx>
      <c:valAx>
        <c:axId val="-546656176"/>
        <c:scaling>
          <c:orientation val="minMax"/>
        </c:scaling>
        <c:delete val="0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4667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0</xdr:row>
      <xdr:rowOff>95250</xdr:rowOff>
    </xdr:from>
    <xdr:to>
      <xdr:col>0</xdr:col>
      <xdr:colOff>1245677</xdr:colOff>
      <xdr:row>2</xdr:row>
      <xdr:rowOff>142875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" y="95250"/>
          <a:ext cx="1126615" cy="42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11906</xdr:rowOff>
    </xdr:from>
    <xdr:to>
      <xdr:col>0</xdr:col>
      <xdr:colOff>1221865</xdr:colOff>
      <xdr:row>3</xdr:row>
      <xdr:rowOff>83344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90500"/>
          <a:ext cx="1126615" cy="428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133350</xdr:rowOff>
    </xdr:from>
    <xdr:to>
      <xdr:col>0</xdr:col>
      <xdr:colOff>1478122</xdr:colOff>
      <xdr:row>3</xdr:row>
      <xdr:rowOff>69850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33350"/>
          <a:ext cx="1335247" cy="50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68036</xdr:rowOff>
    </xdr:from>
    <xdr:to>
      <xdr:col>3</xdr:col>
      <xdr:colOff>171450</xdr:colOff>
      <xdr:row>17</xdr:row>
      <xdr:rowOff>87085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372836</xdr:colOff>
      <xdr:row>4</xdr:row>
      <xdr:rowOff>92529</xdr:rowOff>
    </xdr:from>
    <xdr:to>
      <xdr:col>8</xdr:col>
      <xdr:colOff>753836</xdr:colOff>
      <xdr:row>19</xdr:row>
      <xdr:rowOff>174172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711200</xdr:colOff>
      <xdr:row>19</xdr:row>
      <xdr:rowOff>95704</xdr:rowOff>
    </xdr:from>
    <xdr:to>
      <xdr:col>19</xdr:col>
      <xdr:colOff>206375</xdr:colOff>
      <xdr:row>34</xdr:row>
      <xdr:rowOff>124279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5</xdr:col>
      <xdr:colOff>381000</xdr:colOff>
      <xdr:row>34</xdr:row>
      <xdr:rowOff>28575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802821</xdr:colOff>
      <xdr:row>19</xdr:row>
      <xdr:rowOff>149679</xdr:rowOff>
    </xdr:from>
    <xdr:to>
      <xdr:col>12</xdr:col>
      <xdr:colOff>412750</xdr:colOff>
      <xdr:row>35</xdr:row>
      <xdr:rowOff>1361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204106</xdr:colOff>
      <xdr:row>4</xdr:row>
      <xdr:rowOff>68035</xdr:rowOff>
    </xdr:from>
    <xdr:to>
      <xdr:col>16</xdr:col>
      <xdr:colOff>435428</xdr:colOff>
      <xdr:row>19</xdr:row>
      <xdr:rowOff>136071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72569</xdr:colOff>
      <xdr:row>19</xdr:row>
      <xdr:rowOff>170089</xdr:rowOff>
    </xdr:from>
    <xdr:to>
      <xdr:col>22</xdr:col>
      <xdr:colOff>834570</xdr:colOff>
      <xdr:row>30</xdr:row>
      <xdr:rowOff>144235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566965</xdr:colOff>
      <xdr:row>5</xdr:row>
      <xdr:rowOff>6802</xdr:rowOff>
    </xdr:from>
    <xdr:to>
      <xdr:col>22</xdr:col>
      <xdr:colOff>621848</xdr:colOff>
      <xdr:row>17</xdr:row>
      <xdr:rowOff>14966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21</xdr:col>
      <xdr:colOff>766535</xdr:colOff>
      <xdr:row>4</xdr:row>
      <xdr:rowOff>45358</xdr:rowOff>
    </xdr:to>
    <xdr:sp macro="" textlink="">
      <xdr:nvSpPr>
        <xdr:cNvPr id="10" name="Proceso alternativo 9"/>
        <xdr:cNvSpPr/>
      </xdr:nvSpPr>
      <xdr:spPr>
        <a:xfrm>
          <a:off x="0" y="0"/>
          <a:ext cx="18435410" cy="743858"/>
        </a:xfrm>
        <a:prstGeom prst="flowChartAlternateProcess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001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4000"/>
            <a:t>DASHBOARD INTERACTIVO DE PROYECTOS</a:t>
          </a:r>
        </a:p>
      </xdr:txBody>
    </xdr:sp>
    <xdr:clientData/>
  </xdr:twoCellAnchor>
  <xdr:twoCellAnchor editAs="oneCell">
    <xdr:from>
      <xdr:col>20</xdr:col>
      <xdr:colOff>79375</xdr:colOff>
      <xdr:row>0</xdr:row>
      <xdr:rowOff>158751</xdr:rowOff>
    </xdr:from>
    <xdr:to>
      <xdr:col>21</xdr:col>
      <xdr:colOff>573247</xdr:colOff>
      <xdr:row>3</xdr:row>
      <xdr:rowOff>142876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06875" y="158751"/>
          <a:ext cx="1335247" cy="508000"/>
        </a:xfrm>
        <a:prstGeom prst="rect">
          <a:avLst/>
        </a:prstGeom>
      </xdr:spPr>
    </xdr:pic>
    <xdr:clientData/>
  </xdr:twoCellAnchor>
  <xdr:twoCellAnchor editAs="oneCell">
    <xdr:from>
      <xdr:col>20</xdr:col>
      <xdr:colOff>69850</xdr:colOff>
      <xdr:row>34</xdr:row>
      <xdr:rowOff>152400</xdr:rowOff>
    </xdr:from>
    <xdr:to>
      <xdr:col>22</xdr:col>
      <xdr:colOff>215900</xdr:colOff>
      <xdr:row>40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ependenc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ende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97350" y="6089650"/>
              <a:ext cx="1828800" cy="1054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323849</xdr:colOff>
      <xdr:row>34</xdr:row>
      <xdr:rowOff>104775</xdr:rowOff>
    </xdr:from>
    <xdr:to>
      <xdr:col>8</xdr:col>
      <xdr:colOff>174624</xdr:colOff>
      <xdr:row>41</xdr:row>
      <xdr:rowOff>15875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Nombre FF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FF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49" y="6042025"/>
              <a:ext cx="6581775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546099</xdr:colOff>
      <xdr:row>34</xdr:row>
      <xdr:rowOff>120650</xdr:rowOff>
    </xdr:from>
    <xdr:to>
      <xdr:col>19</xdr:col>
      <xdr:colOff>809624</xdr:colOff>
      <xdr:row>41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Jefe Proye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efe Proye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1224" y="6057900"/>
              <a:ext cx="6994525" cy="1101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292100</xdr:colOff>
      <xdr:row>34</xdr:row>
      <xdr:rowOff>136525</xdr:rowOff>
    </xdr:from>
    <xdr:to>
      <xdr:col>11</xdr:col>
      <xdr:colOff>381000</xdr:colOff>
      <xdr:row>41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Estado Proye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Proye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3100" y="6073775"/>
              <a:ext cx="2613025" cy="108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ves_Rayentue" refreshedDate="46086.517350578702" createdVersion="5" refreshedVersion="5" minRefreshableVersion="3" recordCount="61">
  <cacheSource type="worksheet">
    <worksheetSource name="ALLPYCRI23Y21"/>
  </cacheSource>
  <cacheFields count="21">
    <cacheField name="Dependencia" numFmtId="0">
      <sharedItems containsBlank="1" count="3">
        <s v="21 - Raihuén/Cauquenes"/>
        <s v="23 - Raihuén/Raihuén"/>
        <m u="1"/>
      </sharedItems>
    </cacheField>
    <cacheField name="Código" numFmtId="0">
      <sharedItems containsMixedTypes="1" containsNumber="1" containsInteger="1" minValue="200313" maxValue="504036"/>
    </cacheField>
    <cacheField name="Nombre FF" numFmtId="0">
      <sharedItems containsBlank="1" count="18">
        <s v="Sin Información"/>
        <s v="Indap"/>
        <s v="FIA"/>
        <s v="Conaf"/>
        <s v="MinCiencias"/>
        <s v="Subsecretaria"/>
        <s v="Conicyt"/>
        <m/>
        <s v="Gobierno Regional"/>
        <s v="Innova"/>
        <s v="Fondecyt"/>
        <s v="Prestación de Servicio con Públicos"/>
        <s v="Convenio Privado"/>
        <s v="FNDR"/>
        <s v="Convenio Municipal"/>
        <s v="Producción"/>
        <s v="Otros Convenios"/>
        <s v="Otros Convenioa" u="1"/>
      </sharedItems>
    </cacheField>
    <cacheField name="FF" numFmtId="0">
      <sharedItems containsBlank="1" containsMixedTypes="1" containsNumber="1" containsInteger="1" minValue="10" maxValue="72"/>
    </cacheField>
    <cacheField name="Otras FF" numFmtId="0">
      <sharedItems containsBlank="1" containsMixedTypes="1" containsNumber="1" containsInteger="1" minValue="70" maxValue="70"/>
    </cacheField>
    <cacheField name="Estado Código" numFmtId="0">
      <sharedItems containsBlank="1"/>
    </cacheField>
    <cacheField name="Estado Formulario" numFmtId="0">
      <sharedItems containsBlank="1"/>
    </cacheField>
    <cacheField name="Estado Acta Inicio" numFmtId="0">
      <sharedItems containsBlank="1"/>
    </cacheField>
    <cacheField name="Estado Contrato" numFmtId="0">
      <sharedItems containsBlank="1"/>
    </cacheField>
    <cacheField name="Título Proyecto" numFmtId="0">
      <sharedItems/>
    </cacheField>
    <cacheField name="Jefe Proyecto" numFmtId="0">
      <sharedItems containsBlank="1" count="22">
        <s v="VERDUGO VASQUEZ, NICOLAS JVIER"/>
        <s v="GUTIERREZ GAMBOA, GASTON"/>
        <s v="BARAHONA LEIVA, VIVIANA LORENA"/>
        <s v="MORALES ALCAYAGA, CARMEN GLORIA"/>
        <s v="DONOSO ÑANCULAO, GABRIEL HERNAN"/>
        <s v="SAENZ MORENO, CAMILA VALENTINA"/>
        <s v="PAÑITRUR DE LA FUENTE, CAROLINA PAZ"/>
        <s v="CORDERO LARA, KARLA IVONNE"/>
        <s v="DIAZ GALVEZ, IRINA"/>
        <s v="ESTRADA BRAVO, FELIX RODOLFO"/>
        <s v="LILLO VILCHI, GONZALO EDUARDO"/>
        <s v="MILLAS ORTIZ, PAZ ANTONIA"/>
        <s v="REYES MUÑOZ, MARISOL"/>
        <s v="TAY NEVES, KIANYON SANLING"/>
        <s v="LLADSER URZUA, JOSE PABLO"/>
        <s v="CHILIAN, RICARDO JAVIER"/>
        <s v="ESPINOZA TRONCOSO, SOLEDAD"/>
        <s v="DEVOTTO MORENO, LUIS D."/>
        <s v="BALBONTIN SEPULVEDA, CRISTIAN ALEJANDRO"/>
        <s v="PEÑA PEREZ, GONZALO JAVIER"/>
        <m u="1"/>
        <s v="QUINTANA LOYOLA, RODRIGO" u="1"/>
      </sharedItems>
    </cacheField>
    <cacheField name="Estado Proyecto" numFmtId="0">
      <sharedItems containsBlank="1" count="12">
        <s v="Negociación"/>
        <s v="En Ejecución"/>
        <s v="Terminado"/>
        <m u="1"/>
        <s v="Ejecución" u="1"/>
        <s v="Creado" u="1"/>
        <s v="Descartado" u="1"/>
        <s v="Planificación" u="1"/>
        <s v="Sin Información" u="1"/>
        <s v="No Ejecutado" u="1"/>
        <s v="En Planificación" u="1"/>
        <s v="Provisorio" u="1"/>
      </sharedItems>
    </cacheField>
    <cacheField name="Desde" numFmtId="0">
      <sharedItems containsDate="1" containsMixedTypes="1" minDate="2019-07-01T00:00:00" maxDate="2026-03-02T00:00:00"/>
    </cacheField>
    <cacheField name="Hasta" numFmtId="0">
      <sharedItems containsDate="1" containsMixedTypes="1" minDate="2024-12-31T00:00:00" maxDate="2027-04-01T00:00:00"/>
    </cacheField>
    <cacheField name="MONTO FF" numFmtId="0">
      <sharedItems containsBlank="1" containsMixedTypes="1" containsNumber="1" containsInteger="1" minValue="1" maxValue="723760000"/>
    </cacheField>
    <cacheField name="PECUNIO ASOCIADO" numFmtId="0">
      <sharedItems containsBlank="1" containsMixedTypes="1" containsNumber="1" containsInteger="1" minValue="0" maxValue="15000000"/>
    </cacheField>
    <cacheField name="NO PECUNIO ASOCIADO" numFmtId="0">
      <sharedItems containsBlank="1" containsMixedTypes="1" containsNumber="1" containsInteger="1" minValue="0" maxValue="6616000"/>
    </cacheField>
    <cacheField name="PECUNIO INIA" numFmtId="0">
      <sharedItems containsBlank="1" containsMixedTypes="1" containsNumber="1" containsInteger="1" minValue="0" maxValue="11025000"/>
    </cacheField>
    <cacheField name="NO PECUNIO INIA" numFmtId="0">
      <sharedItems containsBlank="1" containsMixedTypes="1" containsNumber="1" containsInteger="1" minValue="0" maxValue="184375763"/>
    </cacheField>
    <cacheField name="TOTAL PROYECTO" numFmtId="0">
      <sharedItems containsMixedTypes="1" containsNumber="1" containsInteger="1" minValue="337500" maxValue="880645972"/>
    </cacheField>
    <cacheField name="Código Externo" numFmtId="0">
      <sharedItems containsBlank="1" containsMixedTypes="1" containsNumber="1" containsInteger="1" minValue="1201050" maxValue="1124015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x v="0"/>
    <s v="Sin Información"/>
    <x v="0"/>
    <s v="Sin Información"/>
    <s v="Sin Información"/>
    <s v="Sin Información"/>
    <s v="Sin Información"/>
    <s v="Sin Información"/>
    <s v="Negociación"/>
    <s v="Centro de Investigación e Innovación VitiScience"/>
    <x v="0"/>
    <x v="0"/>
    <s v="Sin Información"/>
    <s v="Sin Información"/>
    <s v="Sin Información"/>
    <s v="Sin Información"/>
    <s v="Sin Información"/>
    <s v="Sin Información"/>
    <s v="Sin Información"/>
    <s v="Sin Información"/>
    <s v="Sin Información"/>
  </r>
  <r>
    <x v="1"/>
    <s v="Sin Información"/>
    <x v="0"/>
    <s v="Sin Información"/>
    <s v="Sin Información"/>
    <s v="Sin Información"/>
    <s v="Sin Información"/>
    <s v="Sin Información"/>
    <s v="Negociación"/>
    <s v="Centro de Investigación e Innovación VitiScience"/>
    <x v="1"/>
    <x v="0"/>
    <s v="Sin Información"/>
    <s v="Sin Información"/>
    <s v="Sin Información"/>
    <s v="Sin Información"/>
    <s v="Sin Información"/>
    <s v="Sin Información"/>
    <s v="Sin Información"/>
    <s v="Sin Información"/>
    <s v="Sin Información"/>
  </r>
  <r>
    <x v="1"/>
    <n v="503979"/>
    <x v="1"/>
    <n v="19"/>
    <n v="70"/>
    <s v="Activado"/>
    <s v="Aprobado"/>
    <s v="Aprobada"/>
    <s v="Totalmente Tramitado"/>
    <s v="Programa de Transición a la Agricultura Sostenible - TAS año 3 - Maule"/>
    <x v="2"/>
    <x v="1"/>
    <s v="2025-10-08"/>
    <s v="2027-10-31"/>
    <n v="5860000"/>
    <n v="0"/>
    <n v="0"/>
    <n v="0"/>
    <m/>
    <n v="5860000"/>
    <s v=""/>
  </r>
  <r>
    <x v="1"/>
    <n v="503937"/>
    <x v="2"/>
    <n v="10"/>
    <n v="70"/>
    <s v="Activado"/>
    <m/>
    <s v="Aprobada"/>
    <s v="Totalmente Tramitado"/>
    <s v="Gira internacional a Francia para la innovación en tecnologías sostenibles en el sistema agroalimentario de los espárragos del Maule"/>
    <x v="3"/>
    <x v="2"/>
    <s v="2025-05-27"/>
    <s v="2025-11-13"/>
    <m/>
    <n v="0"/>
    <n v="0"/>
    <n v="0"/>
    <n v="1174574"/>
    <n v="1174574"/>
    <s v="GIT-2025-0334"/>
  </r>
  <r>
    <x v="0"/>
    <n v="504036"/>
    <x v="3"/>
    <n v="38"/>
    <n v="70"/>
    <s v="Provisorio"/>
    <s v="Aprobado"/>
    <s v="Revisión Finanzas"/>
    <s v="Aprobado"/>
    <s v="“Proyecto +Bosques, juntos contra el Cambio Climático&quot;"/>
    <x v="3"/>
    <x v="1"/>
    <d v="2026-01-01T00:00:00"/>
    <d v="2027-01-01T00:00:00"/>
    <n v="66000000"/>
    <n v="0"/>
    <n v="6000000"/>
    <n v="0"/>
    <n v="17500000"/>
    <n v="89500000"/>
    <m/>
  </r>
  <r>
    <x v="0"/>
    <n v="504010"/>
    <x v="2"/>
    <n v="10"/>
    <m/>
    <s v="Activado"/>
    <s v="Aprobado"/>
    <s v="Aprobada"/>
    <s v="Totalmente Tramitado"/>
    <s v="Vitivinicultura Sostenible y Liderazgo Femenino en el Secano Interior del Maule: Innovación, Transferencia y Empoderamiento Rural"/>
    <x v="1"/>
    <x v="1"/>
    <d v="2025-12-01T00:00:00"/>
    <d v="2026-05-29T00:00:00"/>
    <n v="10000000"/>
    <m/>
    <n v="1500000"/>
    <n v="150000"/>
    <n v="8080922"/>
    <n v="19730922"/>
    <s v="EVR-2025-0279"/>
  </r>
  <r>
    <x v="0"/>
    <n v="503860"/>
    <x v="4"/>
    <n v="71"/>
    <n v="70"/>
    <s v="Activado"/>
    <s v="Aprobado"/>
    <m/>
    <s v="Totalmente Tramitado"/>
    <s v="Implementación de una Colección de Recursos Genéticos  adaptados a condiciones ambientales extremas, utilizando energías renovables, en el secano Interior de la región del Maule."/>
    <x v="4"/>
    <x v="1"/>
    <s v="2025-03-03"/>
    <s v="2025-12-31"/>
    <n v="80252005"/>
    <n v="0"/>
    <n v="0"/>
    <n v="0"/>
    <n v="0"/>
    <n v="80252005"/>
    <s v=""/>
  </r>
  <r>
    <x v="0"/>
    <n v="503858"/>
    <x v="5"/>
    <n v="70"/>
    <s v=""/>
    <s v="Activado"/>
    <s v="Aprobado"/>
    <m/>
    <m/>
    <s v="GET Bovinos Longaví"/>
    <x v="5"/>
    <x v="1"/>
    <s v="2025-03-01"/>
    <s v="2025-12-31"/>
    <n v="1500000"/>
    <n v="0"/>
    <n v="0"/>
    <n v="0"/>
    <n v="0"/>
    <n v="1500000"/>
    <s v=""/>
  </r>
  <r>
    <x v="0"/>
    <n v="503845"/>
    <x v="5"/>
    <n v="70"/>
    <s v=""/>
    <s v="Activado"/>
    <s v="Aprobado"/>
    <m/>
    <m/>
    <s v="GET Red de Innovación y Transferencia Tecnológica para Productores de Manzanos Patrimoniales de la Región de La Araucanía"/>
    <x v="1"/>
    <x v="1"/>
    <s v="2025-03-01"/>
    <s v="2027-02-28"/>
    <n v="1017295"/>
    <n v="0"/>
    <n v="0"/>
    <n v="0"/>
    <n v="0"/>
    <n v="1017295"/>
    <s v=""/>
  </r>
  <r>
    <x v="0"/>
    <n v="503842"/>
    <x v="5"/>
    <n v="70"/>
    <s v=""/>
    <s v="Activado"/>
    <s v="Aprobado"/>
    <m/>
    <m/>
    <s v="GET OVINOS CAUQUENES 2"/>
    <x v="5"/>
    <x v="1"/>
    <s v="2025-03-03"/>
    <s v="2025-12-31"/>
    <n v="1500000"/>
    <n v="0"/>
    <n v="0"/>
    <n v="0"/>
    <n v="0"/>
    <n v="1500000"/>
    <s v=""/>
  </r>
  <r>
    <x v="0"/>
    <n v="503841"/>
    <x v="5"/>
    <n v="70"/>
    <s v=""/>
    <s v="Activado"/>
    <s v="Aprobado"/>
    <m/>
    <m/>
    <s v="Praderas Polifíticas: Una Alternativa para el Secano"/>
    <x v="5"/>
    <x v="1"/>
    <s v="2025-03-03"/>
    <s v="2025-12-31"/>
    <n v="1767000"/>
    <n v="0"/>
    <n v="0"/>
    <n v="0"/>
    <n v="0"/>
    <n v="1767000"/>
    <s v=""/>
  </r>
  <r>
    <x v="1"/>
    <n v="503908"/>
    <x v="5"/>
    <n v="70"/>
    <s v=""/>
    <s v="Activado"/>
    <s v="Aprobado"/>
    <m/>
    <m/>
    <s v="GET mujeres del Mataquito_x0009__x0009__x0009_"/>
    <x v="3"/>
    <x v="1"/>
    <s v="2025-07-01"/>
    <s v="2028-06-30"/>
    <n v="1000000"/>
    <n v="0"/>
    <n v="0"/>
    <n v="0"/>
    <m/>
    <n v="1000000"/>
    <s v=""/>
  </r>
  <r>
    <x v="0"/>
    <n v="503827"/>
    <x v="6"/>
    <n v="42"/>
    <n v="70"/>
    <s v="Activado"/>
    <s v="Aprobado"/>
    <s v="Aprobada"/>
    <s v="Totalmente Tramitado"/>
    <s v="RED INTERNACIONAL DE VITIVINICULTURA DE CLIMAS FRÍOS"/>
    <x v="1"/>
    <x v="1"/>
    <s v="2024-11-06"/>
    <s v="2025-11-06"/>
    <n v="1"/>
    <n v="0"/>
    <n v="0"/>
    <n v="0"/>
    <n v="1829756"/>
    <n v="1829757"/>
    <s v="FOVI240188"/>
  </r>
  <r>
    <x v="1"/>
    <n v="503756"/>
    <x v="7"/>
    <m/>
    <m/>
    <m/>
    <m/>
    <m/>
    <m/>
    <s v="Conservación ex-situ de germoplasma del APP Cerro Santa Inés de dicho proyecto Etapa 2"/>
    <x v="6"/>
    <x v="1"/>
    <d v="2026-03-01T00:00:00"/>
    <d v="2027-03-31T00:00:00"/>
    <n v="59417781"/>
    <m/>
    <m/>
    <m/>
    <m/>
    <n v="59417781"/>
    <m/>
  </r>
  <r>
    <x v="1"/>
    <n v="503767"/>
    <x v="8"/>
    <n v="44"/>
    <n v="70"/>
    <s v="Activado"/>
    <m/>
    <s v="Aprobada"/>
    <s v="Totalmente Tramitado"/>
    <s v="Arroz Climáticamente Inteligente 2.0: en transición a la descarbonización del sector arrocero de la Región del Maule"/>
    <x v="7"/>
    <x v="1"/>
    <s v="2024-09-01"/>
    <s v="2027-12-31"/>
    <n v="250000000"/>
    <n v="12500000"/>
    <m/>
    <m/>
    <n v="12500000"/>
    <n v="275000000"/>
    <s v="BIP 40.058.824-0"/>
  </r>
  <r>
    <x v="1"/>
    <n v="503765"/>
    <x v="2"/>
    <n v="10"/>
    <s v="68_x000a_70"/>
    <s v="Activado"/>
    <m/>
    <s v="Aprobada"/>
    <s v="Totalmente Tramitado"/>
    <s v="Vitivinicultura criolla y patrimonial del Maule "/>
    <x v="8"/>
    <x v="2"/>
    <s v="2024-08-01"/>
    <s v="2024-11-22"/>
    <n v="5500000"/>
    <n v="0"/>
    <n v="1300000"/>
    <n v="600000"/>
    <n v="2504613"/>
    <n v="9904613"/>
    <s v="EVR-2024-0366"/>
  </r>
  <r>
    <x v="1"/>
    <n v="503761"/>
    <x v="2"/>
    <n v="10"/>
    <s v="68_x000a_70"/>
    <s v="Activado"/>
    <m/>
    <s v="Aprobada"/>
    <s v="Totalmente Tramitado"/>
    <s v="Seminario &quot;Gestión del recurso agua: uso de herramientas tecnológicas y difusión de estrategias exitosas&quot;"/>
    <x v="3"/>
    <x v="2"/>
    <s v="2024-07-17"/>
    <s v="2024-08-27"/>
    <n v="5500000"/>
    <n v="0"/>
    <n v="0"/>
    <n v="470000"/>
    <n v="1904426"/>
    <n v="7874426"/>
    <s v="EVR-2024-0375"/>
  </r>
  <r>
    <x v="0"/>
    <n v="503812"/>
    <x v="9"/>
    <n v="15"/>
    <n v="70"/>
    <s v="Activado"/>
    <m/>
    <s v="Aprobada"/>
    <s v="Totalmente Tramitado"/>
    <s v="Uso eficiente del agua mediante riego inteligente y biofiltros en sistemas agroforestales, utilizando especies tolerantes a la sequía en el secano interior de la región del Maule"/>
    <x v="2"/>
    <x v="1"/>
    <s v="2025-01-01"/>
    <s v="2028-01-01"/>
    <n v="25350960"/>
    <n v="0"/>
    <n v="0"/>
    <n v="0"/>
    <n v="15587184"/>
    <n v="40938144"/>
    <s v=""/>
  </r>
  <r>
    <x v="0"/>
    <n v="503766"/>
    <x v="8"/>
    <n v="44"/>
    <n v="70"/>
    <s v="Activado"/>
    <m/>
    <s v="Aprobada"/>
    <s v="Totalmente Tramitado"/>
    <s v="Revalorización del cultivo de la quínoa, a través de la caracterización de las saponinas presentes en la planta"/>
    <x v="9"/>
    <x v="1"/>
    <s v="2024-11-07"/>
    <s v="2027-12-31"/>
    <n v="165595000"/>
    <n v="8284750"/>
    <n v="0"/>
    <n v="0"/>
    <n v="8284750"/>
    <n v="182164500"/>
    <s v=""/>
  </r>
  <r>
    <x v="0"/>
    <n v="503743"/>
    <x v="10"/>
    <n v="22"/>
    <n v="70"/>
    <s v="Activado"/>
    <s v="Aprobado"/>
    <s v="Aprobada"/>
    <s v="Totalmente Tramitado"/>
    <s v="MODIFICATIONS ON BUNCH MICROCLIMATE BY SUSTAINABLEVITICULTURAL PRACTICES TO OPTIMIXE GRAPE ANDA WINE PRODUCTION AS ADAPTING STRATEGY TO HIGH TEMPERATURES"/>
    <x v="1"/>
    <x v="1"/>
    <s v="2024-03-15"/>
    <s v="2027-03-14"/>
    <n v="12424000"/>
    <n v="0"/>
    <n v="0"/>
    <n v="0"/>
    <n v="27446337"/>
    <n v="39870337"/>
    <n v="11240152"/>
  </r>
  <r>
    <x v="1"/>
    <n v="503758"/>
    <x v="11"/>
    <n v="32"/>
    <n v="70"/>
    <s v="Activado"/>
    <s v="Aprobado"/>
    <s v="Aprobada"/>
    <s v="Totalmente Tramitado"/>
    <s v="Contrato de Prestación de Servicios entre el Comité Agroseguros e INIA"/>
    <x v="3"/>
    <x v="2"/>
    <s v="2024-07-23"/>
    <s v="2025-06-30"/>
    <n v="2100840"/>
    <n v="0"/>
    <n v="0"/>
    <n v="0"/>
    <n v="321354"/>
    <n v="2422194"/>
    <s v=""/>
  </r>
  <r>
    <x v="1"/>
    <n v="503654"/>
    <x v="12"/>
    <n v="12"/>
    <s v=""/>
    <s v="Activado"/>
    <s v="Aprobado"/>
    <s v="Aprobada"/>
    <s v="Totalmente Tramitado"/>
    <s v="Prestación de servicio de INIA al Servicio Agrícola y Ganadero SAG Evaluación variedades de Arroz"/>
    <x v="7"/>
    <x v="1"/>
    <s v="2023-11-01"/>
    <s v="2025-10-31"/>
    <n v="3657143"/>
    <n v="0"/>
    <n v="0"/>
    <n v="0"/>
    <n v="5342880"/>
    <n v="9000023"/>
    <s v=""/>
  </r>
  <r>
    <x v="0"/>
    <n v="503710"/>
    <x v="5"/>
    <n v="70"/>
    <s v=""/>
    <s v="Activado"/>
    <s v="Aprobado"/>
    <m/>
    <m/>
    <s v="Praderas de Secano"/>
    <x v="2"/>
    <x v="1"/>
    <s v="2024-04-01"/>
    <s v="2025-12-31"/>
    <n v="2800000"/>
    <n v="0"/>
    <n v="0"/>
    <n v="0"/>
    <n v="0"/>
    <n v="2800000"/>
    <s v=""/>
  </r>
  <r>
    <x v="1"/>
    <n v="503648"/>
    <x v="9"/>
    <n v="15"/>
    <n v="70"/>
    <s v="Activado"/>
    <m/>
    <m/>
    <m/>
    <s v="Modernización para acelerar la adopción de tecnologías generadas por el INIA dirigidas a la diversificación productiva y sustentable de la Agricultura Chilena"/>
    <x v="10"/>
    <x v="2"/>
    <s v="2023-12-15"/>
    <s v="2024-07-19"/>
    <n v="364000"/>
    <n v="0"/>
    <n v="0"/>
    <n v="0"/>
    <n v="0"/>
    <n v="364000"/>
    <s v=" 23ITP-P-245559"/>
  </r>
  <r>
    <x v="0"/>
    <n v="503579"/>
    <x v="5"/>
    <n v="70"/>
    <s v=""/>
    <s v="Activado"/>
    <s v="Aprobado"/>
    <m/>
    <m/>
    <s v="GET Ovinos Hualañé"/>
    <x v="2"/>
    <x v="1"/>
    <s v="2023-07-01"/>
    <d v="2026-12-31T00:00:00"/>
    <n v="3816400"/>
    <n v="0"/>
    <n v="0"/>
    <n v="0"/>
    <n v="0"/>
    <n v="3816400"/>
    <s v=""/>
  </r>
  <r>
    <x v="1"/>
    <n v="503551"/>
    <x v="1"/>
    <n v="19"/>
    <n v="70"/>
    <s v="Activado"/>
    <s v="Aprobado"/>
    <s v="Aprobada"/>
    <s v="Totalmente Tramitado"/>
    <s v="Programa de Transición a la Agricultura Sostenible - TAS"/>
    <x v="2"/>
    <x v="2"/>
    <s v="2023-07-01"/>
    <s v="2025-07-31"/>
    <n v="138995407"/>
    <n v="0"/>
    <n v="0"/>
    <n v="0"/>
    <m/>
    <n v="138995407"/>
    <s v=""/>
  </r>
  <r>
    <x v="1"/>
    <n v="503427"/>
    <x v="1"/>
    <n v="19"/>
    <n v="70"/>
    <s v="Activado"/>
    <s v="Aprobado"/>
    <s v="Aprobada"/>
    <s v="Totalmente Tramitado"/>
    <s v="Implementación del Piloto del Programa de Promoción y Fortalecimiento de la producción sustentable de cultivos tradicionales "/>
    <x v="8"/>
    <x v="2"/>
    <s v="2022-10-05"/>
    <s v="2023-04-30"/>
    <n v="81700000"/>
    <n v="0"/>
    <n v="0"/>
    <n v="0"/>
    <n v="0"/>
    <n v="81700000"/>
    <s v=""/>
  </r>
  <r>
    <x v="0"/>
    <n v="503686"/>
    <x v="5"/>
    <n v="70"/>
    <s v=""/>
    <s v="Activado"/>
    <s v="Aprobado"/>
    <m/>
    <m/>
    <s v="Vitivinicultura para la zona sur"/>
    <x v="1"/>
    <x v="1"/>
    <s v="2024-01-03"/>
    <s v="2025-12-31"/>
    <n v="1256111"/>
    <n v="0"/>
    <n v="0"/>
    <n v="0"/>
    <n v="0"/>
    <n v="1256111"/>
    <s v=""/>
  </r>
  <r>
    <x v="1"/>
    <n v="503420"/>
    <x v="8"/>
    <n v="44"/>
    <s v="68_x000a_70"/>
    <s v="Activado"/>
    <m/>
    <s v="Aprobada"/>
    <s v="Totalmente Tramitado"/>
    <s v="&quot;Alternativas eco-amigables para el manejo de nemátodos fitoparásitos en tomates y vides&quot;"/>
    <x v="3"/>
    <x v="1"/>
    <s v="2022-12-23"/>
    <s v="2026-06-30"/>
    <n v="126039000"/>
    <n v="0"/>
    <n v="0"/>
    <n v="11025000"/>
    <n v="11004825"/>
    <n v="148068825"/>
    <s v="BIP 40047049-0"/>
  </r>
  <r>
    <x v="1"/>
    <n v="503514"/>
    <x v="5"/>
    <n v="70"/>
    <s v=""/>
    <s v="Activado"/>
    <s v="Aprobado"/>
    <m/>
    <m/>
    <s v="Programa de Encuentros Tecnológicos (PET) Maule"/>
    <x v="2"/>
    <x v="1"/>
    <s v="2023-05-01"/>
    <s v="2025-12-31"/>
    <n v="5950000"/>
    <n v="0"/>
    <n v="0"/>
    <n v="0"/>
    <n v="0"/>
    <n v="5950000"/>
    <s v=""/>
  </r>
  <r>
    <x v="0"/>
    <n v="503419"/>
    <x v="8"/>
    <n v="44"/>
    <s v="68_x000a_70"/>
    <s v="Activado"/>
    <m/>
    <s v="Aprobada"/>
    <s v="Totalmente Tramitado"/>
    <s v="Cultivo de frutillas más rentables y sin residuos para la agroindustria, usando microorganismos benéficos para controlar enfermedades de suelo"/>
    <x v="11"/>
    <x v="1"/>
    <s v="2022-12-23"/>
    <s v="2026-01-02"/>
    <n v="100533326"/>
    <n v="9000000"/>
    <n v="0"/>
    <n v="4920000"/>
    <n v="13240634"/>
    <n v="127693960"/>
    <s v="BIP 40047282-0"/>
  </r>
  <r>
    <x v="1"/>
    <n v="503418"/>
    <x v="13"/>
    <n v="20"/>
    <n v="70"/>
    <s v="Activado"/>
    <s v="Aprobado"/>
    <s v="Aprobada"/>
    <s v="Modificado"/>
    <s v="Transferencia adaptación de innovaciones tecnológicas para fortalecer capacidades en berries"/>
    <x v="3"/>
    <x v="1"/>
    <s v="2023-01-01"/>
    <s v="2027-06-30"/>
    <n v="684754000"/>
    <n v="0"/>
    <n v="0"/>
    <n v="0"/>
    <n v="167536094"/>
    <n v="852290094"/>
    <s v="BIP 40034272-0"/>
  </r>
  <r>
    <x v="1"/>
    <n v="503410"/>
    <x v="9"/>
    <n v="15"/>
    <s v="68_x000a_70"/>
    <s v="Activado"/>
    <m/>
    <s v="Aprobada"/>
    <s v="Modificado"/>
    <s v="Agricultura regenerativa y prácticas sustentables en viñedos para enfrentar el Cambio Climático"/>
    <x v="12"/>
    <x v="1"/>
    <s v="2022-11-01"/>
    <s v="2027-12-31"/>
    <n v="393269671"/>
    <n v="0"/>
    <n v="0"/>
    <n v="0"/>
    <n v="184375763"/>
    <n v="577645434"/>
    <s v="22PTECCC-219368"/>
  </r>
  <r>
    <x v="0"/>
    <n v="503417"/>
    <x v="13"/>
    <n v="20"/>
    <n v="70"/>
    <s v="Activado"/>
    <s v="Aprobado"/>
    <s v="Aprobada"/>
    <s v="Totalmente Tramitado"/>
    <s v="Transferencia programa desarrollo en la cadena de valor de leguminosas, del Maule a Chile"/>
    <x v="13"/>
    <x v="1"/>
    <s v="2022-12-13"/>
    <s v="2027-06-30"/>
    <n v="698215000"/>
    <n v="0"/>
    <n v="0"/>
    <n v="0"/>
    <n v="182430972"/>
    <n v="880645972"/>
    <s v="BIP 40041425-0"/>
  </r>
  <r>
    <x v="1"/>
    <n v="503379"/>
    <x v="14"/>
    <n v="25"/>
    <n v="70"/>
    <s v="Activado"/>
    <s v="Aprobado"/>
    <s v="Aprobada"/>
    <s v="Modificado"/>
    <s v="Fortalecer las capacidades técnicas en el manejo hortícola sostenible, la gestión hídrica y la asociatividad de los usuarios del PRODESAL de Lampa"/>
    <x v="14"/>
    <x v="2"/>
    <s v="2022-09-05"/>
    <s v="2022-12-31"/>
    <n v="4908168"/>
    <n v="0"/>
    <n v="0"/>
    <n v="0"/>
    <n v="0"/>
    <n v="4908168"/>
    <s v=""/>
  </r>
  <r>
    <x v="1"/>
    <n v="503375"/>
    <x v="5"/>
    <n v="70"/>
    <s v=""/>
    <s v="Activado"/>
    <s v="Aprobado"/>
    <m/>
    <m/>
    <s v="GET Sistemas Agroecológicos Maule"/>
    <x v="3"/>
    <x v="2"/>
    <s v="2022-09-01"/>
    <s v="2025-08-31"/>
    <n v="4338204"/>
    <n v="0"/>
    <n v="0"/>
    <n v="0"/>
    <n v="0"/>
    <n v="4338204"/>
    <s v=""/>
  </r>
  <r>
    <x v="0"/>
    <n v="503416"/>
    <x v="13"/>
    <n v="20"/>
    <n v="70"/>
    <s v="Activado"/>
    <s v="Aprobado"/>
    <s v="Aprobada"/>
    <s v="Totalmente Tramitado"/>
    <s v="Transferencia generación de banco de germoplasma para la obtención de plantas de calidad"/>
    <x v="15"/>
    <x v="1"/>
    <s v="2023-01-01"/>
    <s v="2027-06-30"/>
    <n v="723760000"/>
    <n v="0"/>
    <n v="0"/>
    <n v="0"/>
    <n v="45428668"/>
    <n v="769188668"/>
    <s v="BIP 40042526-0"/>
  </r>
  <r>
    <x v="0"/>
    <n v="503376"/>
    <x v="5"/>
    <n v="70"/>
    <s v=""/>
    <s v="Activado"/>
    <s v="Aprobado"/>
    <m/>
    <m/>
    <s v="GET Ovinos Cauquenes"/>
    <x v="2"/>
    <x v="2"/>
    <s v="2022-08-29"/>
    <s v="2024-01-03"/>
    <n v="1804045"/>
    <n v="0"/>
    <n v="0"/>
    <n v="0"/>
    <n v="0"/>
    <n v="1804045"/>
    <s v=""/>
  </r>
  <r>
    <x v="0"/>
    <n v="503360"/>
    <x v="12"/>
    <n v="12"/>
    <s v=""/>
    <s v="Activado"/>
    <s v="Aprobado"/>
    <s v="Aprobada"/>
    <s v="Totalmente Tramitado"/>
    <s v="Evaluación de polímero Rescaype en productividad de cultivos"/>
    <x v="16"/>
    <x v="2"/>
    <s v="2022-05-23"/>
    <s v="2023-08-31"/>
    <n v="6433830"/>
    <n v="0"/>
    <n v="0"/>
    <n v="0"/>
    <n v="1158807"/>
    <n v="7592637"/>
    <s v=""/>
  </r>
  <r>
    <x v="1"/>
    <n v="503374"/>
    <x v="5"/>
    <n v="70"/>
    <s v=""/>
    <s v="Activado"/>
    <s v="Aprobado"/>
    <m/>
    <m/>
    <s v="GET Jóvenes Rurales Agroecológicos"/>
    <x v="2"/>
    <x v="2"/>
    <s v="2022-09-01"/>
    <s v="2025-08-31"/>
    <n v="4338104"/>
    <n v="0"/>
    <n v="0"/>
    <n v="0"/>
    <n v="0"/>
    <n v="4338104"/>
    <s v=""/>
  </r>
  <r>
    <x v="1"/>
    <n v="503345"/>
    <x v="5"/>
    <n v="70"/>
    <s v=""/>
    <s v="Activado"/>
    <s v="Aprobado"/>
    <m/>
    <m/>
    <s v="GET Vides Cauquenes"/>
    <x v="12"/>
    <x v="2"/>
    <s v="2022-06-01"/>
    <s v="2024-12-31"/>
    <n v="3695230"/>
    <n v="0"/>
    <n v="0"/>
    <n v="0"/>
    <n v="0"/>
    <n v="3695230"/>
    <s v=""/>
  </r>
  <r>
    <x v="1"/>
    <n v="503327"/>
    <x v="5"/>
    <n v="70"/>
    <s v=""/>
    <s v="Activado"/>
    <s v="Aprobado"/>
    <m/>
    <m/>
    <s v="GET Berries Colbún"/>
    <x v="3"/>
    <x v="2"/>
    <s v="2022-04-01"/>
    <s v="2025-03-31"/>
    <n v="4674133"/>
    <n v="0"/>
    <n v="0"/>
    <n v="0"/>
    <n v="0"/>
    <n v="4674133"/>
    <s v=""/>
  </r>
  <r>
    <x v="1"/>
    <n v="503326"/>
    <x v="5"/>
    <n v="70"/>
    <s v=""/>
    <s v="Activado"/>
    <s v="Aprobado"/>
    <m/>
    <m/>
    <s v="GET Frambuesas Linares"/>
    <x v="3"/>
    <x v="2"/>
    <s v="2022-03-01"/>
    <s v="2025-02-28"/>
    <n v="4384357"/>
    <n v="0"/>
    <n v="0"/>
    <n v="0"/>
    <n v="0"/>
    <n v="4384357"/>
    <s v=""/>
  </r>
  <r>
    <x v="1"/>
    <n v="503260"/>
    <x v="2"/>
    <n v="10"/>
    <n v="70"/>
    <s v="Activado"/>
    <m/>
    <s v="Aprobada"/>
    <s v="Totalmente Tramitado"/>
    <s v="Programa de innovación en el uso eficiente del recurso hídrico para la pequeña agricultura de la región de Maule"/>
    <x v="3"/>
    <x v="2"/>
    <s v="2021-12-15"/>
    <s v="2023-09-29"/>
    <n v="85000000"/>
    <n v="850000"/>
    <n v="0"/>
    <n v="0"/>
    <n v="67237439"/>
    <n v="153087439"/>
    <s v="PYT-2021-0662"/>
  </r>
  <r>
    <x v="1"/>
    <n v="503122"/>
    <x v="2"/>
    <n v="10"/>
    <n v="70"/>
    <s v="Activado"/>
    <m/>
    <m/>
    <m/>
    <s v="Valorización de vinos chilenos mediante la determinación de su huella genética"/>
    <x v="8"/>
    <x v="2"/>
    <s v="2020-12-01"/>
    <s v="2023-11-30"/>
    <n v="2000000"/>
    <n v="0"/>
    <n v="0"/>
    <n v="0"/>
    <n v="0"/>
    <n v="2000000"/>
    <s v="PYT-2020-0036"/>
  </r>
  <r>
    <x v="1"/>
    <n v="503120"/>
    <x v="8"/>
    <n v="44"/>
    <s v="12_x000a_70"/>
    <s v="Activado"/>
    <m/>
    <m/>
    <s v="Totalmente Tramitado"/>
    <s v="Transferencia producción de arroz climáticamente inteligente"/>
    <x v="7"/>
    <x v="2"/>
    <s v="2020-12-28"/>
    <s v="2024-12-31"/>
    <n v="200000000"/>
    <n v="10508309"/>
    <n v="0"/>
    <n v="0"/>
    <n v="0"/>
    <n v="210508309"/>
    <s v="BIP 40027609-0"/>
  </r>
  <r>
    <x v="0"/>
    <n v="503359"/>
    <x v="14"/>
    <n v="25"/>
    <n v="70"/>
    <s v="Activado"/>
    <s v="Aprobado"/>
    <s v="Aprobada"/>
    <s v="Totalmente Tramitado"/>
    <s v="Contribuir a mejorar la disponibilidad de forraje del sistema ganado - pradera de los pequeños y medianos productores de la Comuna de El Carmen"/>
    <x v="16"/>
    <x v="2"/>
    <s v="2022-07-11"/>
    <s v="2024-10-31"/>
    <n v="1800000"/>
    <n v="0"/>
    <n v="0"/>
    <n v="0"/>
    <n v="2502869"/>
    <n v="4302869"/>
    <s v=""/>
  </r>
  <r>
    <x v="0"/>
    <n v="503356"/>
    <x v="5"/>
    <n v="70"/>
    <s v=""/>
    <s v="Activado"/>
    <s v="Aprobado"/>
    <m/>
    <m/>
    <s v="GET Profesionales Maule Sur"/>
    <x v="2"/>
    <x v="2"/>
    <s v="2022-07-01"/>
    <s v="2025-03-31"/>
    <n v="4023461"/>
    <n v="0"/>
    <n v="0"/>
    <n v="0"/>
    <n v="0"/>
    <n v="4023461"/>
    <s v=""/>
  </r>
  <r>
    <x v="1"/>
    <n v="503119"/>
    <x v="8"/>
    <n v="44"/>
    <s v="68_x000a_70_x000a_13"/>
    <s v="Activado"/>
    <m/>
    <s v="Aprobada"/>
    <s v="Totalmente Tramitado"/>
    <s v="Transferencia Mosca suzukii protección fruticultura y empleo"/>
    <x v="17"/>
    <x v="2"/>
    <s v="2020-12-28"/>
    <s v="2024-12-31"/>
    <n v="200000000"/>
    <n v="15000000"/>
    <n v="6616000"/>
    <m/>
    <n v="66383000"/>
    <n v="287999000"/>
    <s v="BIP 40.027.596-0"/>
  </r>
  <r>
    <x v="1"/>
    <n v="503047"/>
    <x v="12"/>
    <n v="12"/>
    <s v=""/>
    <s v="Activado"/>
    <s v="Aprobado"/>
    <s v="Aprobada"/>
    <s v="Modificado"/>
    <s v="Estudios y evaluaciones vitivinícolas y enológicas"/>
    <x v="12"/>
    <x v="1"/>
    <s v="2020-09-01"/>
    <s v="2025-11-30"/>
    <n v="24286425"/>
    <n v="0"/>
    <n v="0"/>
    <n v="0"/>
    <n v="0"/>
    <n v="24286425"/>
    <s v="N/A"/>
  </r>
  <r>
    <x v="0"/>
    <n v="503084"/>
    <x v="5"/>
    <n v="70"/>
    <s v=""/>
    <s v="Activado"/>
    <s v="Aprobado"/>
    <m/>
    <m/>
    <s v="Manejo del pastoreo en praderas naturales y sembradas de zonas con climas mediterráneos"/>
    <x v="16"/>
    <x v="2"/>
    <s v="2021-01-01"/>
    <s v="2023-12-31"/>
    <n v="7801804"/>
    <n v="0"/>
    <n v="0"/>
    <n v="0"/>
    <n v="0"/>
    <n v="7801804"/>
    <s v=""/>
  </r>
  <r>
    <x v="1"/>
    <n v="503010"/>
    <x v="8"/>
    <n v="44"/>
    <s v="68_x000a_70"/>
    <s v="Activado"/>
    <m/>
    <s v="Aprobada"/>
    <s v="Modificado"/>
    <s v="Transferencia caracterización y valoración de vides y vinos del Maule"/>
    <x v="12"/>
    <x v="2"/>
    <s v="2020-04-16"/>
    <s v="2025-10-31"/>
    <n v="59304174"/>
    <n v="10500000"/>
    <m/>
    <m/>
    <m/>
    <n v="69804174"/>
    <s v="BIP 40.018.935-0"/>
  </r>
  <r>
    <x v="0"/>
    <n v="503060"/>
    <x v="10"/>
    <n v="22"/>
    <n v="70"/>
    <s v="Activado"/>
    <m/>
    <s v="Aprobada"/>
    <s v="Totalmente Tramitado"/>
    <s v="Exploring the physiological and agronomic implications of legume species with contrasting nitrogen fixation responses to soil inorganic N."/>
    <x v="16"/>
    <x v="2"/>
    <s v="2020-04-01"/>
    <s v="2024-03-30"/>
    <n v="3228000"/>
    <n v="0"/>
    <n v="0"/>
    <n v="0"/>
    <n v="0"/>
    <n v="3228000"/>
    <n v="1201050"/>
  </r>
  <r>
    <x v="1"/>
    <n v="502987"/>
    <x v="5"/>
    <n v="70"/>
    <s v=""/>
    <s v="Activado"/>
    <s v="Aprobado"/>
    <m/>
    <m/>
    <s v="GTT Berries LONGAVI"/>
    <x v="3"/>
    <x v="2"/>
    <s v="2020-03-01"/>
    <s v="2023-12-31"/>
    <n v="1350000"/>
    <n v="0"/>
    <n v="0"/>
    <n v="0"/>
    <n v="0"/>
    <n v="1350000"/>
    <s v=""/>
  </r>
  <r>
    <x v="1"/>
    <n v="502789"/>
    <x v="2"/>
    <n v="10"/>
    <n v="70"/>
    <s v="Activado"/>
    <s v="Aprobado"/>
    <s v="Aprobada"/>
    <s v="Modificado"/>
    <s v="Prospección y validación de nuevas alternativas de berries de alto valor alimenticio para potenciar la industria de la región del Maule."/>
    <x v="3"/>
    <x v="2"/>
    <s v="2018-12-28"/>
    <s v="2022-09-16"/>
    <n v="31680034"/>
    <n v="0"/>
    <n v="0"/>
    <n v="0"/>
    <n v="0"/>
    <n v="31680034"/>
    <s v="PYT-2018-0713"/>
  </r>
  <r>
    <x v="1"/>
    <n v="502702"/>
    <x v="8"/>
    <n v="44"/>
    <s v="12_x000a_70"/>
    <s v="Activado"/>
    <m/>
    <s v="Aprobada"/>
    <s v="Modificado"/>
    <s v="Transferencia desarrollo de un producto para incrementar la tolerancia al estrés hídrico y calidad organoléptica de frutos de arándanos mediante el uso de inductores hormonales y nutricionales"/>
    <x v="18"/>
    <x v="2"/>
    <s v="2018-05-31"/>
    <s v="2023-06-30"/>
    <n v="39756046"/>
    <n v="4000000"/>
    <n v="0"/>
    <n v="0"/>
    <n v="0"/>
    <n v="43756046"/>
    <s v="BIP 40.001.062-0"/>
  </r>
  <r>
    <x v="0"/>
    <n v="502988"/>
    <x v="5"/>
    <n v="70"/>
    <s v=""/>
    <s v="Activado"/>
    <s v="Aprobado"/>
    <m/>
    <m/>
    <s v="GTT Arándanos del Secano"/>
    <x v="2"/>
    <x v="2"/>
    <s v="2020-03-01"/>
    <s v="2022-03-31"/>
    <n v="337500"/>
    <n v="0"/>
    <n v="0"/>
    <n v="0"/>
    <n v="0"/>
    <n v="337500"/>
    <s v=""/>
  </r>
  <r>
    <x v="1"/>
    <n v="500014"/>
    <x v="5"/>
    <n v="70"/>
    <s v=""/>
    <s v="Activado"/>
    <s v="Aprobado"/>
    <m/>
    <m/>
    <s v="Red Agrometeorológica Nacional"/>
    <x v="12"/>
    <x v="1"/>
    <s v="2019-01-01"/>
    <s v="2025-12-31"/>
    <n v="5881000"/>
    <n v="0"/>
    <n v="0"/>
    <n v="0"/>
    <n v="0"/>
    <n v="5881000"/>
    <s v=""/>
  </r>
  <r>
    <x v="0"/>
    <n v="502985"/>
    <x v="5"/>
    <n v="70"/>
    <s v=""/>
    <s v="Activado"/>
    <s v="Aprobado"/>
    <m/>
    <m/>
    <s v="GCA Profesionales en Sistemas Ovinos"/>
    <x v="2"/>
    <x v="2"/>
    <s v="2020-03-01"/>
    <s v="2022-12-31"/>
    <n v="655000"/>
    <n v="0"/>
    <n v="0"/>
    <n v="0"/>
    <n v="0"/>
    <n v="655000"/>
    <s v=""/>
  </r>
  <r>
    <x v="0"/>
    <n v="502849"/>
    <x v="15"/>
    <m/>
    <m/>
    <s v="Activado"/>
    <s v="Aprobado"/>
    <m/>
    <m/>
    <s v="Sistema ganadero ovino-bovinos - CE Cauquenes (vinculado a 500840)"/>
    <x v="19"/>
    <x v="2"/>
    <d v="2019-07-01T00:00:00"/>
    <d v="2024-12-31T00:00:00"/>
    <n v="14561435"/>
    <m/>
    <m/>
    <m/>
    <m/>
    <n v="14561435"/>
    <m/>
  </r>
  <r>
    <x v="0"/>
    <n v="200313"/>
    <x v="16"/>
    <n v="72"/>
    <m/>
    <s v="Activado"/>
    <s v="Aprobado"/>
    <s v="Aprobada"/>
    <s v="Totalmente Tramitado"/>
    <s v="Núcleo Aberdeen Angus Negro"/>
    <x v="19"/>
    <x v="2"/>
    <s v="1 de enero de 2025"/>
    <s v="30 de nov"/>
    <n v="24074063"/>
    <n v="0"/>
    <n v="0"/>
    <n v="0"/>
    <n v="0"/>
    <n v="2407406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3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3:C6" firstHeaderRow="1" firstDataRow="1" firstDataCol="1"/>
  <pivotFields count="21">
    <pivotField axis="axisRow" showAll="0">
      <items count="4">
        <item x="0"/>
        <item x="1"/>
        <item m="1" x="2"/>
        <item t="default"/>
      </items>
    </pivotField>
    <pivotField showAll="0"/>
    <pivotField dataField="1" showAll="0">
      <items count="19">
        <item x="3"/>
        <item x="6"/>
        <item x="14"/>
        <item x="12"/>
        <item x="2"/>
        <item x="13"/>
        <item x="10"/>
        <item x="8"/>
        <item x="1"/>
        <item x="9"/>
        <item x="4"/>
        <item m="1" x="17"/>
        <item x="16"/>
        <item x="11"/>
        <item x="15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18"/>
        <item x="2"/>
        <item x="15"/>
        <item x="7"/>
        <item x="17"/>
        <item x="8"/>
        <item x="4"/>
        <item x="16"/>
        <item x="9"/>
        <item x="1"/>
        <item x="10"/>
        <item x="14"/>
        <item x="11"/>
        <item x="3"/>
        <item x="6"/>
        <item x="19"/>
        <item m="1" x="21"/>
        <item x="12"/>
        <item x="5"/>
        <item x="13"/>
        <item x="0"/>
        <item m="1" x="20"/>
        <item t="default"/>
      </items>
    </pivotField>
    <pivotField showAll="0">
      <items count="13">
        <item m="1" x="5"/>
        <item m="1" x="6"/>
        <item m="1" x="4"/>
        <item x="1"/>
        <item m="1" x="10"/>
        <item x="0"/>
        <item m="1" x="9"/>
        <item m="1" x="7"/>
        <item m="1" x="11"/>
        <item m="1" x="8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2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de Nombre FF" fld="2" subtotal="count" baseField="0" baseItem="0"/>
  </dataFields>
  <formats count="18">
    <format dxfId="387">
      <pivotArea type="all" dataOnly="0" outline="0" fieldPosition="0"/>
    </format>
    <format dxfId="388">
      <pivotArea outline="0" collapsedLevelsAreSubtotals="1" fieldPosition="0"/>
    </format>
    <format dxfId="389">
      <pivotArea field="0" type="button" dataOnly="0" labelOnly="1" outline="0" axis="axisRow" fieldPosition="0"/>
    </format>
    <format dxfId="390">
      <pivotArea dataOnly="0" labelOnly="1" outline="0" axis="axisValues" fieldPosition="0"/>
    </format>
    <format dxfId="391">
      <pivotArea dataOnly="0" labelOnly="1" fieldPosition="0">
        <references count="1">
          <reference field="0" count="0"/>
        </references>
      </pivotArea>
    </format>
    <format dxfId="392">
      <pivotArea dataOnly="0" labelOnly="1" grandRow="1" outline="0" fieldPosition="0"/>
    </format>
    <format dxfId="393">
      <pivotArea type="all" dataOnly="0" outline="0" fieldPosition="0"/>
    </format>
    <format dxfId="394">
      <pivotArea outline="0" collapsedLevelsAreSubtotals="1" fieldPosition="0"/>
    </format>
    <format dxfId="395">
      <pivotArea field="0" type="button" dataOnly="0" labelOnly="1" outline="0" axis="axisRow" fieldPosition="0"/>
    </format>
    <format dxfId="396">
      <pivotArea dataOnly="0" labelOnly="1" outline="0" axis="axisValues" fieldPosition="0"/>
    </format>
    <format dxfId="397">
      <pivotArea dataOnly="0" labelOnly="1" fieldPosition="0">
        <references count="1">
          <reference field="0" count="0"/>
        </references>
      </pivotArea>
    </format>
    <format dxfId="398">
      <pivotArea dataOnly="0" labelOnly="1" grandRow="1" outline="0" fieldPosition="0"/>
    </format>
    <format dxfId="399">
      <pivotArea type="all" dataOnly="0" outline="0" fieldPosition="0"/>
    </format>
    <format dxfId="400">
      <pivotArea outline="0" collapsedLevelsAreSubtotals="1" fieldPosition="0"/>
    </format>
    <format dxfId="401">
      <pivotArea field="0" type="button" dataOnly="0" labelOnly="1" outline="0" axis="axisRow" fieldPosition="0"/>
    </format>
    <format dxfId="402">
      <pivotArea dataOnly="0" labelOnly="1" outline="0" axis="axisValues" fieldPosition="0"/>
    </format>
    <format dxfId="403">
      <pivotArea dataOnly="0" labelOnly="1" fieldPosition="0">
        <references count="1">
          <reference field="0" count="0"/>
        </references>
      </pivotArea>
    </format>
    <format dxfId="404">
      <pivotArea dataOnly="0" labelOnly="1" grandRow="1" outline="0" fieldPosition="0"/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25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2">
  <location ref="B33:C54" firstHeaderRow="1" firstDataRow="1" firstDataCol="1"/>
  <pivotFields count="21">
    <pivotField showAll="0">
      <items count="4">
        <item x="0"/>
        <item x="1"/>
        <item m="1" x="2"/>
        <item t="default"/>
      </items>
    </pivotField>
    <pivotField showAll="0"/>
    <pivotField dataField="1" showAll="0">
      <items count="19">
        <item x="3"/>
        <item x="6"/>
        <item x="14"/>
        <item x="12"/>
        <item x="2"/>
        <item x="13"/>
        <item x="10"/>
        <item x="8"/>
        <item x="1"/>
        <item x="9"/>
        <item x="4"/>
        <item m="1" x="17"/>
        <item x="16"/>
        <item x="11"/>
        <item x="15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18"/>
        <item x="2"/>
        <item x="15"/>
        <item x="7"/>
        <item x="17"/>
        <item x="8"/>
        <item x="4"/>
        <item x="16"/>
        <item x="9"/>
        <item x="1"/>
        <item x="10"/>
        <item x="14"/>
        <item x="11"/>
        <item x="3"/>
        <item x="19"/>
        <item m="1" x="21"/>
        <item x="12"/>
        <item x="5"/>
        <item x="13"/>
        <item m="1" x="20"/>
        <item x="0"/>
        <item x="6"/>
        <item t="default"/>
      </items>
    </pivotField>
    <pivotField showAll="0">
      <items count="13">
        <item m="1" x="5"/>
        <item m="1" x="6"/>
        <item m="1" x="4"/>
        <item x="1"/>
        <item m="1" x="10"/>
        <item x="0"/>
        <item m="1" x="9"/>
        <item m="1" x="7"/>
        <item m="1" x="11"/>
        <item m="1" x="8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2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20"/>
    </i>
    <i>
      <x v="21"/>
    </i>
    <i t="grand">
      <x/>
    </i>
  </rowItems>
  <colItems count="1">
    <i/>
  </colItems>
  <dataFields count="1">
    <dataField name="Cuenta de Nombre FF" fld="2" subtotal="count" baseField="0" baseItem="0"/>
  </dataFields>
  <formats count="18">
    <format dxfId="354">
      <pivotArea type="all" dataOnly="0" outline="0" fieldPosition="0"/>
    </format>
    <format dxfId="355">
      <pivotArea outline="0" collapsedLevelsAreSubtotals="1" fieldPosition="0"/>
    </format>
    <format dxfId="356">
      <pivotArea field="10" type="button" dataOnly="0" labelOnly="1" outline="0" axis="axisRow" fieldPosition="0"/>
    </format>
    <format dxfId="357">
      <pivotArea dataOnly="0" labelOnly="1" outline="0" axis="axisValues" fieldPosition="0"/>
    </format>
    <format dxfId="358">
      <pivotArea dataOnly="0" labelOnly="1" fieldPosition="0">
        <references count="1">
          <reference field="10" count="0"/>
        </references>
      </pivotArea>
    </format>
    <format dxfId="359">
      <pivotArea dataOnly="0" labelOnly="1" grandRow="1" outline="0" fieldPosition="0"/>
    </format>
    <format dxfId="360">
      <pivotArea type="all" dataOnly="0" outline="0" fieldPosition="0"/>
    </format>
    <format dxfId="361">
      <pivotArea outline="0" collapsedLevelsAreSubtotals="1" fieldPosition="0"/>
    </format>
    <format dxfId="362">
      <pivotArea field="10" type="button" dataOnly="0" labelOnly="1" outline="0" axis="axisRow" fieldPosition="0"/>
    </format>
    <format dxfId="363">
      <pivotArea dataOnly="0" labelOnly="1" outline="0" axis="axisValues" fieldPosition="0"/>
    </format>
    <format dxfId="364">
      <pivotArea dataOnly="0" labelOnly="1" fieldPosition="0">
        <references count="1">
          <reference field="10" count="0"/>
        </references>
      </pivotArea>
    </format>
    <format dxfId="365">
      <pivotArea dataOnly="0" labelOnly="1" grandRow="1" outline="0" fieldPosition="0"/>
    </format>
    <format dxfId="366">
      <pivotArea type="all" dataOnly="0" outline="0" fieldPosition="0"/>
    </format>
    <format dxfId="367">
      <pivotArea outline="0" collapsedLevelsAreSubtotals="1" fieldPosition="0"/>
    </format>
    <format dxfId="368">
      <pivotArea field="10" type="button" dataOnly="0" labelOnly="1" outline="0" axis="axisRow" fieldPosition="0"/>
    </format>
    <format dxfId="369">
      <pivotArea dataOnly="0" labelOnly="1" outline="0" axis="axisValues" fieldPosition="0"/>
    </format>
    <format dxfId="370">
      <pivotArea dataOnly="0" labelOnly="1" fieldPosition="0">
        <references count="1">
          <reference field="10" count="0"/>
        </references>
      </pivotArea>
    </format>
    <format dxfId="371">
      <pivotArea dataOnly="0" labelOnly="1" grandRow="1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27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F3:G24" firstHeaderRow="1" firstDataRow="1" firstDataCol="1"/>
  <pivotFields count="21">
    <pivotField showAll="0">
      <items count="4">
        <item x="0"/>
        <item x="1"/>
        <item m="1" x="2"/>
        <item t="default"/>
      </items>
    </pivotField>
    <pivotField showAll="0"/>
    <pivotField showAll="0">
      <items count="19">
        <item x="3"/>
        <item x="6"/>
        <item x="14"/>
        <item x="12"/>
        <item x="2"/>
        <item x="13"/>
        <item x="10"/>
        <item x="8"/>
        <item x="1"/>
        <item x="9"/>
        <item x="4"/>
        <item m="1" x="17"/>
        <item x="16"/>
        <item x="11"/>
        <item x="15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18"/>
        <item x="2"/>
        <item x="15"/>
        <item x="7"/>
        <item x="17"/>
        <item x="8"/>
        <item x="4"/>
        <item x="16"/>
        <item x="9"/>
        <item x="1"/>
        <item x="10"/>
        <item x="14"/>
        <item x="11"/>
        <item x="3"/>
        <item x="19"/>
        <item m="1" x="21"/>
        <item x="12"/>
        <item x="5"/>
        <item x="13"/>
        <item m="1" x="20"/>
        <item x="0"/>
        <item x="6"/>
        <item t="default"/>
      </items>
    </pivotField>
    <pivotField showAll="0">
      <items count="13">
        <item m="1" x="5"/>
        <item m="1" x="6"/>
        <item m="1" x="4"/>
        <item x="1"/>
        <item m="1" x="10"/>
        <item x="0"/>
        <item m="1" x="9"/>
        <item m="1" x="7"/>
        <item m="1" x="11"/>
        <item m="1" x="8"/>
        <item x="2"/>
        <item m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42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20"/>
    </i>
    <i>
      <x v="21"/>
    </i>
    <i t="grand">
      <x/>
    </i>
  </rowItems>
  <colItems count="1">
    <i/>
  </colItems>
  <dataFields count="1">
    <dataField name="Suma de MONTO FF" fld="14" baseField="10" baseItem="0" numFmtId="42"/>
  </dataFields>
  <formats count="19">
    <format dxfId="316">
      <pivotArea outline="0" collapsedLevelsAreSubtotals="1" fieldPosition="0"/>
    </format>
    <format dxfId="317">
      <pivotArea type="all" dataOnly="0" outline="0" fieldPosition="0"/>
    </format>
    <format dxfId="318">
      <pivotArea outline="0" collapsedLevelsAreSubtotals="1" fieldPosition="0"/>
    </format>
    <format dxfId="319">
      <pivotArea field="10" type="button" dataOnly="0" labelOnly="1" outline="0" axis="axisRow" fieldPosition="0"/>
    </format>
    <format dxfId="320">
      <pivotArea dataOnly="0" labelOnly="1" outline="0" axis="axisValues" fieldPosition="0"/>
    </format>
    <format dxfId="321">
      <pivotArea dataOnly="0" labelOnly="1" fieldPosition="0">
        <references count="1">
          <reference field="10" count="0"/>
        </references>
      </pivotArea>
    </format>
    <format dxfId="322">
      <pivotArea dataOnly="0" labelOnly="1" grandRow="1" outline="0" fieldPosition="0"/>
    </format>
    <format dxfId="323">
      <pivotArea type="all" dataOnly="0" outline="0" fieldPosition="0"/>
    </format>
    <format dxfId="324">
      <pivotArea outline="0" collapsedLevelsAreSubtotals="1" fieldPosition="0"/>
    </format>
    <format dxfId="325">
      <pivotArea field="10" type="button" dataOnly="0" labelOnly="1" outline="0" axis="axisRow" fieldPosition="0"/>
    </format>
    <format dxfId="326">
      <pivotArea dataOnly="0" labelOnly="1" outline="0" axis="axisValues" fieldPosition="0"/>
    </format>
    <format dxfId="327">
      <pivotArea dataOnly="0" labelOnly="1" fieldPosition="0">
        <references count="1">
          <reference field="10" count="0"/>
        </references>
      </pivotArea>
    </format>
    <format dxfId="328">
      <pivotArea dataOnly="0" labelOnly="1" grandRow="1" outline="0" fieldPosition="0"/>
    </format>
    <format dxfId="329">
      <pivotArea type="all" dataOnly="0" outline="0" fieldPosition="0"/>
    </format>
    <format dxfId="330">
      <pivotArea outline="0" collapsedLevelsAreSubtotals="1" fieldPosition="0"/>
    </format>
    <format dxfId="331">
      <pivotArea field="10" type="button" dataOnly="0" labelOnly="1" outline="0" axis="axisRow" fieldPosition="0"/>
    </format>
    <format dxfId="332">
      <pivotArea dataOnly="0" labelOnly="1" outline="0" axis="axisValues" fieldPosition="0"/>
    </format>
    <format dxfId="333">
      <pivotArea dataOnly="0" labelOnly="1" fieldPosition="0">
        <references count="1">
          <reference field="10" count="0"/>
        </references>
      </pivotArea>
    </format>
    <format dxfId="334">
      <pivotArea dataOnly="0" labelOnly="1" grandRow="1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dinámica24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3">
  <location ref="B11:C29" firstHeaderRow="1" firstDataRow="1" firstDataCol="1"/>
  <pivotFields count="21">
    <pivotField showAll="0">
      <items count="4">
        <item x="0"/>
        <item x="1"/>
        <item m="1" x="2"/>
        <item t="default"/>
      </items>
    </pivotField>
    <pivotField showAll="0"/>
    <pivotField axis="axisRow" dataField="1" showAll="0">
      <items count="19">
        <item x="6"/>
        <item x="14"/>
        <item x="12"/>
        <item x="2"/>
        <item x="13"/>
        <item x="10"/>
        <item x="8"/>
        <item x="1"/>
        <item x="9"/>
        <item x="4"/>
        <item x="11"/>
        <item x="5"/>
        <item x="7"/>
        <item m="1" x="17"/>
        <item x="16"/>
        <item x="3"/>
        <item x="0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18"/>
        <item x="2"/>
        <item x="15"/>
        <item x="7"/>
        <item x="17"/>
        <item x="8"/>
        <item x="4"/>
        <item x="16"/>
        <item x="9"/>
        <item x="1"/>
        <item x="10"/>
        <item x="14"/>
        <item x="11"/>
        <item x="3"/>
        <item x="6"/>
        <item x="19"/>
        <item m="1" x="21"/>
        <item x="12"/>
        <item x="5"/>
        <item x="13"/>
        <item x="0"/>
        <item m="1" x="20"/>
        <item t="default"/>
      </items>
    </pivotField>
    <pivotField showAll="0">
      <items count="13">
        <item m="1" x="5"/>
        <item m="1" x="6"/>
        <item m="1" x="4"/>
        <item x="1"/>
        <item m="1" x="10"/>
        <item x="0"/>
        <item m="1" x="9"/>
        <item m="1" x="7"/>
        <item m="1" x="11"/>
        <item m="1" x="8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2" showAll="0"/>
    <pivotField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uenta de Nombre FF" fld="2" subtotal="count" baseField="0" baseItem="0"/>
  </dataFields>
  <formats count="15">
    <format dxfId="372">
      <pivotArea type="all" dataOnly="0" outline="0" fieldPosition="0"/>
    </format>
    <format dxfId="373">
      <pivotArea outline="0" collapsedLevelsAreSubtotals="1" fieldPosition="0"/>
    </format>
    <format dxfId="374">
      <pivotArea field="2" type="button" dataOnly="0" labelOnly="1" outline="0" axis="axisRow" fieldPosition="0"/>
    </format>
    <format dxfId="375">
      <pivotArea dataOnly="0" labelOnly="1" outline="0" axis="axisValues" fieldPosition="0"/>
    </format>
    <format dxfId="376">
      <pivotArea dataOnly="0" labelOnly="1" fieldPosition="0">
        <references count="1">
          <reference field="2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</reference>
        </references>
      </pivotArea>
    </format>
    <format dxfId="377">
      <pivotArea type="all" dataOnly="0" outline="0" fieldPosition="0"/>
    </format>
    <format dxfId="378">
      <pivotArea outline="0" collapsedLevelsAreSubtotals="1" fieldPosition="0"/>
    </format>
    <format dxfId="379">
      <pivotArea field="2" type="button" dataOnly="0" labelOnly="1" outline="0" axis="axisRow" fieldPosition="0"/>
    </format>
    <format dxfId="380">
      <pivotArea dataOnly="0" labelOnly="1" outline="0" axis="axisValues" fieldPosition="0"/>
    </format>
    <format dxfId="381">
      <pivotArea dataOnly="0" labelOnly="1" fieldPosition="0">
        <references count="1">
          <reference field="2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</reference>
        </references>
      </pivotArea>
    </format>
    <format dxfId="382">
      <pivotArea type="all" dataOnly="0" outline="0" fieldPosition="0"/>
    </format>
    <format dxfId="383">
      <pivotArea outline="0" collapsedLevelsAreSubtotals="1" fieldPosition="0"/>
    </format>
    <format dxfId="384">
      <pivotArea field="2" type="button" dataOnly="0" labelOnly="1" outline="0" axis="axisRow" fieldPosition="0"/>
    </format>
    <format dxfId="385">
      <pivotArea dataOnly="0" labelOnly="1" outline="0" axis="axisValues" fieldPosition="0"/>
    </format>
    <format dxfId="386">
      <pivotArea dataOnly="0" labelOnly="1" fieldPosition="0">
        <references count="1">
          <reference field="2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</reference>
        </references>
      </pivotArea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 dinámica30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>
  <location ref="F57:G61" firstHeaderRow="1" firstDataRow="1" firstDataCol="1"/>
  <pivotFields count="21">
    <pivotField showAll="0">
      <items count="4">
        <item x="0"/>
        <item x="1"/>
        <item m="1" x="2"/>
        <item t="default"/>
      </items>
    </pivotField>
    <pivotField showAll="0"/>
    <pivotField showAll="0">
      <items count="19">
        <item x="3"/>
        <item x="6"/>
        <item x="14"/>
        <item x="12"/>
        <item x="2"/>
        <item x="13"/>
        <item x="10"/>
        <item x="8"/>
        <item x="1"/>
        <item x="9"/>
        <item x="4"/>
        <item m="1" x="17"/>
        <item x="16"/>
        <item x="11"/>
        <item x="15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18"/>
        <item x="2"/>
        <item x="15"/>
        <item x="7"/>
        <item x="17"/>
        <item x="8"/>
        <item x="4"/>
        <item x="16"/>
        <item x="9"/>
        <item x="1"/>
        <item x="10"/>
        <item x="14"/>
        <item x="11"/>
        <item x="3"/>
        <item x="6"/>
        <item x="19"/>
        <item m="1" x="21"/>
        <item x="12"/>
        <item x="5"/>
        <item x="13"/>
        <item x="0"/>
        <item m="1" x="20"/>
        <item t="default"/>
      </items>
    </pivotField>
    <pivotField axis="axisRow" showAll="0">
      <items count="13">
        <item m="1" x="5"/>
        <item m="1" x="6"/>
        <item x="1"/>
        <item m="1" x="10"/>
        <item m="1" x="9"/>
        <item x="2"/>
        <item m="1" x="3"/>
        <item m="1" x="7"/>
        <item m="1" x="8"/>
        <item m="1" x="11"/>
        <item x="0"/>
        <item m="1" x="4"/>
        <item t="default"/>
      </items>
    </pivotField>
    <pivotField showAll="0"/>
    <pivotField showAll="0"/>
    <pivotField dataField="1" showAll="0"/>
    <pivotField numFmtId="42" showAll="0"/>
    <pivotField showAll="0"/>
    <pivotField showAll="0"/>
    <pivotField showAll="0"/>
    <pivotField numFmtId="42" showAll="0"/>
    <pivotField showAll="0"/>
  </pivotFields>
  <rowFields count="1">
    <field x="11"/>
  </rowFields>
  <rowItems count="4">
    <i>
      <x v="2"/>
    </i>
    <i>
      <x v="5"/>
    </i>
    <i>
      <x v="10"/>
    </i>
    <i t="grand">
      <x/>
    </i>
  </rowItems>
  <colItems count="1">
    <i/>
  </colItems>
  <dataFields count="1">
    <dataField name="Suma de MONTO FF" fld="14" baseField="11" baseItem="2" numFmtId="42"/>
  </dataFields>
  <formats count="19">
    <format dxfId="260">
      <pivotArea outline="0" collapsedLevelsAreSubtotals="1" fieldPosition="0"/>
    </format>
    <format dxfId="261">
      <pivotArea type="all" dataOnly="0" outline="0" fieldPosition="0"/>
    </format>
    <format dxfId="262">
      <pivotArea outline="0" collapsedLevelsAreSubtotals="1" fieldPosition="0"/>
    </format>
    <format dxfId="263">
      <pivotArea field="11" type="button" dataOnly="0" labelOnly="1" outline="0" axis="axisRow" fieldPosition="0"/>
    </format>
    <format dxfId="264">
      <pivotArea dataOnly="0" labelOnly="1" outline="0" axis="axisValues" fieldPosition="0"/>
    </format>
    <format dxfId="265">
      <pivotArea dataOnly="0" labelOnly="1" fieldPosition="0">
        <references count="1">
          <reference field="11" count="0"/>
        </references>
      </pivotArea>
    </format>
    <format dxfId="266">
      <pivotArea dataOnly="0" labelOnly="1" grandRow="1" outline="0" fieldPosition="0"/>
    </format>
    <format dxfId="267">
      <pivotArea type="all" dataOnly="0" outline="0" fieldPosition="0"/>
    </format>
    <format dxfId="268">
      <pivotArea outline="0" collapsedLevelsAreSubtotals="1" fieldPosition="0"/>
    </format>
    <format dxfId="269">
      <pivotArea field="11" type="button" dataOnly="0" labelOnly="1" outline="0" axis="axisRow" fieldPosition="0"/>
    </format>
    <format dxfId="270">
      <pivotArea dataOnly="0" labelOnly="1" outline="0" axis="axisValues" fieldPosition="0"/>
    </format>
    <format dxfId="271">
      <pivotArea dataOnly="0" labelOnly="1" fieldPosition="0">
        <references count="1">
          <reference field="11" count="0"/>
        </references>
      </pivotArea>
    </format>
    <format dxfId="272">
      <pivotArea dataOnly="0" labelOnly="1" grandRow="1" outline="0" fieldPosition="0"/>
    </format>
    <format dxfId="273">
      <pivotArea type="all" dataOnly="0" outline="0" fieldPosition="0"/>
    </format>
    <format dxfId="274">
      <pivotArea outline="0" collapsedLevelsAreSubtotals="1" fieldPosition="0"/>
    </format>
    <format dxfId="275">
      <pivotArea field="11" type="button" dataOnly="0" labelOnly="1" outline="0" axis="axisRow" fieldPosition="0"/>
    </format>
    <format dxfId="276">
      <pivotArea dataOnly="0" labelOnly="1" outline="0" axis="axisValues" fieldPosition="0"/>
    </format>
    <format dxfId="277">
      <pivotArea dataOnly="0" labelOnly="1" fieldPosition="0">
        <references count="1">
          <reference field="11" count="0"/>
        </references>
      </pivotArea>
    </format>
    <format dxfId="278">
      <pivotArea dataOnly="0" labelOnly="1" grandRow="1" outline="0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 dinámica28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F27:G48" firstHeaderRow="1" firstDataRow="1" firstDataCol="1"/>
  <pivotFields count="21">
    <pivotField showAll="0">
      <items count="4">
        <item x="0"/>
        <item x="1"/>
        <item m="1" x="2"/>
        <item t="default"/>
      </items>
    </pivotField>
    <pivotField showAll="0"/>
    <pivotField showAll="0">
      <items count="19">
        <item x="3"/>
        <item x="6"/>
        <item x="14"/>
        <item x="12"/>
        <item x="2"/>
        <item x="13"/>
        <item x="10"/>
        <item x="8"/>
        <item x="1"/>
        <item x="9"/>
        <item x="4"/>
        <item m="1" x="17"/>
        <item x="16"/>
        <item x="11"/>
        <item x="15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18"/>
        <item x="2"/>
        <item x="15"/>
        <item x="7"/>
        <item x="17"/>
        <item x="8"/>
        <item x="4"/>
        <item x="16"/>
        <item x="9"/>
        <item x="1"/>
        <item x="10"/>
        <item x="14"/>
        <item x="11"/>
        <item x="3"/>
        <item x="19"/>
        <item m="1" x="21"/>
        <item x="12"/>
        <item x="5"/>
        <item x="13"/>
        <item m="1" x="20"/>
        <item x="0"/>
        <item x="6"/>
        <item t="default"/>
      </items>
    </pivotField>
    <pivotField showAll="0">
      <items count="13">
        <item m="1" x="5"/>
        <item m="1" x="6"/>
        <item m="1" x="4"/>
        <item x="1"/>
        <item m="1" x="10"/>
        <item x="0"/>
        <item m="1" x="9"/>
        <item m="1" x="7"/>
        <item m="1" x="11"/>
        <item m="1" x="8"/>
        <item x="2"/>
        <item m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42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20"/>
    </i>
    <i>
      <x v="21"/>
    </i>
    <i t="grand">
      <x/>
    </i>
  </rowItems>
  <colItems count="1">
    <i/>
  </colItems>
  <dataFields count="1">
    <dataField name="Suma de PECUNIO ASOCIADO" fld="15" baseField="10" baseItem="0" numFmtId="42"/>
  </dataFields>
  <formats count="19">
    <format dxfId="297">
      <pivotArea outline="0" collapsedLevelsAreSubtotals="1" fieldPosition="0"/>
    </format>
    <format dxfId="298">
      <pivotArea type="all" dataOnly="0" outline="0" fieldPosition="0"/>
    </format>
    <format dxfId="299">
      <pivotArea outline="0" collapsedLevelsAreSubtotals="1" fieldPosition="0"/>
    </format>
    <format dxfId="300">
      <pivotArea field="10" type="button" dataOnly="0" labelOnly="1" outline="0" axis="axisRow" fieldPosition="0"/>
    </format>
    <format dxfId="301">
      <pivotArea dataOnly="0" labelOnly="1" outline="0" axis="axisValues" fieldPosition="0"/>
    </format>
    <format dxfId="302">
      <pivotArea dataOnly="0" labelOnly="1" fieldPosition="0">
        <references count="1">
          <reference field="10" count="0"/>
        </references>
      </pivotArea>
    </format>
    <format dxfId="303">
      <pivotArea dataOnly="0" labelOnly="1" grandRow="1" outline="0" fieldPosition="0"/>
    </format>
    <format dxfId="304">
      <pivotArea type="all" dataOnly="0" outline="0" fieldPosition="0"/>
    </format>
    <format dxfId="305">
      <pivotArea outline="0" collapsedLevelsAreSubtotals="1" fieldPosition="0"/>
    </format>
    <format dxfId="306">
      <pivotArea field="10" type="button" dataOnly="0" labelOnly="1" outline="0" axis="axisRow" fieldPosition="0"/>
    </format>
    <format dxfId="307">
      <pivotArea dataOnly="0" labelOnly="1" outline="0" axis="axisValues" fieldPosition="0"/>
    </format>
    <format dxfId="308">
      <pivotArea dataOnly="0" labelOnly="1" fieldPosition="0">
        <references count="1">
          <reference field="10" count="0"/>
        </references>
      </pivotArea>
    </format>
    <format dxfId="309">
      <pivotArea dataOnly="0" labelOnly="1" grandRow="1" outline="0" fieldPosition="0"/>
    </format>
    <format dxfId="310">
      <pivotArea type="all" dataOnly="0" outline="0" fieldPosition="0"/>
    </format>
    <format dxfId="311">
      <pivotArea outline="0" collapsedLevelsAreSubtotals="1" fieldPosition="0"/>
    </format>
    <format dxfId="312">
      <pivotArea field="10" type="button" dataOnly="0" labelOnly="1" outline="0" axis="axisRow" fieldPosition="0"/>
    </format>
    <format dxfId="313">
      <pivotArea dataOnly="0" labelOnly="1" outline="0" axis="axisValues" fieldPosition="0"/>
    </format>
    <format dxfId="314">
      <pivotArea dataOnly="0" labelOnly="1" fieldPosition="0">
        <references count="1">
          <reference field="10" count="0"/>
        </references>
      </pivotArea>
    </format>
    <format dxfId="315">
      <pivotArea dataOnly="0" labelOnly="1" grandRow="1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 dinámica29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7">
  <location ref="F50:G54" firstHeaderRow="1" firstDataRow="1" firstDataCol="1"/>
  <pivotFields count="21">
    <pivotField showAll="0">
      <items count="4">
        <item x="0"/>
        <item x="1"/>
        <item m="1" x="2"/>
        <item t="default"/>
      </items>
    </pivotField>
    <pivotField showAll="0"/>
    <pivotField showAll="0">
      <items count="19">
        <item x="3"/>
        <item x="6"/>
        <item x="14"/>
        <item x="12"/>
        <item x="2"/>
        <item x="13"/>
        <item x="10"/>
        <item x="8"/>
        <item x="1"/>
        <item x="9"/>
        <item x="4"/>
        <item m="1" x="17"/>
        <item x="16"/>
        <item x="11"/>
        <item x="15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18"/>
        <item x="2"/>
        <item x="15"/>
        <item x="7"/>
        <item x="17"/>
        <item x="8"/>
        <item x="4"/>
        <item x="16"/>
        <item x="9"/>
        <item x="1"/>
        <item x="10"/>
        <item x="14"/>
        <item x="11"/>
        <item x="3"/>
        <item x="6"/>
        <item x="19"/>
        <item m="1" x="21"/>
        <item x="12"/>
        <item x="5"/>
        <item x="13"/>
        <item x="0"/>
        <item m="1" x="20"/>
        <item t="default"/>
      </items>
    </pivotField>
    <pivotField axis="axisRow" dataField="1" showAll="0">
      <items count="13">
        <item m="1" x="5"/>
        <item m="1" x="6"/>
        <item x="1"/>
        <item m="1" x="10"/>
        <item m="1" x="9"/>
        <item x="2"/>
        <item m="1" x="3"/>
        <item m="1" x="7"/>
        <item m="1" x="8"/>
        <item m="1" x="11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2" showAll="0"/>
    <pivotField showAll="0"/>
  </pivotFields>
  <rowFields count="1">
    <field x="11"/>
  </rowFields>
  <rowItems count="4">
    <i>
      <x v="2"/>
    </i>
    <i>
      <x v="5"/>
    </i>
    <i>
      <x v="10"/>
    </i>
    <i t="grand">
      <x/>
    </i>
  </rowItems>
  <colItems count="1">
    <i/>
  </colItems>
  <dataFields count="1">
    <dataField name="Cuenta de Estado Proyecto" fld="11" subtotal="count" baseField="0" baseItem="0"/>
  </dataFields>
  <formats count="18">
    <format dxfId="279">
      <pivotArea type="all" dataOnly="0" outline="0" fieldPosition="0"/>
    </format>
    <format dxfId="280">
      <pivotArea outline="0" collapsedLevelsAreSubtotals="1" fieldPosition="0"/>
    </format>
    <format dxfId="281">
      <pivotArea field="11" type="button" dataOnly="0" labelOnly="1" outline="0" axis="axisRow" fieldPosition="0"/>
    </format>
    <format dxfId="282">
      <pivotArea dataOnly="0" labelOnly="1" outline="0" axis="axisValues" fieldPosition="0"/>
    </format>
    <format dxfId="283">
      <pivotArea dataOnly="0" labelOnly="1" fieldPosition="0">
        <references count="1">
          <reference field="11" count="0"/>
        </references>
      </pivotArea>
    </format>
    <format dxfId="284">
      <pivotArea dataOnly="0" labelOnly="1" grandRow="1" outline="0" fieldPosition="0"/>
    </format>
    <format dxfId="285">
      <pivotArea type="all" dataOnly="0" outline="0" fieldPosition="0"/>
    </format>
    <format dxfId="286">
      <pivotArea outline="0" collapsedLevelsAreSubtotals="1" fieldPosition="0"/>
    </format>
    <format dxfId="287">
      <pivotArea field="11" type="button" dataOnly="0" labelOnly="1" outline="0" axis="axisRow" fieldPosition="0"/>
    </format>
    <format dxfId="288">
      <pivotArea dataOnly="0" labelOnly="1" outline="0" axis="axisValues" fieldPosition="0"/>
    </format>
    <format dxfId="289">
      <pivotArea dataOnly="0" labelOnly="1" fieldPosition="0">
        <references count="1">
          <reference field="11" count="0"/>
        </references>
      </pivotArea>
    </format>
    <format dxfId="290">
      <pivotArea dataOnly="0" labelOnly="1" grandRow="1" outline="0" fieldPosition="0"/>
    </format>
    <format dxfId="291">
      <pivotArea type="all" dataOnly="0" outline="0" fieldPosition="0"/>
    </format>
    <format dxfId="292">
      <pivotArea outline="0" collapsedLevelsAreSubtotals="1" fieldPosition="0"/>
    </format>
    <format dxfId="293">
      <pivotArea field="11" type="button" dataOnly="0" labelOnly="1" outline="0" axis="axisRow" fieldPosition="0"/>
    </format>
    <format dxfId="294">
      <pivotArea dataOnly="0" labelOnly="1" outline="0" axis="axisValues" fieldPosition="0"/>
    </format>
    <format dxfId="295">
      <pivotArea dataOnly="0" labelOnly="1" fieldPosition="0">
        <references count="1">
          <reference field="11" count="0"/>
        </references>
      </pivotArea>
    </format>
    <format dxfId="296">
      <pivotArea dataOnly="0" labelOnly="1" grandRow="1" outline="0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 dinámica26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9">
  <location ref="B55:C73" firstHeaderRow="1" firstDataRow="1" firstDataCol="1"/>
  <pivotFields count="21">
    <pivotField showAll="0">
      <items count="4">
        <item x="0"/>
        <item x="1"/>
        <item m="1" x="2"/>
        <item t="default"/>
      </items>
    </pivotField>
    <pivotField showAll="0"/>
    <pivotField axis="axisRow" showAll="0">
      <items count="19">
        <item x="6"/>
        <item x="14"/>
        <item x="12"/>
        <item x="2"/>
        <item x="13"/>
        <item x="10"/>
        <item x="8"/>
        <item x="1"/>
        <item x="9"/>
        <item x="4"/>
        <item x="11"/>
        <item x="5"/>
        <item x="7"/>
        <item m="1" x="17"/>
        <item x="16"/>
        <item x="3"/>
        <item x="0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18"/>
        <item x="2"/>
        <item x="15"/>
        <item x="7"/>
        <item x="17"/>
        <item x="8"/>
        <item x="4"/>
        <item x="16"/>
        <item x="9"/>
        <item x="1"/>
        <item x="10"/>
        <item x="14"/>
        <item x="11"/>
        <item x="3"/>
        <item x="6"/>
        <item x="19"/>
        <item m="1" x="21"/>
        <item x="12"/>
        <item x="5"/>
        <item x="13"/>
        <item x="0"/>
        <item m="1" x="20"/>
        <item t="default"/>
      </items>
    </pivotField>
    <pivotField showAll="0">
      <items count="13">
        <item m="1" x="5"/>
        <item m="1" x="6"/>
        <item m="1" x="4"/>
        <item x="1"/>
        <item m="1" x="10"/>
        <item x="0"/>
        <item m="1" x="9"/>
        <item m="1" x="7"/>
        <item m="1" x="11"/>
        <item m="1" x="8"/>
        <item x="2"/>
        <item m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42" showAll="0"/>
    <pivotField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MONTO FF" fld="14" baseField="2" baseItem="0" numFmtId="42"/>
  </dataFields>
  <formats count="19">
    <format dxfId="335">
      <pivotArea outline="0" collapsedLevelsAreSubtotals="1" fieldPosition="0"/>
    </format>
    <format dxfId="336">
      <pivotArea type="all" dataOnly="0" outline="0" fieldPosition="0"/>
    </format>
    <format dxfId="337">
      <pivotArea outline="0" collapsedLevelsAreSubtotals="1" fieldPosition="0"/>
    </format>
    <format dxfId="338">
      <pivotArea field="2" type="button" dataOnly="0" labelOnly="1" outline="0" axis="axisRow" fieldPosition="0"/>
    </format>
    <format dxfId="339">
      <pivotArea dataOnly="0" labelOnly="1" outline="0" axis="axisValues" fieldPosition="0"/>
    </format>
    <format dxfId="340">
      <pivotArea dataOnly="0" labelOnly="1" fieldPosition="0">
        <references count="1">
          <reference field="2" count="0"/>
        </references>
      </pivotArea>
    </format>
    <format dxfId="341">
      <pivotArea dataOnly="0" labelOnly="1" grandRow="1" outline="0" fieldPosition="0"/>
    </format>
    <format dxfId="342">
      <pivotArea type="all" dataOnly="0" outline="0" fieldPosition="0"/>
    </format>
    <format dxfId="343">
      <pivotArea outline="0" collapsedLevelsAreSubtotals="1" fieldPosition="0"/>
    </format>
    <format dxfId="344">
      <pivotArea field="2" type="button" dataOnly="0" labelOnly="1" outline="0" axis="axisRow" fieldPosition="0"/>
    </format>
    <format dxfId="345">
      <pivotArea dataOnly="0" labelOnly="1" outline="0" axis="axisValues" fieldPosition="0"/>
    </format>
    <format dxfId="346">
      <pivotArea dataOnly="0" labelOnly="1" fieldPosition="0">
        <references count="1">
          <reference field="2" count="0"/>
        </references>
      </pivotArea>
    </format>
    <format dxfId="347">
      <pivotArea dataOnly="0" labelOnly="1" grandRow="1" outline="0" fieldPosition="0"/>
    </format>
    <format dxfId="348">
      <pivotArea type="all" dataOnly="0" outline="0" fieldPosition="0"/>
    </format>
    <format dxfId="349">
      <pivotArea outline="0" collapsedLevelsAreSubtotals="1" fieldPosition="0"/>
    </format>
    <format dxfId="350">
      <pivotArea field="2" type="button" dataOnly="0" labelOnly="1" outline="0" axis="axisRow" fieldPosition="0"/>
    </format>
    <format dxfId="351">
      <pivotArea dataOnly="0" labelOnly="1" outline="0" axis="axisValues" fieldPosition="0"/>
    </format>
    <format dxfId="352">
      <pivotArea dataOnly="0" labelOnly="1" fieldPosition="0">
        <references count="1">
          <reference field="2" count="0"/>
        </references>
      </pivotArea>
    </format>
    <format dxfId="353">
      <pivotArea dataOnly="0" labelOnly="1" grandRow="1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 dinámica4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IR">
  <location ref="F4:G17" firstHeaderRow="1" firstDataRow="1" firstDataCol="1" rowPageCount="1" colPageCount="1"/>
  <pivotFields count="21">
    <pivotField showAll="0"/>
    <pivotField showAll="0"/>
    <pivotField axis="axisRow" showAll="0">
      <items count="19">
        <item x="3"/>
        <item x="6"/>
        <item x="14"/>
        <item x="12"/>
        <item x="2"/>
        <item x="13"/>
        <item x="10"/>
        <item x="8"/>
        <item x="1"/>
        <item x="9"/>
        <item x="4"/>
        <item m="1" x="17"/>
        <item x="16"/>
        <item x="11"/>
        <item x="15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3">
        <item sd="0" x="18"/>
        <item sd="0" x="2"/>
        <item sd="0" x="15"/>
        <item sd="0" x="7"/>
        <item sd="0" x="17"/>
        <item sd="0" x="8"/>
        <item sd="0" x="4"/>
        <item sd="0" x="16"/>
        <item sd="0" x="9"/>
        <item sd="0" x="1"/>
        <item sd="0" x="10"/>
        <item sd="0" x="14"/>
        <item sd="0" x="11"/>
        <item sd="0" x="3"/>
        <item sd="0" x="6"/>
        <item sd="0" x="19"/>
        <item m="1" x="21"/>
        <item sd="0" x="12"/>
        <item sd="0" x="5"/>
        <item sd="0" x="13"/>
        <item sd="0" x="0"/>
        <item m="1" x="20"/>
        <item t="default"/>
      </items>
    </pivotField>
    <pivotField axis="axisPage" multipleItemSelectionAllowed="1" showAll="0">
      <items count="13">
        <item m="1" x="5"/>
        <item m="1" x="6"/>
        <item x="1"/>
        <item m="1" x="10"/>
        <item h="1" x="0"/>
        <item m="1" x="9"/>
        <item m="1" x="7"/>
        <item h="1" m="1" x="11"/>
        <item m="1" x="8"/>
        <item h="1" x="2"/>
        <item m="1" x="3"/>
        <item h="1"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2"/>
  </rowFields>
  <rowItems count="13">
    <i>
      <x v="1"/>
    </i>
    <i>
      <x v="2"/>
    </i>
    <i>
      <x v="3"/>
    </i>
    <i>
      <x v="6"/>
    </i>
    <i>
      <x v="8"/>
    </i>
    <i>
      <x v="9"/>
    </i>
    <i>
      <x v="12"/>
    </i>
    <i>
      <x v="13"/>
    </i>
    <i>
      <x v="14"/>
    </i>
    <i>
      <x v="17"/>
    </i>
    <i>
      <x v="18"/>
    </i>
    <i>
      <x v="19"/>
    </i>
    <i t="grand">
      <x/>
    </i>
  </rowItems>
  <colItems count="1">
    <i/>
  </colItems>
  <pageFields count="1">
    <pageField fld="11" hier="-1"/>
  </pageFields>
  <dataFields count="1">
    <dataField name="N° Proyectos" fld="9" subtotal="count" baseField="0" baseItem="0"/>
  </dataFields>
  <formats count="28">
    <format dxfId="895">
      <pivotArea field="10" type="button" dataOnly="0" labelOnly="1" outline="0" axis="axisRow" fieldPosition="0"/>
    </format>
    <format dxfId="894">
      <pivotArea dataOnly="0" labelOnly="1" outline="0" axis="axisValues" fieldPosition="0"/>
    </format>
    <format dxfId="893">
      <pivotArea type="all" dataOnly="0" outline="0" fieldPosition="0"/>
    </format>
    <format dxfId="892">
      <pivotArea outline="0" collapsedLevelsAreSubtotals="1" fieldPosition="0"/>
    </format>
    <format dxfId="891">
      <pivotArea field="10" type="button" dataOnly="0" labelOnly="1" outline="0" axis="axisRow" fieldPosition="0"/>
    </format>
    <format dxfId="890">
      <pivotArea dataOnly="0" labelOnly="1" outline="0" axis="axisValues" fieldPosition="0"/>
    </format>
    <format dxfId="889">
      <pivotArea dataOnly="0" labelOnly="1" fieldPosition="0">
        <references count="1">
          <reference field="10" count="12">
            <x v="1"/>
            <x v="2"/>
            <x v="3"/>
            <x v="6"/>
            <x v="8"/>
            <x v="9"/>
            <x v="12"/>
            <x v="13"/>
            <x v="14"/>
            <x v="17"/>
            <x v="18"/>
            <x v="19"/>
          </reference>
        </references>
      </pivotArea>
    </format>
    <format dxfId="888">
      <pivotArea dataOnly="0" labelOnly="1" grandRow="1" outline="0" fieldPosition="0"/>
    </format>
    <format dxfId="887">
      <pivotArea type="all" dataOnly="0" outline="0" fieldPosition="0"/>
    </format>
    <format dxfId="886">
      <pivotArea outline="0" collapsedLevelsAreSubtotals="1" fieldPosition="0"/>
    </format>
    <format dxfId="885">
      <pivotArea field="10" type="button" dataOnly="0" labelOnly="1" outline="0" axis="axisRow" fieldPosition="0"/>
    </format>
    <format dxfId="884">
      <pivotArea dataOnly="0" labelOnly="1" outline="0" axis="axisValues" fieldPosition="0"/>
    </format>
    <format dxfId="883">
      <pivotArea dataOnly="0" labelOnly="1" fieldPosition="0">
        <references count="1">
          <reference field="10" count="12">
            <x v="1"/>
            <x v="2"/>
            <x v="3"/>
            <x v="6"/>
            <x v="8"/>
            <x v="9"/>
            <x v="12"/>
            <x v="13"/>
            <x v="14"/>
            <x v="17"/>
            <x v="18"/>
            <x v="19"/>
          </reference>
        </references>
      </pivotArea>
    </format>
    <format dxfId="882">
      <pivotArea dataOnly="0" labelOnly="1" grandRow="1" outline="0" fieldPosition="0"/>
    </format>
    <format dxfId="869">
      <pivotArea type="all" dataOnly="0" outline="0" fieldPosition="0"/>
    </format>
    <format dxfId="868">
      <pivotArea outline="0" collapsedLevelsAreSubtotals="1" fieldPosition="0"/>
    </format>
    <format dxfId="867">
      <pivotArea field="10" type="button" dataOnly="0" labelOnly="1" outline="0" axis="axisRow" fieldPosition="0"/>
    </format>
    <format dxfId="866">
      <pivotArea dataOnly="0" labelOnly="1" outline="0" axis="axisValues" fieldPosition="0"/>
    </format>
    <format dxfId="865">
      <pivotArea dataOnly="0" labelOnly="1" fieldPosition="0">
        <references count="1">
          <reference field="10" count="12">
            <x v="1"/>
            <x v="2"/>
            <x v="3"/>
            <x v="6"/>
            <x v="8"/>
            <x v="9"/>
            <x v="12"/>
            <x v="13"/>
            <x v="14"/>
            <x v="17"/>
            <x v="18"/>
            <x v="19"/>
          </reference>
        </references>
      </pivotArea>
    </format>
    <format dxfId="864">
      <pivotArea dataOnly="0" labelOnly="1" grandRow="1" outline="0" fieldPosition="0"/>
    </format>
    <format dxfId="863">
      <pivotArea grandRow="1" outline="0" collapsedLevelsAreSubtotals="1" fieldPosition="0"/>
    </format>
    <format dxfId="862">
      <pivotArea dataOnly="0" labelOnly="1" grandRow="1" outline="0" fieldPosition="0"/>
    </format>
    <format dxfId="845">
      <pivotArea type="all" dataOnly="0" outline="0" fieldPosition="0"/>
    </format>
    <format dxfId="844">
      <pivotArea outline="0" collapsedLevelsAreSubtotals="1" fieldPosition="0"/>
    </format>
    <format dxfId="843">
      <pivotArea field="10" type="button" dataOnly="0" labelOnly="1" outline="0" axis="axisRow" fieldPosition="0"/>
    </format>
    <format dxfId="842">
      <pivotArea dataOnly="0" labelOnly="1" outline="0" axis="axisValues" fieldPosition="0"/>
    </format>
    <format dxfId="841">
      <pivotArea dataOnly="0" labelOnly="1" fieldPosition="0">
        <references count="1">
          <reference field="10" count="12">
            <x v="1"/>
            <x v="2"/>
            <x v="3"/>
            <x v="6"/>
            <x v="8"/>
            <x v="9"/>
            <x v="12"/>
            <x v="13"/>
            <x v="14"/>
            <x v="17"/>
            <x v="18"/>
            <x v="19"/>
          </reference>
        </references>
      </pivotArea>
    </format>
    <format dxfId="84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a dinámica3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Fuente F.">
  <location ref="B12:D25" firstHeaderRow="0" firstDataRow="1" firstDataCol="1" rowPageCount="1" colPageCount="1"/>
  <pivotFields count="21">
    <pivotField showAll="0"/>
    <pivotField showAll="0"/>
    <pivotField axis="axisRow" showAll="0">
      <items count="19">
        <item x="3"/>
        <item x="6"/>
        <item x="14"/>
        <item x="12"/>
        <item x="2"/>
        <item x="13"/>
        <item x="10"/>
        <item x="8"/>
        <item x="1"/>
        <item x="9"/>
        <item x="4"/>
        <item m="1" x="17"/>
        <item x="16"/>
        <item x="11"/>
        <item x="15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3">
        <item m="1" x="5"/>
        <item m="1" x="6"/>
        <item x="1"/>
        <item m="1" x="10"/>
        <item h="1" x="0"/>
        <item m="1" x="9"/>
        <item m="1" x="7"/>
        <item h="1" m="1" x="11"/>
        <item m="1" x="8"/>
        <item h="1" x="2"/>
        <item m="1" x="3"/>
        <item h="1" m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N° de Proyectos" fld="9" subtotal="count" baseField="0" baseItem="0"/>
    <dataField name="$Total FF" fld="14" baseField="2" baseItem="2" numFmtId="42"/>
  </dataFields>
  <formats count="34">
    <format dxfId="916">
      <pivotArea type="all" dataOnly="0" outline="0" fieldPosition="0"/>
    </format>
    <format dxfId="915">
      <pivotArea field="2" type="button" dataOnly="0" labelOnly="1" outline="0" axis="axisRow" fieldPosition="0"/>
    </format>
    <format dxfId="914">
      <pivotArea dataOnly="0" labelOnly="1" fieldPosition="0">
        <references count="1">
          <reference field="2" count="11">
            <x v="0"/>
            <x v="1"/>
            <x v="3"/>
            <x v="4"/>
            <x v="5"/>
            <x v="6"/>
            <x v="7"/>
            <x v="8"/>
            <x v="9"/>
            <x v="10"/>
            <x v="16"/>
          </reference>
        </references>
      </pivotArea>
    </format>
    <format dxfId="913">
      <pivotArea dataOnly="0" labelOnly="1" grandRow="1" outline="0" fieldPosition="0"/>
    </format>
    <format dxfId="912">
      <pivotArea outline="0" collapsedLevelsAreSubtotals="1" fieldPosition="0"/>
    </format>
    <format dxfId="9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08">
      <pivotArea type="all" dataOnly="0" outline="0" fieldPosition="0"/>
    </format>
    <format dxfId="907">
      <pivotArea outline="0" collapsedLevelsAreSubtotals="1" fieldPosition="0"/>
    </format>
    <format dxfId="906">
      <pivotArea field="2" type="button" dataOnly="0" labelOnly="1" outline="0" axis="axisRow" fieldPosition="0"/>
    </format>
    <format dxfId="905">
      <pivotArea dataOnly="0" labelOnly="1" fieldPosition="0">
        <references count="1">
          <reference field="2" count="11">
            <x v="0"/>
            <x v="1"/>
            <x v="3"/>
            <x v="4"/>
            <x v="5"/>
            <x v="6"/>
            <x v="7"/>
            <x v="8"/>
            <x v="9"/>
            <x v="10"/>
            <x v="16"/>
          </reference>
        </references>
      </pivotArea>
    </format>
    <format dxfId="904">
      <pivotArea dataOnly="0" labelOnly="1" grandRow="1" outline="0" fieldPosition="0"/>
    </format>
    <format dxfId="9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2">
      <pivotArea type="all" dataOnly="0" outline="0" fieldPosition="0"/>
    </format>
    <format dxfId="901">
      <pivotArea outline="0" collapsedLevelsAreSubtotals="1" fieldPosition="0"/>
    </format>
    <format dxfId="900">
      <pivotArea field="2" type="button" dataOnly="0" labelOnly="1" outline="0" axis="axisRow" fieldPosition="0"/>
    </format>
    <format dxfId="899">
      <pivotArea dataOnly="0" labelOnly="1" fieldPosition="0">
        <references count="1">
          <reference field="2" count="11">
            <x v="0"/>
            <x v="1"/>
            <x v="3"/>
            <x v="4"/>
            <x v="5"/>
            <x v="6"/>
            <x v="7"/>
            <x v="8"/>
            <x v="9"/>
            <x v="10"/>
            <x v="16"/>
          </reference>
        </references>
      </pivotArea>
    </format>
    <format dxfId="898">
      <pivotArea dataOnly="0" labelOnly="1" grandRow="1" outline="0" fieldPosition="0"/>
    </format>
    <format dxfId="8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1">
      <pivotArea type="all" dataOnly="0" outline="0" fieldPosition="0"/>
    </format>
    <format dxfId="880">
      <pivotArea outline="0" collapsedLevelsAreSubtotals="1" fieldPosition="0"/>
    </format>
    <format dxfId="879">
      <pivotArea field="2" type="button" dataOnly="0" labelOnly="1" outline="0" axis="axisRow" fieldPosition="0"/>
    </format>
    <format dxfId="878">
      <pivotArea dataOnly="0" labelOnly="1" fieldPosition="0">
        <references count="1">
          <reference field="2" count="12">
            <x v="0"/>
            <x v="1"/>
            <x v="3"/>
            <x v="4"/>
            <x v="5"/>
            <x v="6"/>
            <x v="7"/>
            <x v="8"/>
            <x v="9"/>
            <x v="10"/>
            <x v="16"/>
            <x v="17"/>
          </reference>
        </references>
      </pivotArea>
    </format>
    <format dxfId="877">
      <pivotArea dataOnly="0" labelOnly="1" grandRow="1" outline="0" fieldPosition="0"/>
    </format>
    <format dxfId="8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9">
      <pivotArea grandRow="1" outline="0" collapsedLevelsAreSubtotals="1" fieldPosition="0"/>
    </format>
    <format dxfId="858">
      <pivotArea dataOnly="0" labelOnly="1" grandRow="1" outline="0" fieldPosition="0"/>
    </format>
    <format dxfId="851">
      <pivotArea type="all" dataOnly="0" outline="0" fieldPosition="0"/>
    </format>
    <format dxfId="850">
      <pivotArea outline="0" collapsedLevelsAreSubtotals="1" fieldPosition="0"/>
    </format>
    <format dxfId="849">
      <pivotArea field="2" type="button" dataOnly="0" labelOnly="1" outline="0" axis="axisRow" fieldPosition="0"/>
    </format>
    <format dxfId="848">
      <pivotArea dataOnly="0" labelOnly="1" fieldPosition="0">
        <references count="1">
          <reference field="2" count="12">
            <x v="0"/>
            <x v="1"/>
            <x v="3"/>
            <x v="4"/>
            <x v="5"/>
            <x v="6"/>
            <x v="7"/>
            <x v="8"/>
            <x v="9"/>
            <x v="10"/>
            <x v="16"/>
            <x v="17"/>
          </reference>
        </references>
      </pivotArea>
    </format>
    <format dxfId="847">
      <pivotArea dataOnly="0" labelOnly="1" grandRow="1" outline="0" fieldPosition="0"/>
    </format>
    <format dxfId="8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a dinámica2" cacheId="7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Dependencia">
  <location ref="B4:D7" firstHeaderRow="0" firstDataRow="1" firstDataCol="1" rowPageCount="1" colPageCount="1"/>
  <pivotFields count="21"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3">
        <item m="1" x="5"/>
        <item m="1" x="6"/>
        <item x="1"/>
        <item m="1" x="10"/>
        <item m="1" x="9"/>
        <item m="1" x="7"/>
        <item h="1" m="1" x="11"/>
        <item m="1" x="8"/>
        <item h="1" x="2"/>
        <item m="1" x="3"/>
        <item h="1" x="0"/>
        <item h="1" m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N° Proyectos" fld="9" subtotal="count" baseField="0" baseItem="0"/>
    <dataField name="$ Total FF" fld="14" baseField="0" baseItem="0" numFmtId="42"/>
  </dataFields>
  <formats count="32">
    <format dxfId="9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32">
      <pivotArea type="all" dataOnly="0" outline="0" fieldPosition="0"/>
    </format>
    <format dxfId="931">
      <pivotArea outline="0" collapsedLevelsAreSubtotals="1" fieldPosition="0"/>
    </format>
    <format dxfId="930">
      <pivotArea field="0" type="button" dataOnly="0" labelOnly="1" outline="0" axis="axisRow" fieldPosition="0"/>
    </format>
    <format dxfId="929">
      <pivotArea dataOnly="0" labelOnly="1" fieldPosition="0">
        <references count="1">
          <reference field="0" count="0"/>
        </references>
      </pivotArea>
    </format>
    <format dxfId="928">
      <pivotArea dataOnly="0" labelOnly="1" grandRow="1" outline="0" fieldPosition="0"/>
    </format>
    <format dxfId="9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6">
      <pivotArea type="all" dataOnly="0" outline="0" fieldPosition="0"/>
    </format>
    <format dxfId="925">
      <pivotArea outline="0" collapsedLevelsAreSubtotals="1" fieldPosition="0"/>
    </format>
    <format dxfId="924">
      <pivotArea field="0" type="button" dataOnly="0" labelOnly="1" outline="0" axis="axisRow" fieldPosition="0"/>
    </format>
    <format dxfId="923">
      <pivotArea dataOnly="0" labelOnly="1" fieldPosition="0">
        <references count="1">
          <reference field="0" count="0"/>
        </references>
      </pivotArea>
    </format>
    <format dxfId="922">
      <pivotArea dataOnly="0" labelOnly="1" grandRow="1" outline="0" fieldPosition="0"/>
    </format>
    <format dxfId="9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0">
      <pivotArea dataOnly="0" labelOnly="1" grandRow="1" outline="0" fieldPosition="0"/>
    </format>
    <format dxfId="919">
      <pivotArea outline="0" collapsedLevelsAreSubtotals="1" fieldPosition="0"/>
    </format>
    <format dxfId="9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7">
      <pivotArea field="0" type="button" dataOnly="0" labelOnly="1" outline="0" axis="axisRow" fieldPosition="0"/>
    </format>
    <format dxfId="896">
      <pivotArea dataOnly="0" labelOnly="1" fieldPosition="0">
        <references count="1">
          <reference field="0" count="0"/>
        </references>
      </pivotArea>
    </format>
    <format dxfId="875">
      <pivotArea type="all" dataOnly="0" outline="0" fieldPosition="0"/>
    </format>
    <format dxfId="874">
      <pivotArea outline="0" collapsedLevelsAreSubtotals="1" fieldPosition="0"/>
    </format>
    <format dxfId="873">
      <pivotArea field="0" type="button" dataOnly="0" labelOnly="1" outline="0" axis="axisRow" fieldPosition="0"/>
    </format>
    <format dxfId="872">
      <pivotArea dataOnly="0" labelOnly="1" fieldPosition="0">
        <references count="1">
          <reference field="0" count="0"/>
        </references>
      </pivotArea>
    </format>
    <format dxfId="871">
      <pivotArea dataOnly="0" labelOnly="1" grandRow="1" outline="0" fieldPosition="0"/>
    </format>
    <format dxfId="8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61">
      <pivotArea grandRow="1" outline="0" collapsedLevelsAreSubtotals="1" fieldPosition="0"/>
    </format>
    <format dxfId="860">
      <pivotArea dataOnly="0" labelOnly="1" grandRow="1" outline="0" fieldPosition="0"/>
    </format>
    <format dxfId="857">
      <pivotArea type="all" dataOnly="0" outline="0" fieldPosition="0"/>
    </format>
    <format dxfId="856">
      <pivotArea outline="0" collapsedLevelsAreSubtotals="1" fieldPosition="0"/>
    </format>
    <format dxfId="855">
      <pivotArea field="0" type="button" dataOnly="0" labelOnly="1" outline="0" axis="axisRow" fieldPosition="0"/>
    </format>
    <format dxfId="854">
      <pivotArea dataOnly="0" labelOnly="1" fieldPosition="0">
        <references count="1">
          <reference field="0" count="0"/>
        </references>
      </pivotArea>
    </format>
    <format dxfId="853">
      <pivotArea dataOnly="0" labelOnly="1" grandRow="1" outline="0" fieldPosition="0"/>
    </format>
    <format dxfId="8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ependencia" sourceName="Dependencia">
  <pivotTables>
    <pivotTable tabId="2" name="Tabla dinámica23"/>
    <pivotTable tabId="2" name="Tabla dinámica24"/>
    <pivotTable tabId="2" name="Tabla dinámica25"/>
    <pivotTable tabId="2" name="Tabla dinámica26"/>
    <pivotTable tabId="2" name="Tabla dinámica27"/>
    <pivotTable tabId="2" name="Tabla dinámica28"/>
    <pivotTable tabId="2" name="Tabla dinámica29"/>
    <pivotTable tabId="2" name="Tabla dinámica30"/>
  </pivotTables>
  <data>
    <tabular pivotCacheId="1">
      <items count="3">
        <i x="0" s="1"/>
        <i x="1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Nombre_FF" sourceName="Nombre FF">
  <pivotTables>
    <pivotTable tabId="2" name="Tabla dinámica23"/>
    <pivotTable tabId="2" name="Tabla dinámica24"/>
    <pivotTable tabId="2" name="Tabla dinámica25"/>
    <pivotTable tabId="2" name="Tabla dinámica26"/>
    <pivotTable tabId="2" name="Tabla dinámica27"/>
    <pivotTable tabId="2" name="Tabla dinámica28"/>
    <pivotTable tabId="2" name="Tabla dinámica29"/>
    <pivotTable tabId="2" name="Tabla dinámica30"/>
  </pivotTables>
  <data>
    <tabular pivotCacheId="1">
      <items count="18">
        <i x="3" s="1"/>
        <i x="6" s="1"/>
        <i x="14" s="1"/>
        <i x="12" s="1"/>
        <i x="2" s="1"/>
        <i x="13" s="1"/>
        <i x="10" s="1"/>
        <i x="8" s="1"/>
        <i x="1" s="1"/>
        <i x="9" s="1"/>
        <i x="4" s="1"/>
        <i x="16" s="1"/>
        <i x="11" s="1"/>
        <i x="15" s="1"/>
        <i x="0" s="1"/>
        <i x="5" s="1"/>
        <i x="7" s="1"/>
        <i x="17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Jefe_Proyecto" sourceName="Jefe Proyecto">
  <pivotTables>
    <pivotTable tabId="2" name="Tabla dinámica23"/>
    <pivotTable tabId="2" name="Tabla dinámica24"/>
    <pivotTable tabId="2" name="Tabla dinámica25"/>
    <pivotTable tabId="2" name="Tabla dinámica26"/>
    <pivotTable tabId="2" name="Tabla dinámica27"/>
    <pivotTable tabId="2" name="Tabla dinámica28"/>
    <pivotTable tabId="2" name="Tabla dinámica29"/>
    <pivotTable tabId="2" name="Tabla dinámica30"/>
  </pivotTables>
  <data>
    <tabular pivotCacheId="1">
      <items count="22">
        <i x="18" s="1"/>
        <i x="2" s="1"/>
        <i x="15" s="1"/>
        <i x="7" s="1"/>
        <i x="17" s="1"/>
        <i x="8" s="1"/>
        <i x="4" s="1"/>
        <i x="16" s="1"/>
        <i x="9" s="1"/>
        <i x="1" s="1"/>
        <i x="10" s="1"/>
        <i x="14" s="1"/>
        <i x="11" s="1"/>
        <i x="3" s="1"/>
        <i x="6" s="1"/>
        <i x="19" s="1"/>
        <i x="12" s="1"/>
        <i x="5" s="1"/>
        <i x="13" s="1"/>
        <i x="0" s="1"/>
        <i x="21" s="1" nd="1"/>
        <i x="20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Estado_Proyecto" sourceName="Estado Proyecto">
  <pivotTables>
    <pivotTable tabId="2" name="Tabla dinámica23"/>
    <pivotTable tabId="2" name="Tabla dinámica24"/>
    <pivotTable tabId="2" name="Tabla dinámica25"/>
    <pivotTable tabId="2" name="Tabla dinámica26"/>
    <pivotTable tabId="2" name="Tabla dinámica27"/>
    <pivotTable tabId="2" name="Tabla dinámica28"/>
    <pivotTable tabId="2" name="Tabla dinámica29"/>
    <pivotTable tabId="2" name="Tabla dinámica30"/>
  </pivotTables>
  <data>
    <tabular pivotCacheId="1">
      <items count="12">
        <i x="1" s="1"/>
        <i x="0" s="1"/>
        <i x="2" s="1"/>
        <i x="5" s="1" nd="1"/>
        <i x="6" s="1" nd="1"/>
        <i x="4" s="1" nd="1"/>
        <i x="10" s="1" nd="1"/>
        <i x="9" s="1" nd="1"/>
        <i x="7" s="1" nd="1"/>
        <i x="11" s="1" nd="1"/>
        <i x="8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endencia" cache="SegmentaciónDeDatos_Dependencia" caption="Dependencia" rowHeight="241300"/>
  <slicer name="Nombre FF" cache="SegmentaciónDeDatos_Nombre_FF" caption="Nombre FF" columnCount="5" rowHeight="241300"/>
  <slicer name="Jefe Proyecto" cache="SegmentaciónDeDatos_Jefe_Proyecto" caption="Jefe Proyecto" columnCount="6" rowHeight="241300"/>
  <slicer name="Estado Proyecto" cache="SegmentaciónDeDatos_Estado_Proyecto" caption="Estado Proyecto" startItem="4" columnCount="4" rowHeight="241300"/>
</slicers>
</file>

<file path=xl/tables/table1.xml><?xml version="1.0" encoding="utf-8"?>
<table xmlns="http://schemas.openxmlformats.org/spreadsheetml/2006/main" id="1" name="ALLPYCRI23Y21" displayName="ALLPYCRI23Y21" ref="B2:V63" totalsRowShown="0" headerRowDxfId="22" dataDxfId="21" headerRowBorderDxfId="24" tableBorderDxfId="25" totalsRowBorderDxfId="23" headerRowCellStyle="Moneda [0]">
  <autoFilter ref="B2:V63"/>
  <sortState ref="B4:V60">
    <sortCondition descending="1" ref="C1:C62"/>
  </sortState>
  <tableColumns count="21">
    <tableColumn id="1" name="Dependencia" dataDxfId="10"/>
    <tableColumn id="2" name="Código" dataDxfId="9"/>
    <tableColumn id="3" name="Nombre FF" dataDxfId="8"/>
    <tableColumn id="4" name="FF" dataDxfId="7"/>
    <tableColumn id="5" name="Otras FF" dataDxfId="6"/>
    <tableColumn id="6" name="Estado Código" dataDxfId="5"/>
    <tableColumn id="7" name="Estado Formulario" dataDxfId="4"/>
    <tableColumn id="8" name="Estado Acta Inicio" dataDxfId="3"/>
    <tableColumn id="9" name="Estado Contrato" dataDxfId="2"/>
    <tableColumn id="10" name="Título Proyecto" dataDxfId="1"/>
    <tableColumn id="11" name="Jefe Proyecto" dataDxfId="0"/>
    <tableColumn id="12" name="Estado Proyecto" dataDxfId="20"/>
    <tableColumn id="13" name="Desde" dataDxfId="19"/>
    <tableColumn id="14" name="Hasta" dataDxfId="18"/>
    <tableColumn id="15" name="MONTO FF" dataDxfId="17" dataCellStyle="Moneda [0]"/>
    <tableColumn id="16" name="PECUNIO ASOCIADO" dataDxfId="16" dataCellStyle="Moneda [0]"/>
    <tableColumn id="17" name="NO PECUNIO ASOCIADO" dataDxfId="15" dataCellStyle="Moneda [0]"/>
    <tableColumn id="18" name="PECUNIO INIA" dataDxfId="14" dataCellStyle="Moneda [0]"/>
    <tableColumn id="19" name="NO PECUNIO INIA" dataDxfId="13" dataCellStyle="Moneda [0]"/>
    <tableColumn id="20" name="TOTAL PROYECTO" dataDxfId="12" dataCellStyle="Moneda [0]">
      <calculatedColumnFormula>+SUM(ALLPYCRI23Y21[[#This Row],[MONTO FF]:[NO PECUNIO INIA]])</calculatedColumnFormula>
    </tableColumn>
    <tableColumn id="21" name="Código Externo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81"/>
  <sheetViews>
    <sheetView showGridLines="0" showOutlineSymbols="0" showWhiteSpace="0" zoomScale="80" zoomScaleNormal="80" workbookViewId="0">
      <selection activeCell="A6" sqref="A6"/>
    </sheetView>
  </sheetViews>
  <sheetFormatPr baseColWidth="10" defaultColWidth="9" defaultRowHeight="15" x14ac:dyDescent="0.25"/>
  <cols>
    <col min="1" max="1" width="20.875" style="28" customWidth="1"/>
    <col min="2" max="2" width="23" style="63" bestFit="1" customWidth="1"/>
    <col min="3" max="3" width="11.25" style="63" bestFit="1" customWidth="1"/>
    <col min="4" max="4" width="32.125" style="63" customWidth="1"/>
    <col min="5" max="5" width="14.5" style="63" customWidth="1"/>
    <col min="6" max="6" width="11.25" style="63" customWidth="1"/>
    <col min="7" max="7" width="16.25" style="63" customWidth="1"/>
    <col min="8" max="8" width="19.625" style="63" customWidth="1"/>
    <col min="9" max="9" width="19.375" style="63" customWidth="1"/>
    <col min="10" max="10" width="20.125" style="63" customWidth="1"/>
    <col min="11" max="11" width="154.25" style="63" customWidth="1"/>
    <col min="12" max="12" width="43" style="63" customWidth="1"/>
    <col min="13" max="13" width="17.375" style="65" bestFit="1" customWidth="1"/>
    <col min="14" max="15" width="11.125" style="65" bestFit="1" customWidth="1"/>
    <col min="16" max="16" width="15.375" style="66" bestFit="1" customWidth="1"/>
    <col min="17" max="17" width="24.375" style="66" bestFit="1" customWidth="1"/>
    <col min="18" max="18" width="27.875" style="66" bestFit="1" customWidth="1"/>
    <col min="19" max="19" width="18" style="66" bestFit="1" customWidth="1"/>
    <col min="20" max="20" width="21.5" style="66" bestFit="1" customWidth="1"/>
    <col min="21" max="21" width="23" style="66" bestFit="1" customWidth="1"/>
    <col min="22" max="22" width="17.375" style="65" bestFit="1" customWidth="1"/>
    <col min="23" max="16384" width="9" style="28"/>
  </cols>
  <sheetData>
    <row r="1" spans="2:23" x14ac:dyDescent="0.25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2:23" x14ac:dyDescent="0.25">
      <c r="B2" s="67" t="s">
        <v>0</v>
      </c>
      <c r="C2" s="31" t="s">
        <v>1</v>
      </c>
      <c r="D2" s="31" t="s">
        <v>196</v>
      </c>
      <c r="E2" s="31" t="s">
        <v>2</v>
      </c>
      <c r="F2" s="31" t="s">
        <v>3</v>
      </c>
      <c r="G2" s="31" t="s">
        <v>4</v>
      </c>
      <c r="H2" s="31" t="s">
        <v>5</v>
      </c>
      <c r="I2" s="31" t="s">
        <v>6</v>
      </c>
      <c r="J2" s="31" t="s">
        <v>7</v>
      </c>
      <c r="K2" s="31" t="s">
        <v>8</v>
      </c>
      <c r="L2" s="31" t="s">
        <v>9</v>
      </c>
      <c r="M2" s="31" t="s">
        <v>10</v>
      </c>
      <c r="N2" s="31" t="s">
        <v>11</v>
      </c>
      <c r="O2" s="31" t="s">
        <v>12</v>
      </c>
      <c r="P2" s="32" t="s">
        <v>197</v>
      </c>
      <c r="Q2" s="33" t="s">
        <v>198</v>
      </c>
      <c r="R2" s="33" t="s">
        <v>199</v>
      </c>
      <c r="S2" s="33" t="s">
        <v>200</v>
      </c>
      <c r="T2" s="33" t="s">
        <v>201</v>
      </c>
      <c r="U2" s="33" t="s">
        <v>202</v>
      </c>
      <c r="V2" s="34" t="s">
        <v>13</v>
      </c>
      <c r="W2" s="27"/>
    </row>
    <row r="3" spans="2:23" ht="45" x14ac:dyDescent="0.25">
      <c r="B3" s="68" t="s">
        <v>14</v>
      </c>
      <c r="C3" s="35" t="s">
        <v>229</v>
      </c>
      <c r="D3" s="36" t="s">
        <v>229</v>
      </c>
      <c r="E3" s="35" t="s">
        <v>229</v>
      </c>
      <c r="F3" s="35" t="s">
        <v>229</v>
      </c>
      <c r="G3" s="35" t="s">
        <v>229</v>
      </c>
      <c r="H3" s="35" t="s">
        <v>229</v>
      </c>
      <c r="I3" s="35" t="s">
        <v>229</v>
      </c>
      <c r="J3" s="35" t="s">
        <v>239</v>
      </c>
      <c r="K3" s="35" t="s">
        <v>230</v>
      </c>
      <c r="L3" s="35" t="s">
        <v>231</v>
      </c>
      <c r="M3" s="35" t="s">
        <v>239</v>
      </c>
      <c r="N3" s="35" t="s">
        <v>229</v>
      </c>
      <c r="O3" s="35" t="s">
        <v>229</v>
      </c>
      <c r="P3" s="36" t="s">
        <v>229</v>
      </c>
      <c r="Q3" s="36" t="s">
        <v>229</v>
      </c>
      <c r="R3" s="36" t="s">
        <v>229</v>
      </c>
      <c r="S3" s="36" t="s">
        <v>229</v>
      </c>
      <c r="T3" s="36" t="s">
        <v>229</v>
      </c>
      <c r="U3" s="36" t="s">
        <v>229</v>
      </c>
      <c r="V3" s="37" t="s">
        <v>229</v>
      </c>
      <c r="W3" s="27"/>
    </row>
    <row r="4" spans="2:23" s="30" customFormat="1" ht="45" x14ac:dyDescent="0.25">
      <c r="B4" s="68" t="s">
        <v>100</v>
      </c>
      <c r="C4" s="35" t="s">
        <v>229</v>
      </c>
      <c r="D4" s="36" t="s">
        <v>229</v>
      </c>
      <c r="E4" s="35" t="s">
        <v>229</v>
      </c>
      <c r="F4" s="35" t="s">
        <v>229</v>
      </c>
      <c r="G4" s="35" t="s">
        <v>229</v>
      </c>
      <c r="H4" s="35" t="s">
        <v>229</v>
      </c>
      <c r="I4" s="35" t="s">
        <v>229</v>
      </c>
      <c r="J4" s="35" t="s">
        <v>239</v>
      </c>
      <c r="K4" s="35" t="s">
        <v>230</v>
      </c>
      <c r="L4" s="35" t="s">
        <v>89</v>
      </c>
      <c r="M4" s="38" t="s">
        <v>239</v>
      </c>
      <c r="N4" s="38" t="s">
        <v>229</v>
      </c>
      <c r="O4" s="38" t="s">
        <v>229</v>
      </c>
      <c r="P4" s="39" t="s">
        <v>229</v>
      </c>
      <c r="Q4" s="39" t="s">
        <v>229</v>
      </c>
      <c r="R4" s="39" t="s">
        <v>229</v>
      </c>
      <c r="S4" s="39" t="s">
        <v>229</v>
      </c>
      <c r="T4" s="39" t="s">
        <v>229</v>
      </c>
      <c r="U4" s="39" t="s">
        <v>229</v>
      </c>
      <c r="V4" s="40" t="s">
        <v>229</v>
      </c>
      <c r="W4" s="29"/>
    </row>
    <row r="5" spans="2:23" s="30" customFormat="1" ht="30" x14ac:dyDescent="0.25">
      <c r="B5" s="68" t="s">
        <v>100</v>
      </c>
      <c r="C5" s="35">
        <v>503979</v>
      </c>
      <c r="D5" s="36" t="s">
        <v>211</v>
      </c>
      <c r="E5" s="35">
        <v>19</v>
      </c>
      <c r="F5" s="35">
        <v>70</v>
      </c>
      <c r="G5" s="35" t="s">
        <v>15</v>
      </c>
      <c r="H5" s="35" t="s">
        <v>16</v>
      </c>
      <c r="I5" s="35" t="s">
        <v>35</v>
      </c>
      <c r="J5" s="35" t="s">
        <v>36</v>
      </c>
      <c r="K5" s="35" t="s">
        <v>193</v>
      </c>
      <c r="L5" s="35" t="s">
        <v>18</v>
      </c>
      <c r="M5" s="38" t="s">
        <v>30</v>
      </c>
      <c r="N5" s="38" t="s">
        <v>194</v>
      </c>
      <c r="O5" s="38" t="s">
        <v>195</v>
      </c>
      <c r="P5" s="41">
        <v>5860000</v>
      </c>
      <c r="Q5" s="41">
        <v>0</v>
      </c>
      <c r="R5" s="41">
        <v>0</v>
      </c>
      <c r="S5" s="41">
        <v>0</v>
      </c>
      <c r="T5" s="41"/>
      <c r="U5" s="41">
        <f>+SUM(ALLPYCRI23Y21[[#This Row],[MONTO FF]:[NO PECUNIO INIA]])</f>
        <v>5860000</v>
      </c>
      <c r="V5" s="40" t="s">
        <v>99</v>
      </c>
      <c r="W5" s="29"/>
    </row>
    <row r="6" spans="2:23" s="30" customFormat="1" ht="30" x14ac:dyDescent="0.25">
      <c r="B6" s="68" t="s">
        <v>100</v>
      </c>
      <c r="C6" s="35">
        <v>503937</v>
      </c>
      <c r="D6" s="36" t="s">
        <v>214</v>
      </c>
      <c r="E6" s="35">
        <v>10</v>
      </c>
      <c r="F6" s="35">
        <v>70</v>
      </c>
      <c r="G6" s="35" t="s">
        <v>15</v>
      </c>
      <c r="H6" s="35"/>
      <c r="I6" s="35" t="s">
        <v>35</v>
      </c>
      <c r="J6" s="35" t="s">
        <v>36</v>
      </c>
      <c r="K6" s="35" t="s">
        <v>186</v>
      </c>
      <c r="L6" s="35" t="s">
        <v>67</v>
      </c>
      <c r="M6" s="38" t="s">
        <v>19</v>
      </c>
      <c r="N6" s="38" t="s">
        <v>187</v>
      </c>
      <c r="O6" s="38" t="s">
        <v>188</v>
      </c>
      <c r="P6" s="41"/>
      <c r="Q6" s="41">
        <v>0</v>
      </c>
      <c r="R6" s="41">
        <v>0</v>
      </c>
      <c r="S6" s="41">
        <v>0</v>
      </c>
      <c r="T6" s="42">
        <v>1174574</v>
      </c>
      <c r="U6" s="41">
        <f>+SUM(ALLPYCRI23Y21[[#This Row],[MONTO FF]:[NO PECUNIO INIA]])</f>
        <v>1174574</v>
      </c>
      <c r="V6" s="40" t="s">
        <v>189</v>
      </c>
      <c r="W6" s="29"/>
    </row>
    <row r="7" spans="2:23" x14ac:dyDescent="0.25">
      <c r="B7" s="68" t="s">
        <v>14</v>
      </c>
      <c r="C7" s="35">
        <v>504036</v>
      </c>
      <c r="D7" s="36" t="s">
        <v>228</v>
      </c>
      <c r="E7" s="35">
        <v>38</v>
      </c>
      <c r="F7" s="35">
        <v>70</v>
      </c>
      <c r="G7" s="35" t="s">
        <v>232</v>
      </c>
      <c r="H7" s="35" t="s">
        <v>16</v>
      </c>
      <c r="I7" s="35" t="s">
        <v>233</v>
      </c>
      <c r="J7" s="35" t="s">
        <v>16</v>
      </c>
      <c r="K7" s="35" t="s">
        <v>234</v>
      </c>
      <c r="L7" s="35" t="s">
        <v>67</v>
      </c>
      <c r="M7" s="35" t="s">
        <v>30</v>
      </c>
      <c r="N7" s="43">
        <v>46023</v>
      </c>
      <c r="O7" s="43">
        <v>46388</v>
      </c>
      <c r="P7" s="44">
        <v>66000000</v>
      </c>
      <c r="Q7" s="44">
        <v>0</v>
      </c>
      <c r="R7" s="44">
        <v>6000000</v>
      </c>
      <c r="S7" s="44">
        <v>0</v>
      </c>
      <c r="T7" s="44">
        <v>17500000</v>
      </c>
      <c r="U7" s="44">
        <f>+SUM(ALLPYCRI23Y21[[#This Row],[MONTO FF]:[NO PECUNIO INIA]])</f>
        <v>89500000</v>
      </c>
      <c r="V7" s="37"/>
      <c r="W7" s="27"/>
    </row>
    <row r="8" spans="2:23" ht="30" x14ac:dyDescent="0.25">
      <c r="B8" s="69" t="s">
        <v>14</v>
      </c>
      <c r="C8" s="35">
        <v>504010</v>
      </c>
      <c r="D8" s="36" t="s">
        <v>214</v>
      </c>
      <c r="E8" s="35">
        <v>10</v>
      </c>
      <c r="F8" s="35"/>
      <c r="G8" s="35" t="s">
        <v>15</v>
      </c>
      <c r="H8" s="35" t="s">
        <v>16</v>
      </c>
      <c r="I8" s="35" t="s">
        <v>35</v>
      </c>
      <c r="J8" s="35" t="s">
        <v>36</v>
      </c>
      <c r="K8" s="35" t="s">
        <v>226</v>
      </c>
      <c r="L8" s="35" t="s">
        <v>89</v>
      </c>
      <c r="M8" s="35" t="s">
        <v>30</v>
      </c>
      <c r="N8" s="43">
        <v>45992</v>
      </c>
      <c r="O8" s="43">
        <v>46171</v>
      </c>
      <c r="P8" s="44">
        <v>10000000</v>
      </c>
      <c r="Q8" s="44"/>
      <c r="R8" s="45">
        <v>1500000</v>
      </c>
      <c r="S8" s="44">
        <v>150000</v>
      </c>
      <c r="T8" s="45">
        <v>8080922</v>
      </c>
      <c r="U8" s="44">
        <f>+SUM(ALLPYCRI23Y21[[#This Row],[MONTO FF]:[NO PECUNIO INIA]])</f>
        <v>19730922</v>
      </c>
      <c r="V8" s="37" t="s">
        <v>227</v>
      </c>
      <c r="W8" s="27"/>
    </row>
    <row r="9" spans="2:23" ht="30" x14ac:dyDescent="0.25">
      <c r="B9" s="68" t="s">
        <v>14</v>
      </c>
      <c r="C9" s="35">
        <v>503860</v>
      </c>
      <c r="D9" s="36" t="s">
        <v>203</v>
      </c>
      <c r="E9" s="35">
        <v>71</v>
      </c>
      <c r="F9" s="35">
        <v>70</v>
      </c>
      <c r="G9" s="35" t="s">
        <v>15</v>
      </c>
      <c r="H9" s="35" t="s">
        <v>16</v>
      </c>
      <c r="I9" s="35"/>
      <c r="J9" s="35" t="s">
        <v>36</v>
      </c>
      <c r="K9" s="35" t="s">
        <v>86</v>
      </c>
      <c r="L9" s="35" t="s">
        <v>87</v>
      </c>
      <c r="M9" s="35" t="s">
        <v>30</v>
      </c>
      <c r="N9" s="35" t="s">
        <v>82</v>
      </c>
      <c r="O9" s="35" t="s">
        <v>31</v>
      </c>
      <c r="P9" s="44">
        <v>80252005</v>
      </c>
      <c r="Q9" s="44">
        <v>0</v>
      </c>
      <c r="R9" s="44">
        <v>0</v>
      </c>
      <c r="S9" s="44">
        <v>0</v>
      </c>
      <c r="T9" s="44">
        <v>0</v>
      </c>
      <c r="U9" s="44">
        <f>+SUM(ALLPYCRI23Y21[[#This Row],[MONTO FF]:[NO PECUNIO INIA]])</f>
        <v>80252005</v>
      </c>
      <c r="V9" s="37" t="s">
        <v>99</v>
      </c>
      <c r="W9" s="27"/>
    </row>
    <row r="10" spans="2:23" x14ac:dyDescent="0.25">
      <c r="B10" s="68" t="s">
        <v>14</v>
      </c>
      <c r="C10" s="35">
        <v>503858</v>
      </c>
      <c r="D10" s="36" t="s">
        <v>204</v>
      </c>
      <c r="E10" s="35">
        <v>70</v>
      </c>
      <c r="F10" s="35" t="s">
        <v>99</v>
      </c>
      <c r="G10" s="35" t="s">
        <v>15</v>
      </c>
      <c r="H10" s="35" t="s">
        <v>16</v>
      </c>
      <c r="I10" s="35"/>
      <c r="J10" s="35"/>
      <c r="K10" s="35" t="s">
        <v>84</v>
      </c>
      <c r="L10" s="35" t="s">
        <v>81</v>
      </c>
      <c r="M10" s="35" t="s">
        <v>30</v>
      </c>
      <c r="N10" s="35" t="s">
        <v>85</v>
      </c>
      <c r="O10" s="35" t="s">
        <v>31</v>
      </c>
      <c r="P10" s="44">
        <v>1500000</v>
      </c>
      <c r="Q10" s="44">
        <v>0</v>
      </c>
      <c r="R10" s="44">
        <v>0</v>
      </c>
      <c r="S10" s="44">
        <v>0</v>
      </c>
      <c r="T10" s="44">
        <v>0</v>
      </c>
      <c r="U10" s="44">
        <f>+SUM(ALLPYCRI23Y21[[#This Row],[MONTO FF]:[NO PECUNIO INIA]])</f>
        <v>1500000</v>
      </c>
      <c r="V10" s="37" t="s">
        <v>99</v>
      </c>
      <c r="W10" s="27"/>
    </row>
    <row r="11" spans="2:23" ht="16.5" customHeight="1" x14ac:dyDescent="0.25">
      <c r="B11" s="68" t="s">
        <v>14</v>
      </c>
      <c r="C11" s="36">
        <v>503845</v>
      </c>
      <c r="D11" s="36" t="s">
        <v>204</v>
      </c>
      <c r="E11" s="36">
        <v>70</v>
      </c>
      <c r="F11" s="36" t="s">
        <v>99</v>
      </c>
      <c r="G11" s="36" t="s">
        <v>15</v>
      </c>
      <c r="H11" s="36" t="s">
        <v>16</v>
      </c>
      <c r="I11" s="36"/>
      <c r="J11" s="36"/>
      <c r="K11" s="36" t="s">
        <v>90</v>
      </c>
      <c r="L11" s="36" t="s">
        <v>89</v>
      </c>
      <c r="M11" s="36" t="s">
        <v>30</v>
      </c>
      <c r="N11" s="36" t="s">
        <v>85</v>
      </c>
      <c r="O11" s="36" t="s">
        <v>91</v>
      </c>
      <c r="P11" s="44">
        <v>1017295</v>
      </c>
      <c r="Q11" s="44">
        <v>0</v>
      </c>
      <c r="R11" s="44">
        <v>0</v>
      </c>
      <c r="S11" s="44">
        <v>0</v>
      </c>
      <c r="T11" s="44">
        <v>0</v>
      </c>
      <c r="U11" s="44">
        <f>+SUM(ALLPYCRI23Y21[[#This Row],[MONTO FF]:[NO PECUNIO INIA]])</f>
        <v>1017295</v>
      </c>
      <c r="V11" s="37" t="s">
        <v>99</v>
      </c>
      <c r="W11" s="27"/>
    </row>
    <row r="12" spans="2:23" ht="15.75" customHeight="1" x14ac:dyDescent="0.25">
      <c r="B12" s="68" t="s">
        <v>14</v>
      </c>
      <c r="C12" s="36">
        <v>503842</v>
      </c>
      <c r="D12" s="36" t="s">
        <v>204</v>
      </c>
      <c r="E12" s="36">
        <v>70</v>
      </c>
      <c r="F12" s="36" t="s">
        <v>99</v>
      </c>
      <c r="G12" s="36" t="s">
        <v>15</v>
      </c>
      <c r="H12" s="36" t="s">
        <v>16</v>
      </c>
      <c r="I12" s="36"/>
      <c r="J12" s="36"/>
      <c r="K12" s="36" t="s">
        <v>83</v>
      </c>
      <c r="L12" s="36" t="s">
        <v>81</v>
      </c>
      <c r="M12" s="36" t="s">
        <v>30</v>
      </c>
      <c r="N12" s="36" t="s">
        <v>82</v>
      </c>
      <c r="O12" s="36" t="s">
        <v>31</v>
      </c>
      <c r="P12" s="44">
        <v>1500000</v>
      </c>
      <c r="Q12" s="44">
        <v>0</v>
      </c>
      <c r="R12" s="44">
        <v>0</v>
      </c>
      <c r="S12" s="44">
        <v>0</v>
      </c>
      <c r="T12" s="44">
        <v>0</v>
      </c>
      <c r="U12" s="44">
        <f>+SUM(ALLPYCRI23Y21[[#This Row],[MONTO FF]:[NO PECUNIO INIA]])</f>
        <v>1500000</v>
      </c>
      <c r="V12" s="37" t="s">
        <v>99</v>
      </c>
      <c r="W12" s="27"/>
    </row>
    <row r="13" spans="2:23" x14ac:dyDescent="0.25">
      <c r="B13" s="68" t="s">
        <v>14</v>
      </c>
      <c r="C13" s="36">
        <v>503841</v>
      </c>
      <c r="D13" s="36" t="s">
        <v>204</v>
      </c>
      <c r="E13" s="36">
        <v>70</v>
      </c>
      <c r="F13" s="36" t="s">
        <v>99</v>
      </c>
      <c r="G13" s="36" t="s">
        <v>15</v>
      </c>
      <c r="H13" s="36" t="s">
        <v>16</v>
      </c>
      <c r="I13" s="36"/>
      <c r="J13" s="36"/>
      <c r="K13" s="36" t="s">
        <v>80</v>
      </c>
      <c r="L13" s="36" t="s">
        <v>81</v>
      </c>
      <c r="M13" s="36" t="s">
        <v>30</v>
      </c>
      <c r="N13" s="36" t="s">
        <v>82</v>
      </c>
      <c r="O13" s="36" t="s">
        <v>31</v>
      </c>
      <c r="P13" s="44">
        <v>1767000</v>
      </c>
      <c r="Q13" s="44">
        <v>0</v>
      </c>
      <c r="R13" s="44">
        <v>0</v>
      </c>
      <c r="S13" s="44">
        <v>0</v>
      </c>
      <c r="T13" s="44">
        <v>0</v>
      </c>
      <c r="U13" s="44">
        <f>+SUM(ALLPYCRI23Y21[[#This Row],[MONTO FF]:[NO PECUNIO INIA]])</f>
        <v>1767000</v>
      </c>
      <c r="V13" s="37" t="s">
        <v>99</v>
      </c>
      <c r="W13" s="27"/>
    </row>
    <row r="14" spans="2:23" s="30" customFormat="1" x14ac:dyDescent="0.25">
      <c r="B14" s="68" t="s">
        <v>100</v>
      </c>
      <c r="C14" s="36">
        <v>503908</v>
      </c>
      <c r="D14" s="36" t="s">
        <v>204</v>
      </c>
      <c r="E14" s="36">
        <v>70</v>
      </c>
      <c r="F14" s="36" t="s">
        <v>99</v>
      </c>
      <c r="G14" s="36" t="s">
        <v>15</v>
      </c>
      <c r="H14" s="36" t="s">
        <v>16</v>
      </c>
      <c r="I14" s="36"/>
      <c r="J14" s="36"/>
      <c r="K14" s="36" t="s">
        <v>190</v>
      </c>
      <c r="L14" s="36" t="s">
        <v>67</v>
      </c>
      <c r="M14" s="39" t="s">
        <v>30</v>
      </c>
      <c r="N14" s="39" t="s">
        <v>191</v>
      </c>
      <c r="O14" s="39" t="s">
        <v>192</v>
      </c>
      <c r="P14" s="41">
        <v>1000000</v>
      </c>
      <c r="Q14" s="41">
        <v>0</v>
      </c>
      <c r="R14" s="41">
        <v>0</v>
      </c>
      <c r="S14" s="41">
        <v>0</v>
      </c>
      <c r="T14" s="41"/>
      <c r="U14" s="41">
        <f>+SUM(ALLPYCRI23Y21[[#This Row],[MONTO FF]:[NO PECUNIO INIA]])</f>
        <v>1000000</v>
      </c>
      <c r="V14" s="40" t="s">
        <v>99</v>
      </c>
      <c r="W14" s="29"/>
    </row>
    <row r="15" spans="2:23" ht="30" x14ac:dyDescent="0.25">
      <c r="B15" s="68" t="s">
        <v>14</v>
      </c>
      <c r="C15" s="36">
        <v>503827</v>
      </c>
      <c r="D15" s="36" t="s">
        <v>207</v>
      </c>
      <c r="E15" s="36">
        <v>42</v>
      </c>
      <c r="F15" s="36">
        <v>70</v>
      </c>
      <c r="G15" s="36" t="s">
        <v>15</v>
      </c>
      <c r="H15" s="36" t="s">
        <v>16</v>
      </c>
      <c r="I15" s="36" t="s">
        <v>35</v>
      </c>
      <c r="J15" s="36" t="s">
        <v>36</v>
      </c>
      <c r="K15" s="36" t="s">
        <v>95</v>
      </c>
      <c r="L15" s="36" t="s">
        <v>89</v>
      </c>
      <c r="M15" s="36" t="s">
        <v>30</v>
      </c>
      <c r="N15" s="36" t="s">
        <v>96</v>
      </c>
      <c r="O15" s="36" t="s">
        <v>97</v>
      </c>
      <c r="P15" s="44">
        <v>1</v>
      </c>
      <c r="Q15" s="46">
        <v>0</v>
      </c>
      <c r="R15" s="44">
        <v>0</v>
      </c>
      <c r="S15" s="44">
        <v>0</v>
      </c>
      <c r="T15" s="44">
        <v>1829756</v>
      </c>
      <c r="U15" s="44">
        <f>+SUM(ALLPYCRI23Y21[[#This Row],[MONTO FF]:[NO PECUNIO INIA]])</f>
        <v>1829757</v>
      </c>
      <c r="V15" s="37" t="s">
        <v>98</v>
      </c>
      <c r="W15" s="27"/>
    </row>
    <row r="16" spans="2:23" x14ac:dyDescent="0.25">
      <c r="B16" s="68" t="s">
        <v>100</v>
      </c>
      <c r="C16" s="36">
        <v>503756</v>
      </c>
      <c r="D16" s="36"/>
      <c r="E16" s="36"/>
      <c r="F16" s="36"/>
      <c r="G16" s="36"/>
      <c r="H16" s="36"/>
      <c r="I16" s="36"/>
      <c r="J16" s="36"/>
      <c r="K16" s="36" t="s">
        <v>237</v>
      </c>
      <c r="L16" s="36" t="s">
        <v>238</v>
      </c>
      <c r="M16" s="39" t="s">
        <v>30</v>
      </c>
      <c r="N16" s="47">
        <v>46082</v>
      </c>
      <c r="O16" s="47">
        <v>46477</v>
      </c>
      <c r="P16" s="41">
        <v>59417781</v>
      </c>
      <c r="Q16" s="41"/>
      <c r="R16" s="41"/>
      <c r="S16" s="41"/>
      <c r="T16" s="41"/>
      <c r="U16" s="41">
        <f>+SUM(ALLPYCRI23Y21[[#This Row],[MONTO FF]:[NO PECUNIO INIA]])</f>
        <v>59417781</v>
      </c>
      <c r="V16" s="37"/>
      <c r="W16" s="27"/>
    </row>
    <row r="17" spans="2:23" s="30" customFormat="1" ht="30" x14ac:dyDescent="0.25">
      <c r="B17" s="68" t="s">
        <v>100</v>
      </c>
      <c r="C17" s="36">
        <v>503767</v>
      </c>
      <c r="D17" s="36" t="s">
        <v>205</v>
      </c>
      <c r="E17" s="36">
        <v>44</v>
      </c>
      <c r="F17" s="36">
        <v>70</v>
      </c>
      <c r="G17" s="36" t="s">
        <v>15</v>
      </c>
      <c r="H17" s="36"/>
      <c r="I17" s="36" t="s">
        <v>35</v>
      </c>
      <c r="J17" s="36" t="s">
        <v>36</v>
      </c>
      <c r="K17" s="36" t="s">
        <v>168</v>
      </c>
      <c r="L17" s="36" t="s">
        <v>103</v>
      </c>
      <c r="M17" s="39" t="s">
        <v>30</v>
      </c>
      <c r="N17" s="39" t="s">
        <v>169</v>
      </c>
      <c r="O17" s="39" t="s">
        <v>72</v>
      </c>
      <c r="P17" s="41">
        <v>250000000</v>
      </c>
      <c r="Q17" s="48">
        <v>12500000</v>
      </c>
      <c r="R17" s="41"/>
      <c r="S17" s="41"/>
      <c r="T17" s="41">
        <v>12500000</v>
      </c>
      <c r="U17" s="41">
        <f>+SUM(ALLPYCRI23Y21[[#This Row],[MONTO FF]:[NO PECUNIO INIA]])</f>
        <v>275000000</v>
      </c>
      <c r="V17" s="40" t="s">
        <v>170</v>
      </c>
      <c r="W17" s="29"/>
    </row>
    <row r="18" spans="2:23" s="30" customFormat="1" ht="30" x14ac:dyDescent="0.25">
      <c r="B18" s="68" t="s">
        <v>100</v>
      </c>
      <c r="C18" s="36">
        <v>503765</v>
      </c>
      <c r="D18" s="36" t="s">
        <v>214</v>
      </c>
      <c r="E18" s="36">
        <v>10</v>
      </c>
      <c r="F18" s="36" t="s">
        <v>59</v>
      </c>
      <c r="G18" s="36" t="s">
        <v>15</v>
      </c>
      <c r="H18" s="36"/>
      <c r="I18" s="36" t="s">
        <v>35</v>
      </c>
      <c r="J18" s="36" t="s">
        <v>36</v>
      </c>
      <c r="K18" s="36" t="s">
        <v>176</v>
      </c>
      <c r="L18" s="36" t="s">
        <v>135</v>
      </c>
      <c r="M18" s="39" t="s">
        <v>19</v>
      </c>
      <c r="N18" s="39" t="s">
        <v>75</v>
      </c>
      <c r="O18" s="39" t="s">
        <v>177</v>
      </c>
      <c r="P18" s="41">
        <v>5500000</v>
      </c>
      <c r="Q18" s="41">
        <v>0</v>
      </c>
      <c r="R18" s="41">
        <v>1300000</v>
      </c>
      <c r="S18" s="41">
        <v>600000</v>
      </c>
      <c r="T18" s="41">
        <v>2504613</v>
      </c>
      <c r="U18" s="41">
        <f>+SUM(ALLPYCRI23Y21[[#This Row],[MONTO FF]:[NO PECUNIO INIA]])</f>
        <v>9904613</v>
      </c>
      <c r="V18" s="40" t="s">
        <v>178</v>
      </c>
      <c r="W18" s="29"/>
    </row>
    <row r="19" spans="2:23" s="30" customFormat="1" ht="30" x14ac:dyDescent="0.25">
      <c r="B19" s="68" t="s">
        <v>100</v>
      </c>
      <c r="C19" s="36">
        <v>503761</v>
      </c>
      <c r="D19" s="36" t="s">
        <v>214</v>
      </c>
      <c r="E19" s="36">
        <v>10</v>
      </c>
      <c r="F19" s="36" t="s">
        <v>59</v>
      </c>
      <c r="G19" s="36" t="s">
        <v>15</v>
      </c>
      <c r="H19" s="36"/>
      <c r="I19" s="36" t="s">
        <v>35</v>
      </c>
      <c r="J19" s="36" t="s">
        <v>36</v>
      </c>
      <c r="K19" s="36" t="s">
        <v>179</v>
      </c>
      <c r="L19" s="36" t="s">
        <v>67</v>
      </c>
      <c r="M19" s="39" t="s">
        <v>19</v>
      </c>
      <c r="N19" s="39" t="s">
        <v>180</v>
      </c>
      <c r="O19" s="39" t="s">
        <v>181</v>
      </c>
      <c r="P19" s="41">
        <v>5500000</v>
      </c>
      <c r="Q19" s="41">
        <v>0</v>
      </c>
      <c r="R19" s="41">
        <v>0</v>
      </c>
      <c r="S19" s="41">
        <v>470000</v>
      </c>
      <c r="T19" s="41">
        <v>1904426</v>
      </c>
      <c r="U19" s="41">
        <f>+SUM(ALLPYCRI23Y21[[#This Row],[MONTO FF]:[NO PECUNIO INIA]])</f>
        <v>7874426</v>
      </c>
      <c r="V19" s="40" t="s">
        <v>182</v>
      </c>
      <c r="W19" s="29"/>
    </row>
    <row r="20" spans="2:23" ht="30" x14ac:dyDescent="0.25">
      <c r="B20" s="68" t="s">
        <v>14</v>
      </c>
      <c r="C20" s="36">
        <v>503812</v>
      </c>
      <c r="D20" s="36" t="s">
        <v>212</v>
      </c>
      <c r="E20" s="36">
        <v>15</v>
      </c>
      <c r="F20" s="36">
        <v>70</v>
      </c>
      <c r="G20" s="36" t="s">
        <v>15</v>
      </c>
      <c r="H20" s="36"/>
      <c r="I20" s="36" t="s">
        <v>35</v>
      </c>
      <c r="J20" s="36" t="s">
        <v>36</v>
      </c>
      <c r="K20" s="36" t="s">
        <v>78</v>
      </c>
      <c r="L20" s="36" t="s">
        <v>18</v>
      </c>
      <c r="M20" s="36" t="s">
        <v>30</v>
      </c>
      <c r="N20" s="36" t="s">
        <v>76</v>
      </c>
      <c r="O20" s="36" t="s">
        <v>79</v>
      </c>
      <c r="P20" s="44">
        <v>25350960</v>
      </c>
      <c r="Q20" s="44">
        <v>0</v>
      </c>
      <c r="R20" s="44">
        <v>0</v>
      </c>
      <c r="S20" s="44">
        <v>0</v>
      </c>
      <c r="T20" s="44">
        <v>15587184</v>
      </c>
      <c r="U20" s="44">
        <f>+SUM(ALLPYCRI23Y21[[#This Row],[MONTO FF]:[NO PECUNIO INIA]])</f>
        <v>40938144</v>
      </c>
      <c r="V20" s="37" t="s">
        <v>99</v>
      </c>
      <c r="W20" s="27"/>
    </row>
    <row r="21" spans="2:23" ht="30" x14ac:dyDescent="0.25">
      <c r="B21" s="68" t="s">
        <v>14</v>
      </c>
      <c r="C21" s="36">
        <v>503766</v>
      </c>
      <c r="D21" s="36" t="s">
        <v>205</v>
      </c>
      <c r="E21" s="36">
        <v>44</v>
      </c>
      <c r="F21" s="36">
        <v>70</v>
      </c>
      <c r="G21" s="36" t="s">
        <v>15</v>
      </c>
      <c r="H21" s="36"/>
      <c r="I21" s="36" t="s">
        <v>35</v>
      </c>
      <c r="J21" s="36" t="s">
        <v>36</v>
      </c>
      <c r="K21" s="36" t="s">
        <v>69</v>
      </c>
      <c r="L21" s="36" t="s">
        <v>70</v>
      </c>
      <c r="M21" s="36" t="s">
        <v>30</v>
      </c>
      <c r="N21" s="36" t="s">
        <v>71</v>
      </c>
      <c r="O21" s="36" t="s">
        <v>72</v>
      </c>
      <c r="P21" s="44">
        <v>165595000</v>
      </c>
      <c r="Q21" s="44">
        <v>8284750</v>
      </c>
      <c r="R21" s="44">
        <v>0</v>
      </c>
      <c r="S21" s="44">
        <v>0</v>
      </c>
      <c r="T21" s="48">
        <v>8284750</v>
      </c>
      <c r="U21" s="44">
        <f>+SUM(ALLPYCRI23Y21[[#This Row],[MONTO FF]:[NO PECUNIO INIA]])</f>
        <v>182164500</v>
      </c>
      <c r="V21" s="37" t="s">
        <v>99</v>
      </c>
      <c r="W21" s="27"/>
    </row>
    <row r="22" spans="2:23" ht="30" x14ac:dyDescent="0.25">
      <c r="B22" s="68" t="s">
        <v>14</v>
      </c>
      <c r="C22" s="36">
        <v>503743</v>
      </c>
      <c r="D22" s="36" t="s">
        <v>209</v>
      </c>
      <c r="E22" s="36">
        <v>22</v>
      </c>
      <c r="F22" s="36">
        <v>70</v>
      </c>
      <c r="G22" s="36" t="s">
        <v>15</v>
      </c>
      <c r="H22" s="36" t="s">
        <v>16</v>
      </c>
      <c r="I22" s="36" t="s">
        <v>35</v>
      </c>
      <c r="J22" s="36" t="s">
        <v>36</v>
      </c>
      <c r="K22" s="36" t="s">
        <v>92</v>
      </c>
      <c r="L22" s="36" t="s">
        <v>89</v>
      </c>
      <c r="M22" s="36" t="s">
        <v>30</v>
      </c>
      <c r="N22" s="36" t="s">
        <v>93</v>
      </c>
      <c r="O22" s="36" t="s">
        <v>94</v>
      </c>
      <c r="P22" s="44">
        <v>12424000</v>
      </c>
      <c r="Q22" s="44">
        <v>0</v>
      </c>
      <c r="R22" s="44">
        <v>0</v>
      </c>
      <c r="S22" s="44">
        <v>0</v>
      </c>
      <c r="T22" s="44">
        <v>27446337</v>
      </c>
      <c r="U22" s="44">
        <f>+SUM(ALLPYCRI23Y21[[#This Row],[MONTO FF]:[NO PECUNIO INIA]])</f>
        <v>39870337</v>
      </c>
      <c r="V22" s="37">
        <v>11240152</v>
      </c>
      <c r="W22" s="27"/>
    </row>
    <row r="23" spans="2:23" s="30" customFormat="1" ht="17.25" customHeight="1" x14ac:dyDescent="0.25">
      <c r="B23" s="68" t="s">
        <v>100</v>
      </c>
      <c r="C23" s="36">
        <v>503758</v>
      </c>
      <c r="D23" s="36" t="s">
        <v>208</v>
      </c>
      <c r="E23" s="36">
        <v>32</v>
      </c>
      <c r="F23" s="36">
        <v>70</v>
      </c>
      <c r="G23" s="36" t="s">
        <v>15</v>
      </c>
      <c r="H23" s="36" t="s">
        <v>16</v>
      </c>
      <c r="I23" s="36" t="s">
        <v>35</v>
      </c>
      <c r="J23" s="36" t="s">
        <v>36</v>
      </c>
      <c r="K23" s="36" t="s">
        <v>183</v>
      </c>
      <c r="L23" s="36" t="s">
        <v>67</v>
      </c>
      <c r="M23" s="39" t="s">
        <v>19</v>
      </c>
      <c r="N23" s="39" t="s">
        <v>184</v>
      </c>
      <c r="O23" s="39" t="s">
        <v>185</v>
      </c>
      <c r="P23" s="42">
        <v>2100840</v>
      </c>
      <c r="Q23" s="41">
        <v>0</v>
      </c>
      <c r="R23" s="41">
        <v>0</v>
      </c>
      <c r="S23" s="41">
        <v>0</v>
      </c>
      <c r="T23" s="42">
        <v>321354</v>
      </c>
      <c r="U23" s="41">
        <f>+SUM(ALLPYCRI23Y21[[#This Row],[MONTO FF]:[NO PECUNIO INIA]])</f>
        <v>2422194</v>
      </c>
      <c r="V23" s="40" t="s">
        <v>99</v>
      </c>
      <c r="W23" s="29"/>
    </row>
    <row r="24" spans="2:23" s="30" customFormat="1" ht="30" x14ac:dyDescent="0.25">
      <c r="B24" s="68" t="s">
        <v>100</v>
      </c>
      <c r="C24" s="36">
        <v>503654</v>
      </c>
      <c r="D24" s="36" t="s">
        <v>213</v>
      </c>
      <c r="E24" s="36">
        <v>12</v>
      </c>
      <c r="F24" s="36" t="s">
        <v>99</v>
      </c>
      <c r="G24" s="36" t="s">
        <v>15</v>
      </c>
      <c r="H24" s="36" t="s">
        <v>16</v>
      </c>
      <c r="I24" s="36" t="s">
        <v>35</v>
      </c>
      <c r="J24" s="36" t="s">
        <v>36</v>
      </c>
      <c r="K24" s="36" t="s">
        <v>171</v>
      </c>
      <c r="L24" s="36" t="s">
        <v>103</v>
      </c>
      <c r="M24" s="39" t="s">
        <v>30</v>
      </c>
      <c r="N24" s="39" t="s">
        <v>68</v>
      </c>
      <c r="O24" s="39" t="s">
        <v>77</v>
      </c>
      <c r="P24" s="41">
        <v>3657143</v>
      </c>
      <c r="Q24" s="41">
        <v>0</v>
      </c>
      <c r="R24" s="41">
        <v>0</v>
      </c>
      <c r="S24" s="41">
        <v>0</v>
      </c>
      <c r="T24" s="42">
        <v>5342880</v>
      </c>
      <c r="U24" s="41">
        <f>+SUM(ALLPYCRI23Y21[[#This Row],[MONTO FF]:[NO PECUNIO INIA]])</f>
        <v>9000023</v>
      </c>
      <c r="V24" s="40" t="s">
        <v>99</v>
      </c>
      <c r="W24" s="29"/>
    </row>
    <row r="25" spans="2:23" x14ac:dyDescent="0.25">
      <c r="B25" s="68" t="s">
        <v>14</v>
      </c>
      <c r="C25" s="36">
        <v>503710</v>
      </c>
      <c r="D25" s="36" t="s">
        <v>204</v>
      </c>
      <c r="E25" s="36">
        <v>70</v>
      </c>
      <c r="F25" s="36" t="s">
        <v>99</v>
      </c>
      <c r="G25" s="36" t="s">
        <v>15</v>
      </c>
      <c r="H25" s="36" t="s">
        <v>16</v>
      </c>
      <c r="I25" s="36"/>
      <c r="J25" s="36"/>
      <c r="K25" s="36" t="s">
        <v>73</v>
      </c>
      <c r="L25" s="36" t="s">
        <v>18</v>
      </c>
      <c r="M25" s="36" t="s">
        <v>30</v>
      </c>
      <c r="N25" s="36" t="s">
        <v>74</v>
      </c>
      <c r="O25" s="36" t="s">
        <v>31</v>
      </c>
      <c r="P25" s="44">
        <v>2800000</v>
      </c>
      <c r="Q25" s="44">
        <v>0</v>
      </c>
      <c r="R25" s="44">
        <v>0</v>
      </c>
      <c r="S25" s="49">
        <v>0</v>
      </c>
      <c r="T25" s="50">
        <v>0</v>
      </c>
      <c r="U25" s="51">
        <f>+SUM(ALLPYCRI23Y21[[#This Row],[MONTO FF]:[NO PECUNIO INIA]])</f>
        <v>2800000</v>
      </c>
      <c r="V25" s="37" t="s">
        <v>99</v>
      </c>
      <c r="W25" s="27"/>
    </row>
    <row r="26" spans="2:23" s="30" customFormat="1" ht="15.75" x14ac:dyDescent="0.25">
      <c r="B26" s="68" t="s">
        <v>100</v>
      </c>
      <c r="C26" s="36">
        <v>503648</v>
      </c>
      <c r="D26" s="36" t="s">
        <v>212</v>
      </c>
      <c r="E26" s="36">
        <v>15</v>
      </c>
      <c r="F26" s="36">
        <v>70</v>
      </c>
      <c r="G26" s="36" t="s">
        <v>15</v>
      </c>
      <c r="H26" s="36"/>
      <c r="I26" s="36"/>
      <c r="J26" s="36"/>
      <c r="K26" s="36" t="s">
        <v>172</v>
      </c>
      <c r="L26" s="36" t="s">
        <v>29</v>
      </c>
      <c r="M26" s="39" t="s">
        <v>19</v>
      </c>
      <c r="N26" s="39" t="s">
        <v>173</v>
      </c>
      <c r="O26" s="39" t="s">
        <v>174</v>
      </c>
      <c r="P26" s="52">
        <v>364000</v>
      </c>
      <c r="Q26" s="41">
        <v>0</v>
      </c>
      <c r="R26" s="41">
        <v>0</v>
      </c>
      <c r="S26" s="41">
        <v>0</v>
      </c>
      <c r="T26" s="53">
        <v>0</v>
      </c>
      <c r="U26" s="41">
        <f>+SUM(ALLPYCRI23Y21[[#This Row],[MONTO FF]:[NO PECUNIO INIA]])</f>
        <v>364000</v>
      </c>
      <c r="V26" s="40" t="s">
        <v>175</v>
      </c>
      <c r="W26" s="29"/>
    </row>
    <row r="27" spans="2:23" s="30" customFormat="1" x14ac:dyDescent="0.25">
      <c r="B27" s="68" t="s">
        <v>14</v>
      </c>
      <c r="C27" s="36">
        <v>503579</v>
      </c>
      <c r="D27" s="36" t="s">
        <v>204</v>
      </c>
      <c r="E27" s="36">
        <v>70</v>
      </c>
      <c r="F27" s="36" t="s">
        <v>99</v>
      </c>
      <c r="G27" s="36" t="s">
        <v>15</v>
      </c>
      <c r="H27" s="36" t="s">
        <v>16</v>
      </c>
      <c r="I27" s="36"/>
      <c r="J27" s="36"/>
      <c r="K27" s="36" t="s">
        <v>65</v>
      </c>
      <c r="L27" s="36" t="s">
        <v>18</v>
      </c>
      <c r="M27" s="36" t="s">
        <v>30</v>
      </c>
      <c r="N27" s="36" t="s">
        <v>66</v>
      </c>
      <c r="O27" s="54">
        <v>46387</v>
      </c>
      <c r="P27" s="44">
        <v>3816400</v>
      </c>
      <c r="Q27" s="44">
        <v>0</v>
      </c>
      <c r="R27" s="44">
        <v>0</v>
      </c>
      <c r="S27" s="44">
        <v>0</v>
      </c>
      <c r="T27" s="44">
        <v>0</v>
      </c>
      <c r="U27" s="44">
        <f>+SUM(ALLPYCRI23Y21[[#This Row],[MONTO FF]:[NO PECUNIO INIA]])</f>
        <v>3816400</v>
      </c>
      <c r="V27" s="37" t="s">
        <v>99</v>
      </c>
      <c r="W27" s="29"/>
    </row>
    <row r="28" spans="2:23" s="30" customFormat="1" ht="30" x14ac:dyDescent="0.25">
      <c r="B28" s="68" t="s">
        <v>100</v>
      </c>
      <c r="C28" s="36">
        <v>503551</v>
      </c>
      <c r="D28" s="36" t="s">
        <v>211</v>
      </c>
      <c r="E28" s="36">
        <v>19</v>
      </c>
      <c r="F28" s="36">
        <v>70</v>
      </c>
      <c r="G28" s="36" t="s">
        <v>15</v>
      </c>
      <c r="H28" s="36" t="s">
        <v>16</v>
      </c>
      <c r="I28" s="36" t="s">
        <v>35</v>
      </c>
      <c r="J28" s="36" t="s">
        <v>36</v>
      </c>
      <c r="K28" s="36" t="s">
        <v>166</v>
      </c>
      <c r="L28" s="36" t="s">
        <v>18</v>
      </c>
      <c r="M28" s="39" t="s">
        <v>19</v>
      </c>
      <c r="N28" s="39" t="s">
        <v>66</v>
      </c>
      <c r="O28" s="39" t="s">
        <v>167</v>
      </c>
      <c r="P28" s="52">
        <v>138995407</v>
      </c>
      <c r="Q28" s="41">
        <v>0</v>
      </c>
      <c r="R28" s="41">
        <v>0</v>
      </c>
      <c r="S28" s="52">
        <v>0</v>
      </c>
      <c r="T28" s="41"/>
      <c r="U28" s="41">
        <f>+SUM(ALLPYCRI23Y21[[#This Row],[MONTO FF]:[NO PECUNIO INIA]])</f>
        <v>138995407</v>
      </c>
      <c r="V28" s="40" t="s">
        <v>99</v>
      </c>
      <c r="W28" s="29"/>
    </row>
    <row r="29" spans="2:23" s="30" customFormat="1" ht="30" x14ac:dyDescent="0.25">
      <c r="B29" s="68" t="s">
        <v>100</v>
      </c>
      <c r="C29" s="36">
        <v>503427</v>
      </c>
      <c r="D29" s="36" t="s">
        <v>211</v>
      </c>
      <c r="E29" s="36">
        <v>19</v>
      </c>
      <c r="F29" s="36">
        <v>70</v>
      </c>
      <c r="G29" s="36" t="s">
        <v>15</v>
      </c>
      <c r="H29" s="36" t="s">
        <v>16</v>
      </c>
      <c r="I29" s="36" t="s">
        <v>35</v>
      </c>
      <c r="J29" s="36" t="s">
        <v>36</v>
      </c>
      <c r="K29" s="36" t="s">
        <v>153</v>
      </c>
      <c r="L29" s="36" t="s">
        <v>135</v>
      </c>
      <c r="M29" s="39" t="s">
        <v>19</v>
      </c>
      <c r="N29" s="39" t="s">
        <v>154</v>
      </c>
      <c r="O29" s="39" t="s">
        <v>155</v>
      </c>
      <c r="P29" s="41">
        <v>81700000</v>
      </c>
      <c r="Q29" s="41">
        <v>0</v>
      </c>
      <c r="R29" s="41">
        <v>0</v>
      </c>
      <c r="S29" s="41">
        <v>0</v>
      </c>
      <c r="T29" s="41">
        <v>0</v>
      </c>
      <c r="U29" s="41">
        <f>+SUM(ALLPYCRI23Y21[[#This Row],[MONTO FF]:[NO PECUNIO INIA]])</f>
        <v>81700000</v>
      </c>
      <c r="V29" s="40" t="s">
        <v>99</v>
      </c>
      <c r="W29" s="29"/>
    </row>
    <row r="30" spans="2:23" x14ac:dyDescent="0.25">
      <c r="B30" s="68" t="s">
        <v>14</v>
      </c>
      <c r="C30" s="36">
        <v>503686</v>
      </c>
      <c r="D30" s="36" t="s">
        <v>204</v>
      </c>
      <c r="E30" s="36">
        <v>70</v>
      </c>
      <c r="F30" s="36" t="s">
        <v>99</v>
      </c>
      <c r="G30" s="36" t="s">
        <v>15</v>
      </c>
      <c r="H30" s="36" t="s">
        <v>16</v>
      </c>
      <c r="I30" s="36"/>
      <c r="J30" s="36"/>
      <c r="K30" s="36" t="s">
        <v>88</v>
      </c>
      <c r="L30" s="36" t="s">
        <v>89</v>
      </c>
      <c r="M30" s="36" t="s">
        <v>30</v>
      </c>
      <c r="N30" s="36" t="s">
        <v>50</v>
      </c>
      <c r="O30" s="36" t="s">
        <v>31</v>
      </c>
      <c r="P30" s="44">
        <v>1256111</v>
      </c>
      <c r="Q30" s="44">
        <v>0</v>
      </c>
      <c r="R30" s="44">
        <v>0</v>
      </c>
      <c r="S30" s="44">
        <v>0</v>
      </c>
      <c r="T30" s="44">
        <v>0</v>
      </c>
      <c r="U30" s="44">
        <f>+SUM(ALLPYCRI23Y21[[#This Row],[MONTO FF]:[NO PECUNIO INIA]])</f>
        <v>1256111</v>
      </c>
      <c r="V30" s="37" t="s">
        <v>99</v>
      </c>
      <c r="W30" s="27"/>
    </row>
    <row r="31" spans="2:23" s="30" customFormat="1" ht="30" x14ac:dyDescent="0.25">
      <c r="B31" s="68" t="s">
        <v>100</v>
      </c>
      <c r="C31" s="36">
        <v>503420</v>
      </c>
      <c r="D31" s="36" t="s">
        <v>205</v>
      </c>
      <c r="E31" s="36">
        <v>44</v>
      </c>
      <c r="F31" s="36" t="s">
        <v>59</v>
      </c>
      <c r="G31" s="36" t="s">
        <v>15</v>
      </c>
      <c r="H31" s="36"/>
      <c r="I31" s="36" t="s">
        <v>35</v>
      </c>
      <c r="J31" s="36" t="s">
        <v>36</v>
      </c>
      <c r="K31" s="36" t="s">
        <v>161</v>
      </c>
      <c r="L31" s="36" t="s">
        <v>67</v>
      </c>
      <c r="M31" s="39" t="s">
        <v>30</v>
      </c>
      <c r="N31" s="39" t="s">
        <v>62</v>
      </c>
      <c r="O31" s="39" t="s">
        <v>162</v>
      </c>
      <c r="P31" s="41">
        <v>126039000</v>
      </c>
      <c r="Q31" s="41">
        <v>0</v>
      </c>
      <c r="R31" s="41">
        <v>0</v>
      </c>
      <c r="S31" s="41">
        <v>11025000</v>
      </c>
      <c r="T31" s="55">
        <v>11004825</v>
      </c>
      <c r="U31" s="41">
        <f>+SUM(ALLPYCRI23Y21[[#This Row],[MONTO FF]:[NO PECUNIO INIA]])</f>
        <v>148068825</v>
      </c>
      <c r="V31" s="40" t="s">
        <v>163</v>
      </c>
      <c r="W31" s="29"/>
    </row>
    <row r="32" spans="2:23" x14ac:dyDescent="0.25">
      <c r="B32" s="68" t="s">
        <v>100</v>
      </c>
      <c r="C32" s="36">
        <v>503514</v>
      </c>
      <c r="D32" s="36" t="s">
        <v>204</v>
      </c>
      <c r="E32" s="36">
        <v>70</v>
      </c>
      <c r="F32" s="36" t="s">
        <v>99</v>
      </c>
      <c r="G32" s="36" t="s">
        <v>15</v>
      </c>
      <c r="H32" s="36" t="s">
        <v>16</v>
      </c>
      <c r="I32" s="36"/>
      <c r="J32" s="36"/>
      <c r="K32" s="36" t="s">
        <v>164</v>
      </c>
      <c r="L32" s="36" t="s">
        <v>18</v>
      </c>
      <c r="M32" s="39" t="s">
        <v>30</v>
      </c>
      <c r="N32" s="39" t="s">
        <v>165</v>
      </c>
      <c r="O32" s="39" t="s">
        <v>31</v>
      </c>
      <c r="P32" s="41">
        <v>5950000</v>
      </c>
      <c r="Q32" s="41">
        <v>0</v>
      </c>
      <c r="R32" s="41">
        <v>0</v>
      </c>
      <c r="S32" s="41">
        <v>0</v>
      </c>
      <c r="T32" s="41">
        <v>0</v>
      </c>
      <c r="U32" s="41">
        <f>+SUM(ALLPYCRI23Y21[[#This Row],[MONTO FF]:[NO PECUNIO INIA]])</f>
        <v>5950000</v>
      </c>
      <c r="V32" s="40" t="s">
        <v>99</v>
      </c>
      <c r="W32" s="27"/>
    </row>
    <row r="33" spans="2:23" ht="30" x14ac:dyDescent="0.25">
      <c r="B33" s="68" t="s">
        <v>14</v>
      </c>
      <c r="C33" s="36">
        <v>503419</v>
      </c>
      <c r="D33" s="36" t="s">
        <v>205</v>
      </c>
      <c r="E33" s="36">
        <v>44</v>
      </c>
      <c r="F33" s="36" t="s">
        <v>59</v>
      </c>
      <c r="G33" s="36" t="s">
        <v>15</v>
      </c>
      <c r="H33" s="36"/>
      <c r="I33" s="36" t="s">
        <v>35</v>
      </c>
      <c r="J33" s="36" t="s">
        <v>36</v>
      </c>
      <c r="K33" s="36" t="s">
        <v>60</v>
      </c>
      <c r="L33" s="36" t="s">
        <v>61</v>
      </c>
      <c r="M33" s="36" t="s">
        <v>30</v>
      </c>
      <c r="N33" s="36" t="s">
        <v>62</v>
      </c>
      <c r="O33" s="36" t="s">
        <v>63</v>
      </c>
      <c r="P33" s="44">
        <v>100533326</v>
      </c>
      <c r="Q33" s="44">
        <v>9000000</v>
      </c>
      <c r="R33" s="44">
        <v>0</v>
      </c>
      <c r="S33" s="44">
        <v>4920000</v>
      </c>
      <c r="T33" s="44">
        <v>13240634</v>
      </c>
      <c r="U33" s="44">
        <f>+SUM(ALLPYCRI23Y21[[#This Row],[MONTO FF]:[NO PECUNIO INIA]])</f>
        <v>127693960</v>
      </c>
      <c r="V33" s="37" t="s">
        <v>64</v>
      </c>
      <c r="W33" s="27"/>
    </row>
    <row r="34" spans="2:23" s="30" customFormat="1" x14ac:dyDescent="0.25">
      <c r="B34" s="68" t="s">
        <v>100</v>
      </c>
      <c r="C34" s="36">
        <v>503418</v>
      </c>
      <c r="D34" s="36" t="s">
        <v>210</v>
      </c>
      <c r="E34" s="36">
        <v>20</v>
      </c>
      <c r="F34" s="36">
        <v>70</v>
      </c>
      <c r="G34" s="36" t="s">
        <v>15</v>
      </c>
      <c r="H34" s="36" t="s">
        <v>16</v>
      </c>
      <c r="I34" s="36" t="s">
        <v>35</v>
      </c>
      <c r="J34" s="36" t="s">
        <v>117</v>
      </c>
      <c r="K34" s="36" t="s">
        <v>159</v>
      </c>
      <c r="L34" s="36" t="s">
        <v>67</v>
      </c>
      <c r="M34" s="39" t="s">
        <v>30</v>
      </c>
      <c r="N34" s="39" t="s">
        <v>33</v>
      </c>
      <c r="O34" s="39" t="s">
        <v>53</v>
      </c>
      <c r="P34" s="41">
        <v>684754000</v>
      </c>
      <c r="Q34" s="41">
        <v>0</v>
      </c>
      <c r="R34" s="41">
        <v>0</v>
      </c>
      <c r="S34" s="41">
        <v>0</v>
      </c>
      <c r="T34" s="41">
        <v>167536094</v>
      </c>
      <c r="U34" s="41">
        <f>+SUM(ALLPYCRI23Y21[[#This Row],[MONTO FF]:[NO PECUNIO INIA]])</f>
        <v>852290094</v>
      </c>
      <c r="V34" s="40" t="s">
        <v>160</v>
      </c>
      <c r="W34" s="29"/>
    </row>
    <row r="35" spans="2:23" s="30" customFormat="1" ht="30" x14ac:dyDescent="0.25">
      <c r="B35" s="68" t="s">
        <v>100</v>
      </c>
      <c r="C35" s="36">
        <v>503410</v>
      </c>
      <c r="D35" s="36" t="s">
        <v>212</v>
      </c>
      <c r="E35" s="36">
        <v>15</v>
      </c>
      <c r="F35" s="36" t="s">
        <v>59</v>
      </c>
      <c r="G35" s="36" t="s">
        <v>15</v>
      </c>
      <c r="H35" s="36"/>
      <c r="I35" s="36" t="s">
        <v>35</v>
      </c>
      <c r="J35" s="36" t="s">
        <v>117</v>
      </c>
      <c r="K35" s="36" t="s">
        <v>156</v>
      </c>
      <c r="L35" s="36" t="s">
        <v>116</v>
      </c>
      <c r="M35" s="39" t="s">
        <v>30</v>
      </c>
      <c r="N35" s="39" t="s">
        <v>157</v>
      </c>
      <c r="O35" s="39" t="s">
        <v>72</v>
      </c>
      <c r="P35" s="41">
        <v>393269671</v>
      </c>
      <c r="Q35" s="41">
        <v>0</v>
      </c>
      <c r="R35" s="41">
        <v>0</v>
      </c>
      <c r="S35" s="41">
        <v>0</v>
      </c>
      <c r="T35" s="41">
        <v>184375763</v>
      </c>
      <c r="U35" s="41">
        <f>+SUM(ALLPYCRI23Y21[[#This Row],[MONTO FF]:[NO PECUNIO INIA]])</f>
        <v>577645434</v>
      </c>
      <c r="V35" s="40" t="s">
        <v>158</v>
      </c>
      <c r="W35" s="29"/>
    </row>
    <row r="36" spans="2:23" ht="30" x14ac:dyDescent="0.25">
      <c r="B36" s="68" t="s">
        <v>14</v>
      </c>
      <c r="C36" s="36">
        <v>503417</v>
      </c>
      <c r="D36" s="36" t="s">
        <v>210</v>
      </c>
      <c r="E36" s="36">
        <v>20</v>
      </c>
      <c r="F36" s="36">
        <v>70</v>
      </c>
      <c r="G36" s="36" t="s">
        <v>15</v>
      </c>
      <c r="H36" s="36" t="s">
        <v>16</v>
      </c>
      <c r="I36" s="36" t="s">
        <v>35</v>
      </c>
      <c r="J36" s="36" t="s">
        <v>36</v>
      </c>
      <c r="K36" s="36" t="s">
        <v>55</v>
      </c>
      <c r="L36" s="36" t="s">
        <v>56</v>
      </c>
      <c r="M36" s="36" t="s">
        <v>30</v>
      </c>
      <c r="N36" s="36" t="s">
        <v>57</v>
      </c>
      <c r="O36" s="36" t="s">
        <v>53</v>
      </c>
      <c r="P36" s="44">
        <v>698215000</v>
      </c>
      <c r="Q36" s="44">
        <v>0</v>
      </c>
      <c r="R36" s="44">
        <v>0</v>
      </c>
      <c r="S36" s="44">
        <v>0</v>
      </c>
      <c r="T36" s="44">
        <v>182430972</v>
      </c>
      <c r="U36" s="44">
        <f>+SUM(ALLPYCRI23Y21[[#This Row],[MONTO FF]:[NO PECUNIO INIA]])</f>
        <v>880645972</v>
      </c>
      <c r="V36" s="37" t="s">
        <v>58</v>
      </c>
      <c r="W36" s="27"/>
    </row>
    <row r="37" spans="2:23" s="30" customFormat="1" x14ac:dyDescent="0.25">
      <c r="B37" s="68" t="s">
        <v>100</v>
      </c>
      <c r="C37" s="36">
        <v>503379</v>
      </c>
      <c r="D37" s="36" t="s">
        <v>206</v>
      </c>
      <c r="E37" s="36">
        <v>25</v>
      </c>
      <c r="F37" s="36">
        <v>70</v>
      </c>
      <c r="G37" s="36" t="s">
        <v>15</v>
      </c>
      <c r="H37" s="36" t="s">
        <v>16</v>
      </c>
      <c r="I37" s="36" t="s">
        <v>35</v>
      </c>
      <c r="J37" s="36" t="s">
        <v>117</v>
      </c>
      <c r="K37" s="36" t="s">
        <v>150</v>
      </c>
      <c r="L37" s="36" t="s">
        <v>151</v>
      </c>
      <c r="M37" s="39" t="s">
        <v>19</v>
      </c>
      <c r="N37" s="39" t="s">
        <v>152</v>
      </c>
      <c r="O37" s="39" t="s">
        <v>23</v>
      </c>
      <c r="P37" s="41">
        <v>4908168</v>
      </c>
      <c r="Q37" s="41">
        <v>0</v>
      </c>
      <c r="R37" s="41">
        <v>0</v>
      </c>
      <c r="S37" s="41">
        <v>0</v>
      </c>
      <c r="T37" s="41">
        <v>0</v>
      </c>
      <c r="U37" s="41">
        <f>+SUM(ALLPYCRI23Y21[[#This Row],[MONTO FF]:[NO PECUNIO INIA]])</f>
        <v>4908168</v>
      </c>
      <c r="V37" s="40" t="s">
        <v>99</v>
      </c>
      <c r="W37" s="29"/>
    </row>
    <row r="38" spans="2:23" s="30" customFormat="1" ht="15.75" customHeight="1" x14ac:dyDescent="0.25">
      <c r="B38" s="68" t="s">
        <v>100</v>
      </c>
      <c r="C38" s="36">
        <v>503375</v>
      </c>
      <c r="D38" s="36" t="s">
        <v>204</v>
      </c>
      <c r="E38" s="36">
        <v>70</v>
      </c>
      <c r="F38" s="36" t="s">
        <v>99</v>
      </c>
      <c r="G38" s="36" t="s">
        <v>15</v>
      </c>
      <c r="H38" s="36" t="s">
        <v>16</v>
      </c>
      <c r="I38" s="36"/>
      <c r="J38" s="36"/>
      <c r="K38" s="36" t="s">
        <v>146</v>
      </c>
      <c r="L38" s="36" t="s">
        <v>67</v>
      </c>
      <c r="M38" s="39" t="s">
        <v>19</v>
      </c>
      <c r="N38" s="39" t="s">
        <v>147</v>
      </c>
      <c r="O38" s="39" t="s">
        <v>148</v>
      </c>
      <c r="P38" s="41">
        <v>4338204</v>
      </c>
      <c r="Q38" s="41">
        <v>0</v>
      </c>
      <c r="R38" s="41">
        <v>0</v>
      </c>
      <c r="S38" s="41">
        <v>0</v>
      </c>
      <c r="T38" s="41">
        <v>0</v>
      </c>
      <c r="U38" s="41">
        <f>+SUM(ALLPYCRI23Y21[[#This Row],[MONTO FF]:[NO PECUNIO INIA]])</f>
        <v>4338204</v>
      </c>
      <c r="V38" s="40" t="s">
        <v>99</v>
      </c>
      <c r="W38" s="29"/>
    </row>
    <row r="39" spans="2:23" ht="30" x14ac:dyDescent="0.25">
      <c r="B39" s="68" t="s">
        <v>14</v>
      </c>
      <c r="C39" s="36">
        <v>503416</v>
      </c>
      <c r="D39" s="36" t="s">
        <v>210</v>
      </c>
      <c r="E39" s="36">
        <v>20</v>
      </c>
      <c r="F39" s="36">
        <v>70</v>
      </c>
      <c r="G39" s="36" t="s">
        <v>15</v>
      </c>
      <c r="H39" s="36" t="s">
        <v>16</v>
      </c>
      <c r="I39" s="36" t="s">
        <v>35</v>
      </c>
      <c r="J39" s="36" t="s">
        <v>36</v>
      </c>
      <c r="K39" s="36" t="s">
        <v>51</v>
      </c>
      <c r="L39" s="36" t="s">
        <v>52</v>
      </c>
      <c r="M39" s="36" t="s">
        <v>30</v>
      </c>
      <c r="N39" s="36" t="s">
        <v>33</v>
      </c>
      <c r="O39" s="36" t="s">
        <v>53</v>
      </c>
      <c r="P39" s="44">
        <v>723760000</v>
      </c>
      <c r="Q39" s="44">
        <v>0</v>
      </c>
      <c r="R39" s="44">
        <v>0</v>
      </c>
      <c r="S39" s="44">
        <v>0</v>
      </c>
      <c r="T39" s="44">
        <v>45428668</v>
      </c>
      <c r="U39" s="44">
        <f>+SUM(ALLPYCRI23Y21[[#This Row],[MONTO FF]:[NO PECUNIO INIA]])</f>
        <v>769188668</v>
      </c>
      <c r="V39" s="37" t="s">
        <v>54</v>
      </c>
      <c r="W39" s="27"/>
    </row>
    <row r="40" spans="2:23" x14ac:dyDescent="0.25">
      <c r="B40" s="68" t="s">
        <v>14</v>
      </c>
      <c r="C40" s="36">
        <v>503376</v>
      </c>
      <c r="D40" s="36" t="s">
        <v>204</v>
      </c>
      <c r="E40" s="36">
        <v>70</v>
      </c>
      <c r="F40" s="36" t="s">
        <v>99</v>
      </c>
      <c r="G40" s="36" t="s">
        <v>15</v>
      </c>
      <c r="H40" s="36" t="s">
        <v>16</v>
      </c>
      <c r="I40" s="36"/>
      <c r="J40" s="36"/>
      <c r="K40" s="36" t="s">
        <v>48</v>
      </c>
      <c r="L40" s="36" t="s">
        <v>18</v>
      </c>
      <c r="M40" s="36" t="s">
        <v>19</v>
      </c>
      <c r="N40" s="36" t="s">
        <v>49</v>
      </c>
      <c r="O40" s="36" t="s">
        <v>50</v>
      </c>
      <c r="P40" s="44">
        <v>1804045</v>
      </c>
      <c r="Q40" s="44">
        <v>0</v>
      </c>
      <c r="R40" s="44">
        <v>0</v>
      </c>
      <c r="S40" s="44">
        <v>0</v>
      </c>
      <c r="T40" s="44">
        <v>0</v>
      </c>
      <c r="U40" s="44">
        <f>+SUM(ALLPYCRI23Y21[[#This Row],[MONTO FF]:[NO PECUNIO INIA]])</f>
        <v>1804045</v>
      </c>
      <c r="V40" s="37" t="s">
        <v>99</v>
      </c>
      <c r="W40" s="27"/>
    </row>
    <row r="41" spans="2:23" ht="15.75" customHeight="1" x14ac:dyDescent="0.25">
      <c r="B41" s="68" t="s">
        <v>14</v>
      </c>
      <c r="C41" s="36">
        <v>503360</v>
      </c>
      <c r="D41" s="36" t="s">
        <v>213</v>
      </c>
      <c r="E41" s="36">
        <v>12</v>
      </c>
      <c r="F41" s="36" t="s">
        <v>99</v>
      </c>
      <c r="G41" s="36" t="s">
        <v>15</v>
      </c>
      <c r="H41" s="36" t="s">
        <v>16</v>
      </c>
      <c r="I41" s="36" t="s">
        <v>35</v>
      </c>
      <c r="J41" s="36" t="s">
        <v>36</v>
      </c>
      <c r="K41" s="36" t="s">
        <v>42</v>
      </c>
      <c r="L41" s="36" t="s">
        <v>25</v>
      </c>
      <c r="M41" s="36" t="s">
        <v>19</v>
      </c>
      <c r="N41" s="36" t="s">
        <v>46</v>
      </c>
      <c r="O41" s="36" t="s">
        <v>47</v>
      </c>
      <c r="P41" s="44">
        <v>6433830</v>
      </c>
      <c r="Q41" s="44">
        <v>0</v>
      </c>
      <c r="R41" s="44">
        <v>0</v>
      </c>
      <c r="S41" s="44">
        <v>0</v>
      </c>
      <c r="T41" s="44">
        <v>1158807</v>
      </c>
      <c r="U41" s="44">
        <f>+SUM(ALLPYCRI23Y21[[#This Row],[MONTO FF]:[NO PECUNIO INIA]])</f>
        <v>7592637</v>
      </c>
      <c r="V41" s="37" t="s">
        <v>99</v>
      </c>
      <c r="W41" s="27"/>
    </row>
    <row r="42" spans="2:23" s="30" customFormat="1" x14ac:dyDescent="0.25">
      <c r="B42" s="68" t="s">
        <v>100</v>
      </c>
      <c r="C42" s="36">
        <v>503374</v>
      </c>
      <c r="D42" s="36" t="s">
        <v>204</v>
      </c>
      <c r="E42" s="36">
        <v>70</v>
      </c>
      <c r="F42" s="36" t="s">
        <v>99</v>
      </c>
      <c r="G42" s="36" t="s">
        <v>15</v>
      </c>
      <c r="H42" s="36" t="s">
        <v>16</v>
      </c>
      <c r="I42" s="36"/>
      <c r="J42" s="36"/>
      <c r="K42" s="36" t="s">
        <v>149</v>
      </c>
      <c r="L42" s="36" t="s">
        <v>18</v>
      </c>
      <c r="M42" s="39" t="s">
        <v>19</v>
      </c>
      <c r="N42" s="39" t="s">
        <v>147</v>
      </c>
      <c r="O42" s="39" t="s">
        <v>148</v>
      </c>
      <c r="P42" s="41">
        <v>4338104</v>
      </c>
      <c r="Q42" s="41">
        <v>0</v>
      </c>
      <c r="R42" s="41">
        <v>0</v>
      </c>
      <c r="S42" s="41">
        <v>0</v>
      </c>
      <c r="T42" s="41">
        <v>0</v>
      </c>
      <c r="U42" s="41">
        <f>+SUM(ALLPYCRI23Y21[[#This Row],[MONTO FF]:[NO PECUNIO INIA]])</f>
        <v>4338104</v>
      </c>
      <c r="V42" s="40" t="s">
        <v>99</v>
      </c>
      <c r="W42" s="29"/>
    </row>
    <row r="43" spans="2:23" s="30" customFormat="1" x14ac:dyDescent="0.25">
      <c r="B43" s="68" t="s">
        <v>100</v>
      </c>
      <c r="C43" s="36">
        <v>503345</v>
      </c>
      <c r="D43" s="36" t="s">
        <v>204</v>
      </c>
      <c r="E43" s="36">
        <v>70</v>
      </c>
      <c r="F43" s="36" t="s">
        <v>99</v>
      </c>
      <c r="G43" s="36" t="s">
        <v>15</v>
      </c>
      <c r="H43" s="36" t="s">
        <v>16</v>
      </c>
      <c r="I43" s="36"/>
      <c r="J43" s="36"/>
      <c r="K43" s="36" t="s">
        <v>144</v>
      </c>
      <c r="L43" s="36" t="s">
        <v>116</v>
      </c>
      <c r="M43" s="39" t="s">
        <v>19</v>
      </c>
      <c r="N43" s="39" t="s">
        <v>145</v>
      </c>
      <c r="O43" s="39" t="s">
        <v>28</v>
      </c>
      <c r="P43" s="41">
        <v>3695230</v>
      </c>
      <c r="Q43" s="41">
        <v>0</v>
      </c>
      <c r="R43" s="41">
        <v>0</v>
      </c>
      <c r="S43" s="41">
        <v>0</v>
      </c>
      <c r="T43" s="41">
        <v>0</v>
      </c>
      <c r="U43" s="41">
        <f>+SUM(ALLPYCRI23Y21[[#This Row],[MONTO FF]:[NO PECUNIO INIA]])</f>
        <v>3695230</v>
      </c>
      <c r="V43" s="40" t="s">
        <v>99</v>
      </c>
      <c r="W43" s="29"/>
    </row>
    <row r="44" spans="2:23" s="30" customFormat="1" x14ac:dyDescent="0.25">
      <c r="B44" s="68" t="s">
        <v>100</v>
      </c>
      <c r="C44" s="36">
        <v>503327</v>
      </c>
      <c r="D44" s="36" t="s">
        <v>204</v>
      </c>
      <c r="E44" s="36">
        <v>70</v>
      </c>
      <c r="F44" s="36" t="s">
        <v>99</v>
      </c>
      <c r="G44" s="36" t="s">
        <v>15</v>
      </c>
      <c r="H44" s="36" t="s">
        <v>16</v>
      </c>
      <c r="I44" s="36"/>
      <c r="J44" s="36"/>
      <c r="K44" s="36" t="s">
        <v>139</v>
      </c>
      <c r="L44" s="36" t="s">
        <v>67</v>
      </c>
      <c r="M44" s="39" t="s">
        <v>19</v>
      </c>
      <c r="N44" s="39" t="s">
        <v>140</v>
      </c>
      <c r="O44" s="39" t="s">
        <v>41</v>
      </c>
      <c r="P44" s="41">
        <v>4674133</v>
      </c>
      <c r="Q44" s="41">
        <v>0</v>
      </c>
      <c r="R44" s="41">
        <v>0</v>
      </c>
      <c r="S44" s="41">
        <v>0</v>
      </c>
      <c r="T44" s="41">
        <v>0</v>
      </c>
      <c r="U44" s="41">
        <f>+SUM(ALLPYCRI23Y21[[#This Row],[MONTO FF]:[NO PECUNIO INIA]])</f>
        <v>4674133</v>
      </c>
      <c r="V44" s="40" t="s">
        <v>99</v>
      </c>
      <c r="W44" s="29"/>
    </row>
    <row r="45" spans="2:23" s="30" customFormat="1" x14ac:dyDescent="0.25">
      <c r="B45" s="68" t="s">
        <v>100</v>
      </c>
      <c r="C45" s="36">
        <v>503326</v>
      </c>
      <c r="D45" s="36" t="s">
        <v>204</v>
      </c>
      <c r="E45" s="36">
        <v>70</v>
      </c>
      <c r="F45" s="36" t="s">
        <v>99</v>
      </c>
      <c r="G45" s="36" t="s">
        <v>15</v>
      </c>
      <c r="H45" s="36" t="s">
        <v>16</v>
      </c>
      <c r="I45" s="36"/>
      <c r="J45" s="36"/>
      <c r="K45" s="36" t="s">
        <v>141</v>
      </c>
      <c r="L45" s="36" t="s">
        <v>67</v>
      </c>
      <c r="M45" s="39" t="s">
        <v>19</v>
      </c>
      <c r="N45" s="39" t="s">
        <v>142</v>
      </c>
      <c r="O45" s="39" t="s">
        <v>143</v>
      </c>
      <c r="P45" s="41">
        <v>4384357</v>
      </c>
      <c r="Q45" s="41">
        <v>0</v>
      </c>
      <c r="R45" s="41">
        <v>0</v>
      </c>
      <c r="S45" s="41">
        <v>0</v>
      </c>
      <c r="T45" s="41">
        <v>0</v>
      </c>
      <c r="U45" s="41">
        <f>+SUM(ALLPYCRI23Y21[[#This Row],[MONTO FF]:[NO PECUNIO INIA]])</f>
        <v>4384357</v>
      </c>
      <c r="V45" s="40" t="s">
        <v>99</v>
      </c>
      <c r="W45" s="29"/>
    </row>
    <row r="46" spans="2:23" s="30" customFormat="1" ht="30" x14ac:dyDescent="0.25">
      <c r="B46" s="68" t="s">
        <v>100</v>
      </c>
      <c r="C46" s="36">
        <v>503260</v>
      </c>
      <c r="D46" s="36" t="s">
        <v>214</v>
      </c>
      <c r="E46" s="36">
        <v>10</v>
      </c>
      <c r="F46" s="36">
        <v>70</v>
      </c>
      <c r="G46" s="36" t="s">
        <v>15</v>
      </c>
      <c r="H46" s="36"/>
      <c r="I46" s="36" t="s">
        <v>35</v>
      </c>
      <c r="J46" s="36" t="s">
        <v>36</v>
      </c>
      <c r="K46" s="36" t="s">
        <v>110</v>
      </c>
      <c r="L46" s="36" t="s">
        <v>67</v>
      </c>
      <c r="M46" s="39" t="s">
        <v>19</v>
      </c>
      <c r="N46" s="39" t="s">
        <v>111</v>
      </c>
      <c r="O46" s="39" t="s">
        <v>112</v>
      </c>
      <c r="P46" s="41">
        <v>85000000</v>
      </c>
      <c r="Q46" s="41">
        <v>850000</v>
      </c>
      <c r="R46" s="41">
        <v>0</v>
      </c>
      <c r="S46" s="41">
        <v>0</v>
      </c>
      <c r="T46" s="42">
        <v>67237439</v>
      </c>
      <c r="U46" s="41">
        <f>+SUM(ALLPYCRI23Y21[[#This Row],[MONTO FF]:[NO PECUNIO INIA]])</f>
        <v>153087439</v>
      </c>
      <c r="V46" s="40" t="s">
        <v>113</v>
      </c>
      <c r="W46" s="29"/>
    </row>
    <row r="47" spans="2:23" s="30" customFormat="1" x14ac:dyDescent="0.25">
      <c r="B47" s="68" t="s">
        <v>100</v>
      </c>
      <c r="C47" s="36">
        <v>503122</v>
      </c>
      <c r="D47" s="36" t="s">
        <v>214</v>
      </c>
      <c r="E47" s="36">
        <v>10</v>
      </c>
      <c r="F47" s="36">
        <v>70</v>
      </c>
      <c r="G47" s="36" t="s">
        <v>15</v>
      </c>
      <c r="H47" s="36"/>
      <c r="I47" s="36"/>
      <c r="J47" s="36"/>
      <c r="K47" s="36" t="s">
        <v>134</v>
      </c>
      <c r="L47" s="36" t="s">
        <v>135</v>
      </c>
      <c r="M47" s="39" t="s">
        <v>19</v>
      </c>
      <c r="N47" s="39" t="s">
        <v>136</v>
      </c>
      <c r="O47" s="39" t="s">
        <v>137</v>
      </c>
      <c r="P47" s="56">
        <v>2000000</v>
      </c>
      <c r="Q47" s="41">
        <v>0</v>
      </c>
      <c r="R47" s="41">
        <v>0</v>
      </c>
      <c r="S47" s="41">
        <v>0</v>
      </c>
      <c r="T47" s="41">
        <v>0</v>
      </c>
      <c r="U47" s="41">
        <f>+SUM(ALLPYCRI23Y21[[#This Row],[MONTO FF]:[NO PECUNIO INIA]])</f>
        <v>2000000</v>
      </c>
      <c r="V47" s="40" t="s">
        <v>138</v>
      </c>
      <c r="W47" s="29"/>
    </row>
    <row r="48" spans="2:23" s="30" customFormat="1" ht="30" x14ac:dyDescent="0.25">
      <c r="B48" s="68" t="s">
        <v>100</v>
      </c>
      <c r="C48" s="36">
        <v>503120</v>
      </c>
      <c r="D48" s="36" t="s">
        <v>205</v>
      </c>
      <c r="E48" s="36">
        <v>44</v>
      </c>
      <c r="F48" s="36" t="s">
        <v>101</v>
      </c>
      <c r="G48" s="36" t="s">
        <v>15</v>
      </c>
      <c r="H48" s="36"/>
      <c r="I48" s="36"/>
      <c r="J48" s="36" t="s">
        <v>36</v>
      </c>
      <c r="K48" s="36" t="s">
        <v>102</v>
      </c>
      <c r="L48" s="36" t="s">
        <v>103</v>
      </c>
      <c r="M48" s="39" t="s">
        <v>19</v>
      </c>
      <c r="N48" s="39" t="s">
        <v>104</v>
      </c>
      <c r="O48" s="40" t="s">
        <v>28</v>
      </c>
      <c r="P48" s="57">
        <v>200000000</v>
      </c>
      <c r="Q48" s="58">
        <v>10508309</v>
      </c>
      <c r="R48" s="41">
        <v>0</v>
      </c>
      <c r="S48" s="57">
        <v>0</v>
      </c>
      <c r="T48" s="59">
        <v>0</v>
      </c>
      <c r="U48" s="41">
        <f>+SUM(ALLPYCRI23Y21[[#This Row],[MONTO FF]:[NO PECUNIO INIA]])</f>
        <v>210508309</v>
      </c>
      <c r="V48" s="40" t="s">
        <v>105</v>
      </c>
      <c r="W48" s="29"/>
    </row>
    <row r="49" spans="2:23" ht="30" x14ac:dyDescent="0.25">
      <c r="B49" s="68" t="s">
        <v>14</v>
      </c>
      <c r="C49" s="36">
        <v>503359</v>
      </c>
      <c r="D49" s="36" t="s">
        <v>206</v>
      </c>
      <c r="E49" s="36">
        <v>25</v>
      </c>
      <c r="F49" s="36">
        <v>70</v>
      </c>
      <c r="G49" s="36" t="s">
        <v>15</v>
      </c>
      <c r="H49" s="36" t="s">
        <v>16</v>
      </c>
      <c r="I49" s="36" t="s">
        <v>35</v>
      </c>
      <c r="J49" s="36" t="s">
        <v>36</v>
      </c>
      <c r="K49" s="36" t="s">
        <v>43</v>
      </c>
      <c r="L49" s="36" t="s">
        <v>25</v>
      </c>
      <c r="M49" s="36" t="s">
        <v>19</v>
      </c>
      <c r="N49" s="36" t="s">
        <v>44</v>
      </c>
      <c r="O49" s="37" t="s">
        <v>45</v>
      </c>
      <c r="P49" s="50">
        <v>1800000</v>
      </c>
      <c r="Q49" s="44">
        <v>0</v>
      </c>
      <c r="R49" s="44">
        <v>0</v>
      </c>
      <c r="S49" s="44">
        <v>0</v>
      </c>
      <c r="T49" s="44">
        <v>2502869</v>
      </c>
      <c r="U49" s="44">
        <f>+SUM(ALLPYCRI23Y21[[#This Row],[MONTO FF]:[NO PECUNIO INIA]])</f>
        <v>4302869</v>
      </c>
      <c r="V49" s="37" t="s">
        <v>99</v>
      </c>
      <c r="W49" s="27"/>
    </row>
    <row r="50" spans="2:23" x14ac:dyDescent="0.25">
      <c r="B50" s="68" t="s">
        <v>14</v>
      </c>
      <c r="C50" s="36">
        <v>503356</v>
      </c>
      <c r="D50" s="36" t="s">
        <v>204</v>
      </c>
      <c r="E50" s="36">
        <v>70</v>
      </c>
      <c r="F50" s="36" t="s">
        <v>99</v>
      </c>
      <c r="G50" s="36" t="s">
        <v>15</v>
      </c>
      <c r="H50" s="36" t="s">
        <v>16</v>
      </c>
      <c r="I50" s="36"/>
      <c r="J50" s="36"/>
      <c r="K50" s="36" t="s">
        <v>39</v>
      </c>
      <c r="L50" s="36" t="s">
        <v>18</v>
      </c>
      <c r="M50" s="36" t="s">
        <v>19</v>
      </c>
      <c r="N50" s="36" t="s">
        <v>40</v>
      </c>
      <c r="O50" s="36" t="s">
        <v>41</v>
      </c>
      <c r="P50" s="44">
        <v>4023461</v>
      </c>
      <c r="Q50" s="44">
        <v>0</v>
      </c>
      <c r="R50" s="44">
        <v>0</v>
      </c>
      <c r="S50" s="44">
        <v>0</v>
      </c>
      <c r="T50" s="50">
        <v>0</v>
      </c>
      <c r="U50" s="51">
        <f>+SUM(ALLPYCRI23Y21[[#This Row],[MONTO FF]:[NO PECUNIO INIA]])</f>
        <v>4023461</v>
      </c>
      <c r="V50" s="37" t="s">
        <v>99</v>
      </c>
      <c r="W50" s="27"/>
    </row>
    <row r="51" spans="2:23" s="30" customFormat="1" ht="45" x14ac:dyDescent="0.25">
      <c r="B51" s="68" t="s">
        <v>100</v>
      </c>
      <c r="C51" s="36">
        <v>503119</v>
      </c>
      <c r="D51" s="36" t="s">
        <v>205</v>
      </c>
      <c r="E51" s="36">
        <v>44</v>
      </c>
      <c r="F51" s="36" t="s">
        <v>106</v>
      </c>
      <c r="G51" s="36" t="s">
        <v>15</v>
      </c>
      <c r="H51" s="36"/>
      <c r="I51" s="36" t="s">
        <v>35</v>
      </c>
      <c r="J51" s="36" t="s">
        <v>36</v>
      </c>
      <c r="K51" s="36" t="s">
        <v>107</v>
      </c>
      <c r="L51" s="36" t="s">
        <v>108</v>
      </c>
      <c r="M51" s="39" t="s">
        <v>19</v>
      </c>
      <c r="N51" s="39" t="s">
        <v>104</v>
      </c>
      <c r="O51" s="39" t="s">
        <v>28</v>
      </c>
      <c r="P51" s="55">
        <v>200000000</v>
      </c>
      <c r="Q51" s="41">
        <v>15000000</v>
      </c>
      <c r="R51" s="41">
        <v>6616000</v>
      </c>
      <c r="S51" s="41"/>
      <c r="T51" s="55">
        <v>66383000</v>
      </c>
      <c r="U51" s="41">
        <f>+SUM(ALLPYCRI23Y21[[#This Row],[MONTO FF]:[NO PECUNIO INIA]])</f>
        <v>287999000</v>
      </c>
      <c r="V51" s="40" t="s">
        <v>109</v>
      </c>
      <c r="W51" s="29"/>
    </row>
    <row r="52" spans="2:23" s="30" customFormat="1" x14ac:dyDescent="0.25">
      <c r="B52" s="68" t="s">
        <v>100</v>
      </c>
      <c r="C52" s="36">
        <v>503047</v>
      </c>
      <c r="D52" s="36" t="s">
        <v>213</v>
      </c>
      <c r="E52" s="36">
        <v>12</v>
      </c>
      <c r="F52" s="36" t="s">
        <v>99</v>
      </c>
      <c r="G52" s="36" t="s">
        <v>15</v>
      </c>
      <c r="H52" s="36" t="s">
        <v>16</v>
      </c>
      <c r="I52" s="36" t="s">
        <v>35</v>
      </c>
      <c r="J52" s="36" t="s">
        <v>117</v>
      </c>
      <c r="K52" s="36" t="s">
        <v>130</v>
      </c>
      <c r="L52" s="36" t="s">
        <v>116</v>
      </c>
      <c r="M52" s="39" t="s">
        <v>30</v>
      </c>
      <c r="N52" s="39" t="s">
        <v>131</v>
      </c>
      <c r="O52" s="39" t="s">
        <v>132</v>
      </c>
      <c r="P52" s="41">
        <v>24286425</v>
      </c>
      <c r="Q52" s="41">
        <v>0</v>
      </c>
      <c r="R52" s="41">
        <v>0</v>
      </c>
      <c r="S52" s="41">
        <v>0</v>
      </c>
      <c r="T52" s="41">
        <v>0</v>
      </c>
      <c r="U52" s="41">
        <f>+SUM(ALLPYCRI23Y21[[#This Row],[MONTO FF]:[NO PECUNIO INIA]])</f>
        <v>24286425</v>
      </c>
      <c r="V52" s="40" t="s">
        <v>133</v>
      </c>
      <c r="W52" s="29"/>
    </row>
    <row r="53" spans="2:23" x14ac:dyDescent="0.25">
      <c r="B53" s="68" t="s">
        <v>14</v>
      </c>
      <c r="C53" s="36">
        <v>503084</v>
      </c>
      <c r="D53" s="36" t="s">
        <v>204</v>
      </c>
      <c r="E53" s="36">
        <v>70</v>
      </c>
      <c r="F53" s="36" t="s">
        <v>99</v>
      </c>
      <c r="G53" s="36" t="s">
        <v>15</v>
      </c>
      <c r="H53" s="36" t="s">
        <v>16</v>
      </c>
      <c r="I53" s="36"/>
      <c r="J53" s="36"/>
      <c r="K53" s="36" t="s">
        <v>24</v>
      </c>
      <c r="L53" s="36" t="s">
        <v>25</v>
      </c>
      <c r="M53" s="36" t="s">
        <v>19</v>
      </c>
      <c r="N53" s="36" t="s">
        <v>26</v>
      </c>
      <c r="O53" s="36" t="s">
        <v>27</v>
      </c>
      <c r="P53" s="44">
        <v>7801804</v>
      </c>
      <c r="Q53" s="44">
        <v>0</v>
      </c>
      <c r="R53" s="44">
        <v>0</v>
      </c>
      <c r="S53" s="44">
        <v>0</v>
      </c>
      <c r="T53" s="44">
        <v>0</v>
      </c>
      <c r="U53" s="44">
        <f>+SUM(ALLPYCRI23Y21[[#This Row],[MONTO FF]:[NO PECUNIO INIA]])</f>
        <v>7801804</v>
      </c>
      <c r="V53" s="37" t="s">
        <v>99</v>
      </c>
      <c r="W53" s="27"/>
    </row>
    <row r="54" spans="2:23" s="30" customFormat="1" ht="17.25" customHeight="1" x14ac:dyDescent="0.25">
      <c r="B54" s="68" t="s">
        <v>100</v>
      </c>
      <c r="C54" s="36">
        <v>503010</v>
      </c>
      <c r="D54" s="36" t="s">
        <v>205</v>
      </c>
      <c r="E54" s="36">
        <v>44</v>
      </c>
      <c r="F54" s="36" t="s">
        <v>59</v>
      </c>
      <c r="G54" s="36" t="s">
        <v>15</v>
      </c>
      <c r="H54" s="36"/>
      <c r="I54" s="36" t="s">
        <v>35</v>
      </c>
      <c r="J54" s="36" t="s">
        <v>117</v>
      </c>
      <c r="K54" s="36" t="s">
        <v>127</v>
      </c>
      <c r="L54" s="36" t="s">
        <v>116</v>
      </c>
      <c r="M54" s="39" t="s">
        <v>19</v>
      </c>
      <c r="N54" s="39" t="s">
        <v>128</v>
      </c>
      <c r="O54" s="39" t="s">
        <v>77</v>
      </c>
      <c r="P54" s="41">
        <v>59304174</v>
      </c>
      <c r="Q54" s="55">
        <v>10500000</v>
      </c>
      <c r="R54" s="41"/>
      <c r="S54" s="41"/>
      <c r="T54" s="41"/>
      <c r="U54" s="41">
        <f>+SUM(ALLPYCRI23Y21[[#This Row],[MONTO FF]:[NO PECUNIO INIA]])</f>
        <v>69804174</v>
      </c>
      <c r="V54" s="40" t="s">
        <v>129</v>
      </c>
      <c r="W54" s="29"/>
    </row>
    <row r="55" spans="2:23" ht="30" x14ac:dyDescent="0.25">
      <c r="B55" s="68" t="s">
        <v>14</v>
      </c>
      <c r="C55" s="36">
        <v>503060</v>
      </c>
      <c r="D55" s="36" t="s">
        <v>209</v>
      </c>
      <c r="E55" s="36">
        <v>22</v>
      </c>
      <c r="F55" s="36">
        <v>70</v>
      </c>
      <c r="G55" s="36" t="s">
        <v>15</v>
      </c>
      <c r="H55" s="36"/>
      <c r="I55" s="36" t="s">
        <v>35</v>
      </c>
      <c r="J55" s="36" t="s">
        <v>36</v>
      </c>
      <c r="K55" s="36" t="s">
        <v>37</v>
      </c>
      <c r="L55" s="36" t="s">
        <v>25</v>
      </c>
      <c r="M55" s="36" t="s">
        <v>19</v>
      </c>
      <c r="N55" s="36" t="s">
        <v>34</v>
      </c>
      <c r="O55" s="36" t="s">
        <v>38</v>
      </c>
      <c r="P55" s="44">
        <v>3228000</v>
      </c>
      <c r="Q55" s="44">
        <v>0</v>
      </c>
      <c r="R55" s="44">
        <v>0</v>
      </c>
      <c r="S55" s="44">
        <v>0</v>
      </c>
      <c r="T55" s="60">
        <v>0</v>
      </c>
      <c r="U55" s="44">
        <f>+SUM(ALLPYCRI23Y21[[#This Row],[MONTO FF]:[NO PECUNIO INIA]])</f>
        <v>3228000</v>
      </c>
      <c r="V55" s="37">
        <v>1201050</v>
      </c>
      <c r="W55" s="27"/>
    </row>
    <row r="56" spans="2:23" s="30" customFormat="1" x14ac:dyDescent="0.25">
      <c r="B56" s="68" t="s">
        <v>100</v>
      </c>
      <c r="C56" s="36">
        <v>502987</v>
      </c>
      <c r="D56" s="36" t="s">
        <v>204</v>
      </c>
      <c r="E56" s="36">
        <v>70</v>
      </c>
      <c r="F56" s="36" t="s">
        <v>99</v>
      </c>
      <c r="G56" s="36" t="s">
        <v>15</v>
      </c>
      <c r="H56" s="36" t="s">
        <v>16</v>
      </c>
      <c r="I56" s="36"/>
      <c r="J56" s="36"/>
      <c r="K56" s="36" t="s">
        <v>114</v>
      </c>
      <c r="L56" s="36" t="s">
        <v>67</v>
      </c>
      <c r="M56" s="39" t="s">
        <v>19</v>
      </c>
      <c r="N56" s="39" t="s">
        <v>20</v>
      </c>
      <c r="O56" s="39" t="s">
        <v>27</v>
      </c>
      <c r="P56" s="41">
        <v>1350000</v>
      </c>
      <c r="Q56" s="41">
        <v>0</v>
      </c>
      <c r="R56" s="41">
        <v>0</v>
      </c>
      <c r="S56" s="41">
        <v>0</v>
      </c>
      <c r="T56" s="57">
        <v>0</v>
      </c>
      <c r="U56" s="59">
        <f>+SUM(ALLPYCRI23Y21[[#This Row],[MONTO FF]:[NO PECUNIO INIA]])</f>
        <v>1350000</v>
      </c>
      <c r="V56" s="40" t="s">
        <v>99</v>
      </c>
      <c r="W56" s="29"/>
    </row>
    <row r="57" spans="2:23" s="30" customFormat="1" x14ac:dyDescent="0.25">
      <c r="B57" s="68" t="s">
        <v>100</v>
      </c>
      <c r="C57" s="36">
        <v>502789</v>
      </c>
      <c r="D57" s="36" t="s">
        <v>214</v>
      </c>
      <c r="E57" s="36">
        <v>10</v>
      </c>
      <c r="F57" s="36">
        <v>70</v>
      </c>
      <c r="G57" s="36" t="s">
        <v>15</v>
      </c>
      <c r="H57" s="36" t="s">
        <v>16</v>
      </c>
      <c r="I57" s="36" t="s">
        <v>35</v>
      </c>
      <c r="J57" s="36" t="s">
        <v>117</v>
      </c>
      <c r="K57" s="36" t="s">
        <v>123</v>
      </c>
      <c r="L57" s="36" t="s">
        <v>67</v>
      </c>
      <c r="M57" s="39" t="s">
        <v>19</v>
      </c>
      <c r="N57" s="39" t="s">
        <v>124</v>
      </c>
      <c r="O57" s="39" t="s">
        <v>125</v>
      </c>
      <c r="P57" s="41">
        <v>31680034</v>
      </c>
      <c r="Q57" s="41">
        <v>0</v>
      </c>
      <c r="R57" s="41">
        <v>0</v>
      </c>
      <c r="S57" s="41">
        <v>0</v>
      </c>
      <c r="T57" s="41">
        <v>0</v>
      </c>
      <c r="U57" s="41">
        <f>+SUM(ALLPYCRI23Y21[[#This Row],[MONTO FF]:[NO PECUNIO INIA]])</f>
        <v>31680034</v>
      </c>
      <c r="V57" s="40" t="s">
        <v>126</v>
      </c>
      <c r="W57" s="29"/>
    </row>
    <row r="58" spans="2:23" s="30" customFormat="1" ht="30" x14ac:dyDescent="0.25">
      <c r="B58" s="72" t="s">
        <v>100</v>
      </c>
      <c r="C58" s="36">
        <v>502702</v>
      </c>
      <c r="D58" s="36" t="s">
        <v>205</v>
      </c>
      <c r="E58" s="36">
        <v>44</v>
      </c>
      <c r="F58" s="36" t="s">
        <v>101</v>
      </c>
      <c r="G58" s="36" t="s">
        <v>15</v>
      </c>
      <c r="H58" s="36"/>
      <c r="I58" s="36" t="s">
        <v>35</v>
      </c>
      <c r="J58" s="36" t="s">
        <v>117</v>
      </c>
      <c r="K58" s="36" t="s">
        <v>118</v>
      </c>
      <c r="L58" s="36" t="s">
        <v>119</v>
      </c>
      <c r="M58" s="39" t="s">
        <v>19</v>
      </c>
      <c r="N58" s="39" t="s">
        <v>120</v>
      </c>
      <c r="O58" s="39" t="s">
        <v>121</v>
      </c>
      <c r="P58" s="41">
        <v>39756046</v>
      </c>
      <c r="Q58" s="41">
        <v>4000000</v>
      </c>
      <c r="R58" s="41">
        <v>0</v>
      </c>
      <c r="S58" s="41">
        <v>0</v>
      </c>
      <c r="T58" s="53">
        <v>0</v>
      </c>
      <c r="U58" s="41">
        <f>+SUM(ALLPYCRI23Y21[[#This Row],[MONTO FF]:[NO PECUNIO INIA]])</f>
        <v>43756046</v>
      </c>
      <c r="V58" s="40" t="s">
        <v>122</v>
      </c>
      <c r="W58" s="29"/>
    </row>
    <row r="59" spans="2:23" x14ac:dyDescent="0.25">
      <c r="B59" s="70" t="s">
        <v>14</v>
      </c>
      <c r="C59" s="71">
        <v>502988</v>
      </c>
      <c r="D59" s="61" t="s">
        <v>204</v>
      </c>
      <c r="E59" s="61">
        <v>70</v>
      </c>
      <c r="F59" s="61" t="s">
        <v>99</v>
      </c>
      <c r="G59" s="61" t="s">
        <v>15</v>
      </c>
      <c r="H59" s="61" t="s">
        <v>16</v>
      </c>
      <c r="I59" s="61"/>
      <c r="J59" s="61"/>
      <c r="K59" s="61" t="s">
        <v>17</v>
      </c>
      <c r="L59" s="61" t="s">
        <v>18</v>
      </c>
      <c r="M59" s="61" t="s">
        <v>19</v>
      </c>
      <c r="N59" s="61" t="s">
        <v>20</v>
      </c>
      <c r="O59" s="61" t="s">
        <v>21</v>
      </c>
      <c r="P59" s="60">
        <v>337500</v>
      </c>
      <c r="Q59" s="60">
        <v>0</v>
      </c>
      <c r="R59" s="46">
        <v>0</v>
      </c>
      <c r="S59" s="60">
        <v>0</v>
      </c>
      <c r="T59" s="46">
        <v>0</v>
      </c>
      <c r="U59" s="60">
        <f>+SUM(ALLPYCRI23Y21[[#This Row],[MONTO FF]:[NO PECUNIO INIA]])</f>
        <v>337500</v>
      </c>
      <c r="V59" s="62" t="s">
        <v>99</v>
      </c>
      <c r="W59" s="27"/>
    </row>
    <row r="60" spans="2:23" s="30" customFormat="1" x14ac:dyDescent="0.25">
      <c r="B60" s="72" t="s">
        <v>100</v>
      </c>
      <c r="C60" s="36">
        <v>500014</v>
      </c>
      <c r="D60" s="36" t="s">
        <v>204</v>
      </c>
      <c r="E60" s="36">
        <v>70</v>
      </c>
      <c r="F60" s="36" t="s">
        <v>99</v>
      </c>
      <c r="G60" s="36" t="s">
        <v>15</v>
      </c>
      <c r="H60" s="36" t="s">
        <v>16</v>
      </c>
      <c r="I60" s="36"/>
      <c r="J60" s="36"/>
      <c r="K60" s="36" t="s">
        <v>115</v>
      </c>
      <c r="L60" s="36" t="s">
        <v>116</v>
      </c>
      <c r="M60" s="39" t="s">
        <v>30</v>
      </c>
      <c r="N60" s="39" t="s">
        <v>32</v>
      </c>
      <c r="O60" s="39" t="s">
        <v>31</v>
      </c>
      <c r="P60" s="41">
        <v>5881000</v>
      </c>
      <c r="Q60" s="41">
        <v>0</v>
      </c>
      <c r="R60" s="41">
        <v>0</v>
      </c>
      <c r="S60" s="41">
        <v>0</v>
      </c>
      <c r="T60" s="41">
        <v>0</v>
      </c>
      <c r="U60" s="41">
        <f>+SUM(ALLPYCRI23Y21[[#This Row],[MONTO FF]:[NO PECUNIO INIA]])</f>
        <v>5881000</v>
      </c>
      <c r="V60" s="39" t="s">
        <v>99</v>
      </c>
      <c r="W60" s="29"/>
    </row>
    <row r="61" spans="2:23" x14ac:dyDescent="0.25">
      <c r="B61" s="70" t="s">
        <v>14</v>
      </c>
      <c r="C61" s="36">
        <v>502985</v>
      </c>
      <c r="D61" s="36" t="s">
        <v>204</v>
      </c>
      <c r="E61" s="36">
        <v>70</v>
      </c>
      <c r="F61" s="36" t="s">
        <v>99</v>
      </c>
      <c r="G61" s="36" t="s">
        <v>15</v>
      </c>
      <c r="H61" s="36" t="s">
        <v>16</v>
      </c>
      <c r="I61" s="36"/>
      <c r="J61" s="36"/>
      <c r="K61" s="36" t="s">
        <v>22</v>
      </c>
      <c r="L61" s="36" t="s">
        <v>18</v>
      </c>
      <c r="M61" s="36" t="s">
        <v>19</v>
      </c>
      <c r="N61" s="36" t="s">
        <v>20</v>
      </c>
      <c r="O61" s="36" t="s">
        <v>23</v>
      </c>
      <c r="P61" s="44">
        <v>655000</v>
      </c>
      <c r="Q61" s="44">
        <v>0</v>
      </c>
      <c r="R61" s="44">
        <v>0</v>
      </c>
      <c r="S61" s="44">
        <v>0</v>
      </c>
      <c r="T61" s="44">
        <v>0</v>
      </c>
      <c r="U61" s="44">
        <f>+SUM(ALLPYCRI23Y21[[#This Row],[MONTO FF]:[NO PECUNIO INIA]])</f>
        <v>655000</v>
      </c>
      <c r="V61" s="36" t="s">
        <v>99</v>
      </c>
      <c r="W61" s="27"/>
    </row>
    <row r="62" spans="2:23" x14ac:dyDescent="0.25">
      <c r="B62" s="70" t="s">
        <v>14</v>
      </c>
      <c r="C62" s="36">
        <v>502849</v>
      </c>
      <c r="D62" s="36" t="s">
        <v>236</v>
      </c>
      <c r="E62" s="36"/>
      <c r="F62" s="36"/>
      <c r="G62" s="36" t="s">
        <v>15</v>
      </c>
      <c r="H62" s="36" t="s">
        <v>16</v>
      </c>
      <c r="I62" s="36"/>
      <c r="J62" s="36"/>
      <c r="K62" s="36" t="s">
        <v>235</v>
      </c>
      <c r="L62" s="36" t="s">
        <v>222</v>
      </c>
      <c r="M62" s="36" t="s">
        <v>19</v>
      </c>
      <c r="N62" s="54">
        <v>43647</v>
      </c>
      <c r="O62" s="54">
        <v>45657</v>
      </c>
      <c r="P62" s="44">
        <v>14561435</v>
      </c>
      <c r="Q62" s="44"/>
      <c r="R62" s="44"/>
      <c r="S62" s="44"/>
      <c r="T62" s="44"/>
      <c r="U62" s="44">
        <f>+SUM(ALLPYCRI23Y21[[#This Row],[MONTO FF]:[NO PECUNIO INIA]])</f>
        <v>14561435</v>
      </c>
      <c r="V62" s="37"/>
      <c r="W62" s="27"/>
    </row>
    <row r="63" spans="2:23" ht="30" x14ac:dyDescent="0.25">
      <c r="B63" s="71" t="s">
        <v>14</v>
      </c>
      <c r="C63" s="61">
        <v>200313</v>
      </c>
      <c r="D63" s="61" t="s">
        <v>225</v>
      </c>
      <c r="E63" s="61">
        <v>72</v>
      </c>
      <c r="F63" s="61"/>
      <c r="G63" s="61" t="s">
        <v>15</v>
      </c>
      <c r="H63" s="61" t="s">
        <v>16</v>
      </c>
      <c r="I63" s="61" t="s">
        <v>35</v>
      </c>
      <c r="J63" s="61" t="s">
        <v>36</v>
      </c>
      <c r="K63" s="61" t="s">
        <v>221</v>
      </c>
      <c r="L63" s="61" t="s">
        <v>222</v>
      </c>
      <c r="M63" s="61" t="s">
        <v>19</v>
      </c>
      <c r="N63" s="61" t="s">
        <v>223</v>
      </c>
      <c r="O63" s="61" t="s">
        <v>224</v>
      </c>
      <c r="P63" s="60">
        <v>24074063</v>
      </c>
      <c r="Q63" s="60">
        <v>0</v>
      </c>
      <c r="R63" s="60">
        <v>0</v>
      </c>
      <c r="S63" s="60">
        <v>0</v>
      </c>
      <c r="T63" s="60">
        <v>0</v>
      </c>
      <c r="U63" s="60">
        <f>+SUM(ALLPYCRI23Y21[[#This Row],[MONTO FF]:[NO PECUNIO INIA]])</f>
        <v>24074063</v>
      </c>
      <c r="V63" s="62"/>
      <c r="W63" s="27"/>
    </row>
    <row r="64" spans="2:23" x14ac:dyDescent="0.25">
      <c r="M64" s="63"/>
      <c r="N64" s="63"/>
      <c r="O64" s="63"/>
      <c r="P64" s="64"/>
      <c r="Q64" s="64"/>
      <c r="R64" s="64"/>
      <c r="S64" s="64"/>
      <c r="T64" s="64"/>
      <c r="U64" s="64"/>
      <c r="V64" s="63"/>
      <c r="W64" s="27"/>
    </row>
    <row r="65" spans="13:23" x14ac:dyDescent="0.25">
      <c r="M65" s="63"/>
      <c r="N65" s="63"/>
      <c r="O65" s="63"/>
      <c r="P65" s="64"/>
      <c r="Q65" s="64"/>
      <c r="R65" s="64"/>
      <c r="S65" s="64"/>
      <c r="T65" s="64"/>
      <c r="U65" s="64"/>
      <c r="V65" s="63"/>
      <c r="W65" s="27"/>
    </row>
    <row r="66" spans="13:23" x14ac:dyDescent="0.25">
      <c r="M66" s="63"/>
      <c r="N66" s="63"/>
      <c r="O66" s="63"/>
      <c r="P66" s="64"/>
      <c r="Q66" s="64"/>
      <c r="R66" s="64"/>
      <c r="S66" s="64"/>
      <c r="T66" s="64"/>
      <c r="U66" s="64"/>
      <c r="V66" s="63"/>
      <c r="W66" s="27"/>
    </row>
    <row r="67" spans="13:23" x14ac:dyDescent="0.25">
      <c r="M67" s="63"/>
      <c r="N67" s="63"/>
      <c r="O67" s="63"/>
      <c r="P67" s="64"/>
      <c r="Q67" s="64"/>
      <c r="R67" s="64"/>
      <c r="S67" s="64"/>
      <c r="T67" s="64"/>
      <c r="U67" s="64"/>
      <c r="V67" s="63"/>
      <c r="W67" s="27"/>
    </row>
    <row r="68" spans="13:23" x14ac:dyDescent="0.25">
      <c r="M68" s="63"/>
      <c r="N68" s="63"/>
      <c r="O68" s="63"/>
      <c r="P68" s="64"/>
      <c r="Q68" s="64"/>
      <c r="R68" s="64"/>
      <c r="S68" s="64"/>
      <c r="T68" s="64"/>
      <c r="U68" s="64"/>
      <c r="V68" s="63"/>
      <c r="W68" s="27"/>
    </row>
    <row r="69" spans="13:23" x14ac:dyDescent="0.25">
      <c r="M69" s="63"/>
      <c r="N69" s="63"/>
      <c r="O69" s="63"/>
      <c r="P69" s="64"/>
      <c r="Q69" s="64"/>
      <c r="R69" s="64"/>
      <c r="S69" s="64"/>
      <c r="T69" s="64"/>
      <c r="U69" s="64"/>
      <c r="V69" s="63"/>
      <c r="W69" s="27"/>
    </row>
    <row r="70" spans="13:23" x14ac:dyDescent="0.25">
      <c r="M70" s="63"/>
      <c r="N70" s="63"/>
      <c r="O70" s="63"/>
      <c r="P70" s="64"/>
      <c r="Q70" s="64"/>
      <c r="R70" s="64"/>
      <c r="S70" s="64"/>
      <c r="T70" s="64"/>
      <c r="U70" s="64"/>
      <c r="V70" s="63"/>
      <c r="W70" s="27"/>
    </row>
    <row r="71" spans="13:23" x14ac:dyDescent="0.25">
      <c r="M71" s="63"/>
      <c r="N71" s="63"/>
      <c r="O71" s="63"/>
      <c r="P71" s="64"/>
      <c r="Q71" s="64"/>
      <c r="R71" s="64"/>
      <c r="S71" s="64"/>
      <c r="T71" s="64"/>
      <c r="U71" s="64"/>
      <c r="V71" s="63"/>
      <c r="W71" s="27"/>
    </row>
    <row r="72" spans="13:23" x14ac:dyDescent="0.25">
      <c r="M72" s="63"/>
      <c r="N72" s="63"/>
      <c r="O72" s="63"/>
      <c r="P72" s="64"/>
      <c r="Q72" s="64"/>
      <c r="R72" s="64"/>
      <c r="S72" s="64"/>
      <c r="T72" s="64"/>
      <c r="U72" s="64"/>
      <c r="V72" s="63"/>
      <c r="W72" s="27"/>
    </row>
    <row r="73" spans="13:23" x14ac:dyDescent="0.25">
      <c r="M73" s="63"/>
      <c r="N73" s="63"/>
      <c r="O73" s="63"/>
      <c r="P73" s="64"/>
      <c r="Q73" s="64"/>
      <c r="R73" s="64"/>
      <c r="S73" s="64"/>
      <c r="T73" s="64"/>
      <c r="U73" s="64"/>
      <c r="V73" s="63"/>
      <c r="W73" s="27"/>
    </row>
    <row r="74" spans="13:23" x14ac:dyDescent="0.25">
      <c r="M74" s="63"/>
      <c r="N74" s="63"/>
      <c r="O74" s="63"/>
      <c r="P74" s="64"/>
      <c r="Q74" s="64"/>
      <c r="R74" s="64"/>
      <c r="S74" s="64"/>
      <c r="T74" s="64"/>
      <c r="U74" s="64"/>
      <c r="V74" s="63"/>
      <c r="W74" s="27"/>
    </row>
    <row r="75" spans="13:23" x14ac:dyDescent="0.25">
      <c r="M75" s="63"/>
      <c r="N75" s="63"/>
      <c r="O75" s="63"/>
      <c r="P75" s="64"/>
      <c r="Q75" s="64"/>
      <c r="R75" s="64"/>
      <c r="S75" s="64"/>
      <c r="T75" s="64"/>
      <c r="U75" s="64"/>
      <c r="V75" s="63"/>
      <c r="W75" s="27"/>
    </row>
    <row r="76" spans="13:23" x14ac:dyDescent="0.25">
      <c r="M76" s="63"/>
      <c r="N76" s="63"/>
      <c r="O76" s="63"/>
      <c r="P76" s="64"/>
      <c r="Q76" s="64"/>
      <c r="R76" s="64"/>
      <c r="S76" s="64"/>
      <c r="T76" s="64"/>
      <c r="U76" s="64"/>
      <c r="V76" s="63"/>
      <c r="W76" s="27"/>
    </row>
    <row r="77" spans="13:23" x14ac:dyDescent="0.25">
      <c r="M77" s="63"/>
      <c r="N77" s="63"/>
      <c r="O77" s="63"/>
      <c r="P77" s="64"/>
      <c r="Q77" s="64"/>
      <c r="R77" s="64"/>
      <c r="S77" s="64"/>
      <c r="T77" s="64"/>
      <c r="U77" s="64"/>
      <c r="V77" s="63"/>
      <c r="W77" s="27"/>
    </row>
    <row r="78" spans="13:23" x14ac:dyDescent="0.25">
      <c r="M78" s="63"/>
      <c r="N78" s="63"/>
      <c r="O78" s="63"/>
      <c r="P78" s="64"/>
      <c r="Q78" s="64"/>
      <c r="R78" s="64"/>
      <c r="S78" s="64"/>
      <c r="T78" s="64"/>
      <c r="U78" s="64"/>
      <c r="V78" s="63"/>
      <c r="W78" s="27"/>
    </row>
    <row r="79" spans="13:23" x14ac:dyDescent="0.25">
      <c r="M79" s="63"/>
      <c r="N79" s="63"/>
      <c r="O79" s="63"/>
      <c r="P79" s="64"/>
      <c r="Q79" s="64"/>
      <c r="R79" s="64"/>
      <c r="S79" s="64"/>
      <c r="T79" s="64"/>
      <c r="U79" s="64"/>
      <c r="V79" s="63"/>
      <c r="W79" s="27"/>
    </row>
    <row r="80" spans="13:23" x14ac:dyDescent="0.25">
      <c r="M80" s="63"/>
      <c r="N80" s="63"/>
      <c r="O80" s="63"/>
      <c r="P80" s="64"/>
      <c r="Q80" s="64"/>
      <c r="R80" s="64"/>
      <c r="S80" s="64"/>
      <c r="T80" s="64"/>
      <c r="U80" s="64"/>
      <c r="V80" s="63"/>
      <c r="W80" s="27"/>
    </row>
    <row r="81" spans="13:23" x14ac:dyDescent="0.25">
      <c r="M81" s="63"/>
      <c r="N81" s="63"/>
      <c r="O81" s="63"/>
      <c r="P81" s="64"/>
      <c r="Q81" s="64"/>
      <c r="R81" s="64"/>
      <c r="S81" s="64"/>
      <c r="T81" s="64"/>
      <c r="U81" s="64"/>
      <c r="V81" s="63"/>
      <c r="W81" s="27"/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73"/>
  <sheetViews>
    <sheetView showGridLines="0" zoomScale="80" zoomScaleNormal="80" workbookViewId="0">
      <selection activeCell="F65" sqref="F65:G65"/>
    </sheetView>
  </sheetViews>
  <sheetFormatPr baseColWidth="10" defaultRowHeight="14.25" outlineLevelCol="3" x14ac:dyDescent="0.2"/>
  <cols>
    <col min="1" max="1" width="18.25" customWidth="1"/>
    <col min="2" max="2" width="32.125" customWidth="1" outlineLevel="3"/>
    <col min="3" max="3" width="19.125" customWidth="1" outlineLevel="3"/>
    <col min="4" max="4" width="1.875" customWidth="1"/>
    <col min="5" max="5" width="17.75" customWidth="1"/>
    <col min="6" max="6" width="17.625" customWidth="1" outlineLevel="1"/>
    <col min="7" max="7" width="19.125" customWidth="1" outlineLevel="1"/>
    <col min="8" max="8" width="2.25" customWidth="1"/>
  </cols>
  <sheetData>
    <row r="3" spans="2:7" x14ac:dyDescent="0.2">
      <c r="B3" s="7" t="s">
        <v>215</v>
      </c>
      <c r="C3" s="7" t="s">
        <v>217</v>
      </c>
      <c r="F3" s="7" t="s">
        <v>215</v>
      </c>
      <c r="G3" s="7" t="s">
        <v>218</v>
      </c>
    </row>
    <row r="4" spans="2:7" x14ac:dyDescent="0.2">
      <c r="B4" s="8" t="s">
        <v>14</v>
      </c>
      <c r="C4" s="10">
        <v>28</v>
      </c>
      <c r="D4" s="1"/>
      <c r="E4" s="1"/>
      <c r="F4" s="8" t="s">
        <v>119</v>
      </c>
      <c r="G4" s="9">
        <v>39756046</v>
      </c>
    </row>
    <row r="5" spans="2:7" x14ac:dyDescent="0.2">
      <c r="B5" s="8" t="s">
        <v>100</v>
      </c>
      <c r="C5" s="10">
        <v>32</v>
      </c>
      <c r="D5" s="1"/>
      <c r="E5" s="1"/>
      <c r="F5" s="8" t="s">
        <v>18</v>
      </c>
      <c r="G5" s="9">
        <v>193930877</v>
      </c>
    </row>
    <row r="6" spans="2:7" x14ac:dyDescent="0.2">
      <c r="B6" s="8" t="s">
        <v>216</v>
      </c>
      <c r="C6" s="10">
        <v>60</v>
      </c>
      <c r="D6" s="1"/>
      <c r="E6" s="1"/>
      <c r="F6" s="8" t="s">
        <v>52</v>
      </c>
      <c r="G6" s="9">
        <v>723760000</v>
      </c>
    </row>
    <row r="7" spans="2:7" x14ac:dyDescent="0.2">
      <c r="F7" s="8" t="s">
        <v>103</v>
      </c>
      <c r="G7" s="9">
        <v>453657143</v>
      </c>
    </row>
    <row r="8" spans="2:7" x14ac:dyDescent="0.2">
      <c r="F8" s="8" t="s">
        <v>108</v>
      </c>
      <c r="G8" s="9">
        <v>200000000</v>
      </c>
    </row>
    <row r="9" spans="2:7" x14ac:dyDescent="0.2">
      <c r="F9" s="8" t="s">
        <v>135</v>
      </c>
      <c r="G9" s="9">
        <v>89200000</v>
      </c>
    </row>
    <row r="10" spans="2:7" x14ac:dyDescent="0.2">
      <c r="F10" s="8" t="s">
        <v>87</v>
      </c>
      <c r="G10" s="9">
        <v>80252005</v>
      </c>
    </row>
    <row r="11" spans="2:7" x14ac:dyDescent="0.2">
      <c r="B11" s="7" t="s">
        <v>215</v>
      </c>
      <c r="C11" s="7" t="s">
        <v>217</v>
      </c>
      <c r="D11" s="1"/>
      <c r="E11" s="1"/>
      <c r="F11" s="8" t="s">
        <v>25</v>
      </c>
      <c r="G11" s="9">
        <v>19263634</v>
      </c>
    </row>
    <row r="12" spans="2:7" x14ac:dyDescent="0.2">
      <c r="B12" s="8" t="s">
        <v>207</v>
      </c>
      <c r="C12" s="10">
        <v>1</v>
      </c>
      <c r="D12" s="1"/>
      <c r="E12" s="1"/>
      <c r="F12" s="8" t="s">
        <v>70</v>
      </c>
      <c r="G12" s="9">
        <v>165595000</v>
      </c>
    </row>
    <row r="13" spans="2:7" x14ac:dyDescent="0.2">
      <c r="B13" s="8" t="s">
        <v>206</v>
      </c>
      <c r="C13" s="10">
        <v>2</v>
      </c>
      <c r="D13" s="1"/>
      <c r="E13" s="1"/>
      <c r="F13" s="8" t="s">
        <v>89</v>
      </c>
      <c r="G13" s="9">
        <v>24697407</v>
      </c>
    </row>
    <row r="14" spans="2:7" x14ac:dyDescent="0.2">
      <c r="B14" s="8" t="s">
        <v>213</v>
      </c>
      <c r="C14" s="10">
        <v>3</v>
      </c>
      <c r="D14" s="1"/>
      <c r="E14" s="1"/>
      <c r="F14" s="8" t="s">
        <v>29</v>
      </c>
      <c r="G14" s="9">
        <v>364000</v>
      </c>
    </row>
    <row r="15" spans="2:7" x14ac:dyDescent="0.2">
      <c r="B15" s="8" t="s">
        <v>214</v>
      </c>
      <c r="C15" s="10">
        <v>7</v>
      </c>
      <c r="D15" s="1"/>
      <c r="E15" s="1"/>
      <c r="F15" s="8" t="s">
        <v>151</v>
      </c>
      <c r="G15" s="9">
        <v>4908168</v>
      </c>
    </row>
    <row r="16" spans="2:7" x14ac:dyDescent="0.2">
      <c r="B16" s="8" t="s">
        <v>210</v>
      </c>
      <c r="C16" s="10">
        <v>3</v>
      </c>
      <c r="D16" s="1"/>
      <c r="E16" s="1"/>
      <c r="F16" s="8" t="s">
        <v>61</v>
      </c>
      <c r="G16" s="9">
        <v>100533326</v>
      </c>
    </row>
    <row r="17" spans="2:7" x14ac:dyDescent="0.2">
      <c r="B17" s="8" t="s">
        <v>209</v>
      </c>
      <c r="C17" s="10">
        <v>2</v>
      </c>
      <c r="D17" s="1"/>
      <c r="E17" s="1"/>
      <c r="F17" s="8" t="s">
        <v>67</v>
      </c>
      <c r="G17" s="9">
        <v>1016820568</v>
      </c>
    </row>
    <row r="18" spans="2:7" x14ac:dyDescent="0.2">
      <c r="B18" s="8" t="s">
        <v>205</v>
      </c>
      <c r="C18" s="10">
        <v>8</v>
      </c>
      <c r="D18" s="1"/>
      <c r="E18" s="1"/>
      <c r="F18" s="8" t="s">
        <v>222</v>
      </c>
      <c r="G18" s="9">
        <v>38635498</v>
      </c>
    </row>
    <row r="19" spans="2:7" x14ac:dyDescent="0.2">
      <c r="B19" s="8" t="s">
        <v>211</v>
      </c>
      <c r="C19" s="10">
        <v>3</v>
      </c>
      <c r="D19" s="1"/>
      <c r="E19" s="1"/>
      <c r="F19" s="8" t="s">
        <v>116</v>
      </c>
      <c r="G19" s="9">
        <v>486436500</v>
      </c>
    </row>
    <row r="20" spans="2:7" x14ac:dyDescent="0.2">
      <c r="B20" s="8" t="s">
        <v>212</v>
      </c>
      <c r="C20" s="10">
        <v>3</v>
      </c>
      <c r="D20" s="1"/>
      <c r="E20" s="1"/>
      <c r="F20" s="8" t="s">
        <v>81</v>
      </c>
      <c r="G20" s="9">
        <v>4767000</v>
      </c>
    </row>
    <row r="21" spans="2:7" x14ac:dyDescent="0.2">
      <c r="B21" s="8" t="s">
        <v>203</v>
      </c>
      <c r="C21" s="10">
        <v>1</v>
      </c>
      <c r="D21" s="1"/>
      <c r="E21" s="1"/>
      <c r="F21" s="8" t="s">
        <v>56</v>
      </c>
      <c r="G21" s="9">
        <v>698215000</v>
      </c>
    </row>
    <row r="22" spans="2:7" x14ac:dyDescent="0.2">
      <c r="B22" s="8" t="s">
        <v>208</v>
      </c>
      <c r="C22" s="10">
        <v>1</v>
      </c>
      <c r="D22" s="1"/>
      <c r="E22" s="1"/>
      <c r="F22" s="8" t="s">
        <v>231</v>
      </c>
      <c r="G22" s="9">
        <v>0</v>
      </c>
    </row>
    <row r="23" spans="2:7" x14ac:dyDescent="0.2">
      <c r="B23" s="8" t="s">
        <v>204</v>
      </c>
      <c r="C23" s="10">
        <v>21</v>
      </c>
      <c r="D23" s="1"/>
      <c r="E23" s="1"/>
      <c r="F23" s="8" t="s">
        <v>238</v>
      </c>
      <c r="G23" s="9">
        <v>59417781</v>
      </c>
    </row>
    <row r="24" spans="2:7" x14ac:dyDescent="0.2">
      <c r="B24" s="8" t="s">
        <v>240</v>
      </c>
      <c r="C24" s="10"/>
      <c r="F24" s="8" t="s">
        <v>216</v>
      </c>
      <c r="G24" s="9">
        <v>4400209953</v>
      </c>
    </row>
    <row r="25" spans="2:7" x14ac:dyDescent="0.2">
      <c r="B25" s="8" t="s">
        <v>225</v>
      </c>
      <c r="C25" s="10">
        <v>1</v>
      </c>
      <c r="F25" s="7"/>
      <c r="G25" s="7"/>
    </row>
    <row r="26" spans="2:7" x14ac:dyDescent="0.2">
      <c r="B26" s="8" t="s">
        <v>228</v>
      </c>
      <c r="C26" s="10">
        <v>1</v>
      </c>
      <c r="F26" s="7"/>
      <c r="G26" s="7"/>
    </row>
    <row r="27" spans="2:7" x14ac:dyDescent="0.2">
      <c r="B27" s="8" t="s">
        <v>229</v>
      </c>
      <c r="C27" s="10">
        <v>2</v>
      </c>
      <c r="F27" s="7" t="s">
        <v>215</v>
      </c>
      <c r="G27" s="7" t="s">
        <v>219</v>
      </c>
    </row>
    <row r="28" spans="2:7" x14ac:dyDescent="0.2">
      <c r="B28" s="8" t="s">
        <v>236</v>
      </c>
      <c r="C28" s="10">
        <v>1</v>
      </c>
      <c r="D28" s="1"/>
      <c r="E28" s="1"/>
      <c r="F28" s="8" t="s">
        <v>119</v>
      </c>
      <c r="G28" s="9">
        <v>4000000</v>
      </c>
    </row>
    <row r="29" spans="2:7" x14ac:dyDescent="0.2">
      <c r="B29" s="8" t="s">
        <v>216</v>
      </c>
      <c r="C29" s="10">
        <v>60</v>
      </c>
      <c r="D29" s="1"/>
      <c r="E29" s="1"/>
      <c r="F29" s="8" t="s">
        <v>18</v>
      </c>
      <c r="G29" s="9">
        <v>0</v>
      </c>
    </row>
    <row r="30" spans="2:7" x14ac:dyDescent="0.2">
      <c r="D30" s="1"/>
      <c r="E30" s="1"/>
      <c r="F30" s="8" t="s">
        <v>52</v>
      </c>
      <c r="G30" s="9">
        <v>0</v>
      </c>
    </row>
    <row r="31" spans="2:7" x14ac:dyDescent="0.2">
      <c r="D31" s="1"/>
      <c r="E31" s="1"/>
      <c r="F31" s="8" t="s">
        <v>103</v>
      </c>
      <c r="G31" s="9">
        <v>23008309</v>
      </c>
    </row>
    <row r="32" spans="2:7" x14ac:dyDescent="0.2">
      <c r="D32" s="1"/>
      <c r="E32" s="1"/>
      <c r="F32" s="8" t="s">
        <v>108</v>
      </c>
      <c r="G32" s="9">
        <v>15000000</v>
      </c>
    </row>
    <row r="33" spans="2:7" x14ac:dyDescent="0.2">
      <c r="B33" s="7" t="s">
        <v>215</v>
      </c>
      <c r="C33" s="7" t="s">
        <v>217</v>
      </c>
      <c r="D33" s="1"/>
      <c r="E33" s="1"/>
      <c r="F33" s="8" t="s">
        <v>135</v>
      </c>
      <c r="G33" s="9">
        <v>0</v>
      </c>
    </row>
    <row r="34" spans="2:7" x14ac:dyDescent="0.2">
      <c r="B34" s="8" t="s">
        <v>119</v>
      </c>
      <c r="C34" s="10">
        <v>1</v>
      </c>
      <c r="D34" s="1"/>
      <c r="E34" s="1"/>
      <c r="F34" s="8" t="s">
        <v>87</v>
      </c>
      <c r="G34" s="9">
        <v>0</v>
      </c>
    </row>
    <row r="35" spans="2:7" x14ac:dyDescent="0.2">
      <c r="B35" s="8" t="s">
        <v>18</v>
      </c>
      <c r="C35" s="10">
        <v>11</v>
      </c>
      <c r="D35" s="1"/>
      <c r="E35" s="1"/>
      <c r="F35" s="8" t="s">
        <v>25</v>
      </c>
      <c r="G35" s="9">
        <v>0</v>
      </c>
    </row>
    <row r="36" spans="2:7" x14ac:dyDescent="0.2">
      <c r="B36" s="8" t="s">
        <v>52</v>
      </c>
      <c r="C36" s="10">
        <v>1</v>
      </c>
      <c r="D36" s="1"/>
      <c r="E36" s="1"/>
      <c r="F36" s="8" t="s">
        <v>70</v>
      </c>
      <c r="G36" s="9">
        <v>8284750</v>
      </c>
    </row>
    <row r="37" spans="2:7" x14ac:dyDescent="0.2">
      <c r="B37" s="8" t="s">
        <v>103</v>
      </c>
      <c r="C37" s="10">
        <v>3</v>
      </c>
      <c r="D37" s="1"/>
      <c r="E37" s="1"/>
      <c r="F37" s="8" t="s">
        <v>89</v>
      </c>
      <c r="G37" s="9">
        <v>0</v>
      </c>
    </row>
    <row r="38" spans="2:7" x14ac:dyDescent="0.2">
      <c r="B38" s="8" t="s">
        <v>108</v>
      </c>
      <c r="C38" s="10">
        <v>1</v>
      </c>
      <c r="D38" s="1"/>
      <c r="E38" s="1"/>
      <c r="F38" s="8" t="s">
        <v>29</v>
      </c>
      <c r="G38" s="9">
        <v>0</v>
      </c>
    </row>
    <row r="39" spans="2:7" x14ac:dyDescent="0.2">
      <c r="B39" s="8" t="s">
        <v>135</v>
      </c>
      <c r="C39" s="10">
        <v>3</v>
      </c>
      <c r="D39" s="1"/>
      <c r="E39" s="1"/>
      <c r="F39" s="8" t="s">
        <v>151</v>
      </c>
      <c r="G39" s="9">
        <v>0</v>
      </c>
    </row>
    <row r="40" spans="2:7" x14ac:dyDescent="0.2">
      <c r="B40" s="8" t="s">
        <v>87</v>
      </c>
      <c r="C40" s="10">
        <v>1</v>
      </c>
      <c r="D40" s="1"/>
      <c r="E40" s="1"/>
      <c r="F40" s="8" t="s">
        <v>61</v>
      </c>
      <c r="G40" s="9">
        <v>9000000</v>
      </c>
    </row>
    <row r="41" spans="2:7" x14ac:dyDescent="0.2">
      <c r="B41" s="8" t="s">
        <v>25</v>
      </c>
      <c r="C41" s="10">
        <v>4</v>
      </c>
      <c r="D41" s="1"/>
      <c r="E41" s="1"/>
      <c r="F41" s="8" t="s">
        <v>67</v>
      </c>
      <c r="G41" s="9">
        <v>850000</v>
      </c>
    </row>
    <row r="42" spans="2:7" x14ac:dyDescent="0.2">
      <c r="B42" s="8" t="s">
        <v>70</v>
      </c>
      <c r="C42" s="10">
        <v>1</v>
      </c>
      <c r="D42" s="1"/>
      <c r="E42" s="1"/>
      <c r="F42" s="8" t="s">
        <v>222</v>
      </c>
      <c r="G42" s="9">
        <v>0</v>
      </c>
    </row>
    <row r="43" spans="2:7" x14ac:dyDescent="0.2">
      <c r="B43" s="8" t="s">
        <v>89</v>
      </c>
      <c r="C43" s="10">
        <v>6</v>
      </c>
      <c r="D43" s="1"/>
      <c r="E43" s="1"/>
      <c r="F43" s="8" t="s">
        <v>116</v>
      </c>
      <c r="G43" s="9">
        <v>10500000</v>
      </c>
    </row>
    <row r="44" spans="2:7" x14ac:dyDescent="0.2">
      <c r="B44" s="8" t="s">
        <v>29</v>
      </c>
      <c r="C44" s="10">
        <v>1</v>
      </c>
      <c r="D44" s="1"/>
      <c r="E44" s="1"/>
      <c r="F44" s="8" t="s">
        <v>81</v>
      </c>
      <c r="G44" s="9">
        <v>0</v>
      </c>
    </row>
    <row r="45" spans="2:7" x14ac:dyDescent="0.2">
      <c r="B45" s="8" t="s">
        <v>151</v>
      </c>
      <c r="C45" s="10">
        <v>1</v>
      </c>
      <c r="D45" s="1"/>
      <c r="E45" s="1"/>
      <c r="F45" s="8" t="s">
        <v>56</v>
      </c>
      <c r="G45" s="9">
        <v>0</v>
      </c>
    </row>
    <row r="46" spans="2:7" x14ac:dyDescent="0.2">
      <c r="B46" s="8" t="s">
        <v>61</v>
      </c>
      <c r="C46" s="10">
        <v>1</v>
      </c>
      <c r="F46" s="8" t="s">
        <v>231</v>
      </c>
      <c r="G46" s="9">
        <v>0</v>
      </c>
    </row>
    <row r="47" spans="2:7" x14ac:dyDescent="0.2">
      <c r="B47" s="8" t="s">
        <v>67</v>
      </c>
      <c r="C47" s="10">
        <v>13</v>
      </c>
      <c r="F47" s="8" t="s">
        <v>238</v>
      </c>
      <c r="G47" s="9"/>
    </row>
    <row r="48" spans="2:7" x14ac:dyDescent="0.2">
      <c r="B48" s="8" t="s">
        <v>222</v>
      </c>
      <c r="C48" s="10">
        <v>2</v>
      </c>
      <c r="F48" s="8" t="s">
        <v>216</v>
      </c>
      <c r="G48" s="9">
        <v>70643059</v>
      </c>
    </row>
    <row r="49" spans="2:7" x14ac:dyDescent="0.2">
      <c r="B49" s="8" t="s">
        <v>116</v>
      </c>
      <c r="C49" s="10">
        <v>5</v>
      </c>
      <c r="F49" s="7"/>
      <c r="G49" s="7"/>
    </row>
    <row r="50" spans="2:7" x14ac:dyDescent="0.2">
      <c r="B50" s="8" t="s">
        <v>81</v>
      </c>
      <c r="C50" s="10">
        <v>3</v>
      </c>
      <c r="F50" s="7" t="s">
        <v>215</v>
      </c>
      <c r="G50" s="7" t="s">
        <v>220</v>
      </c>
    </row>
    <row r="51" spans="2:7" x14ac:dyDescent="0.2">
      <c r="B51" s="8" t="s">
        <v>56</v>
      </c>
      <c r="C51" s="10">
        <v>1</v>
      </c>
      <c r="D51" s="1"/>
      <c r="E51" s="1"/>
      <c r="F51" s="8" t="s">
        <v>30</v>
      </c>
      <c r="G51" s="10">
        <v>28</v>
      </c>
    </row>
    <row r="52" spans="2:7" x14ac:dyDescent="0.2">
      <c r="B52" s="8" t="s">
        <v>231</v>
      </c>
      <c r="C52" s="10">
        <v>1</v>
      </c>
      <c r="D52" s="1"/>
      <c r="E52" s="1"/>
      <c r="F52" s="8" t="s">
        <v>19</v>
      </c>
      <c r="G52" s="10">
        <v>31</v>
      </c>
    </row>
    <row r="53" spans="2:7" x14ac:dyDescent="0.2">
      <c r="B53" s="8" t="s">
        <v>238</v>
      </c>
      <c r="C53" s="10"/>
      <c r="D53" s="1"/>
      <c r="E53" s="1"/>
      <c r="F53" s="8" t="s">
        <v>239</v>
      </c>
      <c r="G53" s="10">
        <v>2</v>
      </c>
    </row>
    <row r="54" spans="2:7" x14ac:dyDescent="0.2">
      <c r="B54" s="8" t="s">
        <v>216</v>
      </c>
      <c r="C54" s="10">
        <v>60</v>
      </c>
      <c r="D54" s="1"/>
      <c r="E54" s="1"/>
      <c r="F54" s="8" t="s">
        <v>216</v>
      </c>
      <c r="G54" s="10">
        <v>61</v>
      </c>
    </row>
    <row r="55" spans="2:7" x14ac:dyDescent="0.2">
      <c r="B55" s="7" t="s">
        <v>215</v>
      </c>
      <c r="C55" s="7" t="s">
        <v>218</v>
      </c>
      <c r="D55" s="1"/>
      <c r="E55" s="1"/>
    </row>
    <row r="56" spans="2:7" x14ac:dyDescent="0.2">
      <c r="B56" s="8" t="s">
        <v>207</v>
      </c>
      <c r="C56" s="9">
        <v>1</v>
      </c>
      <c r="D56" s="1"/>
      <c r="E56" s="1"/>
      <c r="F56" s="7"/>
      <c r="G56" s="7"/>
    </row>
    <row r="57" spans="2:7" x14ac:dyDescent="0.2">
      <c r="B57" s="8" t="s">
        <v>206</v>
      </c>
      <c r="C57" s="9">
        <v>6708168</v>
      </c>
      <c r="D57" s="1"/>
      <c r="E57" s="1"/>
      <c r="F57" s="7" t="s">
        <v>215</v>
      </c>
      <c r="G57" s="7" t="s">
        <v>218</v>
      </c>
    </row>
    <row r="58" spans="2:7" x14ac:dyDescent="0.2">
      <c r="B58" s="8" t="s">
        <v>213</v>
      </c>
      <c r="C58" s="9">
        <v>34377398</v>
      </c>
      <c r="D58" s="1"/>
      <c r="E58" s="1"/>
      <c r="F58" s="8" t="s">
        <v>30</v>
      </c>
      <c r="G58" s="9">
        <v>3455902118</v>
      </c>
    </row>
    <row r="59" spans="2:7" x14ac:dyDescent="0.2">
      <c r="B59" s="8" t="s">
        <v>214</v>
      </c>
      <c r="C59" s="9">
        <v>139680034</v>
      </c>
      <c r="D59" s="1"/>
      <c r="E59" s="1"/>
      <c r="F59" s="8" t="s">
        <v>19</v>
      </c>
      <c r="G59" s="9">
        <v>944307835</v>
      </c>
    </row>
    <row r="60" spans="2:7" x14ac:dyDescent="0.2">
      <c r="B60" s="8" t="s">
        <v>210</v>
      </c>
      <c r="C60" s="9">
        <v>2106729000</v>
      </c>
      <c r="D60" s="1"/>
      <c r="E60" s="1"/>
      <c r="F60" s="8" t="s">
        <v>239</v>
      </c>
      <c r="G60" s="9">
        <v>0</v>
      </c>
    </row>
    <row r="61" spans="2:7" x14ac:dyDescent="0.2">
      <c r="B61" s="8" t="s">
        <v>209</v>
      </c>
      <c r="C61" s="9">
        <v>15652000</v>
      </c>
      <c r="D61" s="1"/>
      <c r="E61" s="1"/>
      <c r="F61" s="8" t="s">
        <v>216</v>
      </c>
      <c r="G61" s="9">
        <v>4400209953</v>
      </c>
    </row>
    <row r="62" spans="2:7" x14ac:dyDescent="0.2">
      <c r="B62" s="8" t="s">
        <v>205</v>
      </c>
      <c r="C62" s="9">
        <v>1141227546</v>
      </c>
      <c r="D62" s="1"/>
      <c r="E62" s="1"/>
    </row>
    <row r="63" spans="2:7" x14ac:dyDescent="0.2">
      <c r="B63" s="8" t="s">
        <v>211</v>
      </c>
      <c r="C63" s="9">
        <v>226555407</v>
      </c>
      <c r="D63" s="1"/>
      <c r="E63" s="1"/>
    </row>
    <row r="64" spans="2:7" x14ac:dyDescent="0.2">
      <c r="B64" s="8" t="s">
        <v>212</v>
      </c>
      <c r="C64" s="9">
        <v>418984631</v>
      </c>
    </row>
    <row r="65" spans="2:7" x14ac:dyDescent="0.2">
      <c r="B65" s="8" t="s">
        <v>203</v>
      </c>
      <c r="C65" s="9">
        <v>80252005</v>
      </c>
      <c r="F65" s="7"/>
      <c r="G65" s="7"/>
    </row>
    <row r="66" spans="2:7" x14ac:dyDescent="0.2">
      <c r="B66" s="8" t="s">
        <v>208</v>
      </c>
      <c r="C66" s="9">
        <v>2100840</v>
      </c>
    </row>
    <row r="67" spans="2:7" x14ac:dyDescent="0.2">
      <c r="B67" s="8" t="s">
        <v>204</v>
      </c>
      <c r="C67" s="9">
        <v>63889644</v>
      </c>
    </row>
    <row r="68" spans="2:7" x14ac:dyDescent="0.2">
      <c r="B68" s="8" t="s">
        <v>240</v>
      </c>
      <c r="C68" s="9">
        <v>59417781</v>
      </c>
    </row>
    <row r="69" spans="2:7" x14ac:dyDescent="0.2">
      <c r="B69" s="8" t="s">
        <v>225</v>
      </c>
      <c r="C69" s="9">
        <v>24074063</v>
      </c>
    </row>
    <row r="70" spans="2:7" x14ac:dyDescent="0.2">
      <c r="B70" s="8" t="s">
        <v>228</v>
      </c>
      <c r="C70" s="9">
        <v>66000000</v>
      </c>
    </row>
    <row r="71" spans="2:7" x14ac:dyDescent="0.2">
      <c r="B71" s="8" t="s">
        <v>229</v>
      </c>
      <c r="C71" s="9">
        <v>0</v>
      </c>
    </row>
    <row r="72" spans="2:7" x14ac:dyDescent="0.2">
      <c r="B72" s="8" t="s">
        <v>236</v>
      </c>
      <c r="C72" s="9">
        <v>14561435</v>
      </c>
    </row>
    <row r="73" spans="2:7" x14ac:dyDescent="0.2">
      <c r="B73" s="8" t="s">
        <v>216</v>
      </c>
      <c r="C73" s="9">
        <v>4400209953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5"/>
  <sheetViews>
    <sheetView showGridLines="0" workbookViewId="0">
      <selection activeCell="F5" sqref="F5"/>
    </sheetView>
  </sheetViews>
  <sheetFormatPr baseColWidth="10" defaultRowHeight="14.25" x14ac:dyDescent="0.2"/>
  <cols>
    <col min="1" max="1" width="25" customWidth="1"/>
    <col min="2" max="2" width="21.375" customWidth="1"/>
    <col min="3" max="3" width="13.625" customWidth="1"/>
    <col min="4" max="4" width="14.375" customWidth="1"/>
    <col min="5" max="5" width="6.625" customWidth="1"/>
    <col min="6" max="6" width="41.25" customWidth="1"/>
    <col min="7" max="7" width="13.625" customWidth="1"/>
    <col min="8" max="8" width="7.5" customWidth="1"/>
    <col min="9" max="9" width="18.625" bestFit="1" customWidth="1"/>
    <col min="10" max="10" width="17" bestFit="1" customWidth="1"/>
    <col min="11" max="11" width="3.625" customWidth="1"/>
    <col min="12" max="12" width="6.125" customWidth="1"/>
    <col min="13" max="13" width="9" customWidth="1"/>
    <col min="14" max="14" width="17.75" bestFit="1" customWidth="1"/>
    <col min="15" max="15" width="5.75" customWidth="1"/>
    <col min="16" max="16" width="6.875" customWidth="1"/>
    <col min="17" max="17" width="11.75" bestFit="1" customWidth="1"/>
    <col min="18" max="18" width="16.125" bestFit="1" customWidth="1"/>
    <col min="19" max="19" width="33.375" bestFit="1" customWidth="1"/>
    <col min="21" max="21" width="14.625" bestFit="1" customWidth="1"/>
    <col min="22" max="22" width="13.25" bestFit="1" customWidth="1"/>
    <col min="23" max="23" width="10.75" customWidth="1"/>
    <col min="24" max="24" width="12.625" bestFit="1" customWidth="1"/>
  </cols>
  <sheetData>
    <row r="1" spans="2:7" ht="15" thickBot="1" x14ac:dyDescent="0.25"/>
    <row r="2" spans="2:7" ht="15" thickBot="1" x14ac:dyDescent="0.25">
      <c r="B2" s="11" t="s">
        <v>10</v>
      </c>
      <c r="C2" s="12" t="s">
        <v>30</v>
      </c>
      <c r="F2" s="11" t="s">
        <v>10</v>
      </c>
      <c r="G2" s="12" t="s">
        <v>30</v>
      </c>
    </row>
    <row r="3" spans="2:7" ht="15" thickBot="1" x14ac:dyDescent="0.25"/>
    <row r="4" spans="2:7" ht="15" thickBot="1" x14ac:dyDescent="0.25">
      <c r="B4" s="13" t="s">
        <v>0</v>
      </c>
      <c r="C4" s="3" t="s">
        <v>241</v>
      </c>
      <c r="D4" s="25" t="s">
        <v>242</v>
      </c>
      <c r="F4" s="13" t="s">
        <v>246</v>
      </c>
      <c r="G4" s="13" t="s">
        <v>241</v>
      </c>
    </row>
    <row r="5" spans="2:7" x14ac:dyDescent="0.2">
      <c r="B5" s="14" t="s">
        <v>14</v>
      </c>
      <c r="C5" s="22">
        <v>17</v>
      </c>
      <c r="D5" s="5">
        <v>1895787098</v>
      </c>
      <c r="F5" s="14" t="s">
        <v>18</v>
      </c>
      <c r="G5" s="15">
        <v>5</v>
      </c>
    </row>
    <row r="6" spans="2:7" ht="15" thickBot="1" x14ac:dyDescent="0.25">
      <c r="B6" s="18" t="s">
        <v>100</v>
      </c>
      <c r="C6" s="23">
        <v>11</v>
      </c>
      <c r="D6" s="2">
        <v>1560115020</v>
      </c>
      <c r="F6" s="16" t="s">
        <v>52</v>
      </c>
      <c r="G6" s="17">
        <v>1</v>
      </c>
    </row>
    <row r="7" spans="2:7" ht="15" thickBot="1" x14ac:dyDescent="0.25">
      <c r="B7" s="13" t="s">
        <v>216</v>
      </c>
      <c r="C7" s="24">
        <v>28</v>
      </c>
      <c r="D7" s="4">
        <v>3455902118</v>
      </c>
      <c r="F7" s="16" t="s">
        <v>103</v>
      </c>
      <c r="G7" s="17">
        <v>2</v>
      </c>
    </row>
    <row r="8" spans="2:7" x14ac:dyDescent="0.2">
      <c r="F8" s="16" t="s">
        <v>87</v>
      </c>
      <c r="G8" s="17">
        <v>1</v>
      </c>
    </row>
    <row r="9" spans="2:7" ht="15" thickBot="1" x14ac:dyDescent="0.25">
      <c r="F9" s="16" t="s">
        <v>70</v>
      </c>
      <c r="G9" s="17">
        <v>1</v>
      </c>
    </row>
    <row r="10" spans="2:7" ht="15" thickBot="1" x14ac:dyDescent="0.25">
      <c r="B10" s="6" t="s">
        <v>10</v>
      </c>
      <c r="C10" s="21" t="s">
        <v>30</v>
      </c>
      <c r="F10" s="16" t="s">
        <v>89</v>
      </c>
      <c r="G10" s="17">
        <v>5</v>
      </c>
    </row>
    <row r="11" spans="2:7" ht="15" thickBot="1" x14ac:dyDescent="0.25">
      <c r="F11" s="16" t="s">
        <v>61</v>
      </c>
      <c r="G11" s="17">
        <v>1</v>
      </c>
    </row>
    <row r="12" spans="2:7" ht="15" thickBot="1" x14ac:dyDescent="0.25">
      <c r="B12" s="19" t="s">
        <v>243</v>
      </c>
      <c r="C12" s="3" t="s">
        <v>244</v>
      </c>
      <c r="D12" s="4" t="s">
        <v>245</v>
      </c>
      <c r="F12" s="16" t="s">
        <v>67</v>
      </c>
      <c r="G12" s="17">
        <v>4</v>
      </c>
    </row>
    <row r="13" spans="2:7" x14ac:dyDescent="0.2">
      <c r="B13" s="14" t="s">
        <v>228</v>
      </c>
      <c r="C13" s="22">
        <v>1</v>
      </c>
      <c r="D13" s="5">
        <v>66000000</v>
      </c>
      <c r="F13" s="16" t="s">
        <v>238</v>
      </c>
      <c r="G13" s="17">
        <v>1</v>
      </c>
    </row>
    <row r="14" spans="2:7" x14ac:dyDescent="0.2">
      <c r="B14" s="16" t="s">
        <v>207</v>
      </c>
      <c r="C14" s="23">
        <v>1</v>
      </c>
      <c r="D14" s="2">
        <v>1</v>
      </c>
      <c r="F14" s="16" t="s">
        <v>116</v>
      </c>
      <c r="G14" s="17">
        <v>3</v>
      </c>
    </row>
    <row r="15" spans="2:7" x14ac:dyDescent="0.2">
      <c r="B15" s="16" t="s">
        <v>213</v>
      </c>
      <c r="C15" s="23">
        <v>2</v>
      </c>
      <c r="D15" s="2">
        <v>27943568</v>
      </c>
      <c r="F15" s="16" t="s">
        <v>81</v>
      </c>
      <c r="G15" s="17">
        <v>3</v>
      </c>
    </row>
    <row r="16" spans="2:7" ht="15" thickBot="1" x14ac:dyDescent="0.25">
      <c r="B16" s="16" t="s">
        <v>214</v>
      </c>
      <c r="C16" s="23">
        <v>1</v>
      </c>
      <c r="D16" s="2">
        <v>10000000</v>
      </c>
      <c r="F16" s="18" t="s">
        <v>56</v>
      </c>
      <c r="G16" s="17">
        <v>1</v>
      </c>
    </row>
    <row r="17" spans="2:7" ht="15" thickBot="1" x14ac:dyDescent="0.25">
      <c r="B17" s="16" t="s">
        <v>210</v>
      </c>
      <c r="C17" s="23">
        <v>3</v>
      </c>
      <c r="D17" s="2">
        <v>2106729000</v>
      </c>
      <c r="F17" s="19" t="s">
        <v>216</v>
      </c>
      <c r="G17" s="20">
        <v>28</v>
      </c>
    </row>
    <row r="18" spans="2:7" x14ac:dyDescent="0.2">
      <c r="B18" s="16" t="s">
        <v>209</v>
      </c>
      <c r="C18" s="23">
        <v>1</v>
      </c>
      <c r="D18" s="2">
        <v>12424000</v>
      </c>
    </row>
    <row r="19" spans="2:7" ht="15" thickBot="1" x14ac:dyDescent="0.25">
      <c r="B19" s="16" t="s">
        <v>205</v>
      </c>
      <c r="C19" s="23">
        <v>4</v>
      </c>
      <c r="D19" s="2">
        <v>642167326</v>
      </c>
    </row>
    <row r="20" spans="2:7" ht="15" thickBot="1" x14ac:dyDescent="0.25">
      <c r="B20" s="16" t="s">
        <v>211</v>
      </c>
      <c r="C20" s="23">
        <v>1</v>
      </c>
      <c r="D20" s="2">
        <v>5860000</v>
      </c>
    </row>
    <row r="21" spans="2:7" x14ac:dyDescent="0.2">
      <c r="B21" s="16" t="s">
        <v>212</v>
      </c>
      <c r="C21" s="23">
        <v>2</v>
      </c>
      <c r="D21" s="2">
        <v>418620631</v>
      </c>
    </row>
    <row r="22" spans="2:7" x14ac:dyDescent="0.2">
      <c r="B22" s="16" t="s">
        <v>203</v>
      </c>
      <c r="C22" s="23">
        <v>1</v>
      </c>
      <c r="D22" s="2">
        <v>80252005</v>
      </c>
    </row>
    <row r="23" spans="2:7" x14ac:dyDescent="0.2">
      <c r="B23" s="16" t="s">
        <v>204</v>
      </c>
      <c r="C23" s="23">
        <v>10</v>
      </c>
      <c r="D23" s="2">
        <v>26487806</v>
      </c>
    </row>
    <row r="24" spans="2:7" ht="15" thickBot="1" x14ac:dyDescent="0.25">
      <c r="B24" s="18" t="s">
        <v>240</v>
      </c>
      <c r="C24" s="23">
        <v>1</v>
      </c>
      <c r="D24" s="2">
        <v>59417781</v>
      </c>
    </row>
    <row r="25" spans="2:7" ht="15" thickBot="1" x14ac:dyDescent="0.25">
      <c r="B25" s="19" t="s">
        <v>216</v>
      </c>
      <c r="C25" s="24">
        <v>28</v>
      </c>
      <c r="D25" s="4">
        <v>3455902118</v>
      </c>
    </row>
  </sheetData>
  <pageMargins left="0.7" right="0.7" top="0.75" bottom="0.75" header="0.3" footer="0.3"/>
  <pageSetup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Z15"/>
  <sheetViews>
    <sheetView showGridLines="0" tabSelected="1" topLeftCell="A4" zoomScale="60" zoomScaleNormal="60" workbookViewId="0">
      <selection activeCell="X13" sqref="X13"/>
    </sheetView>
  </sheetViews>
  <sheetFormatPr baseColWidth="10" defaultRowHeight="14.25" x14ac:dyDescent="0.2"/>
  <sheetData>
    <row r="15" spans="26:26" ht="15" x14ac:dyDescent="0.2">
      <c r="Z15" s="26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BBDD PY</vt:lpstr>
      <vt:lpstr>KPIS</vt:lpstr>
      <vt:lpstr>Resumen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Inves_Rayentue</cp:lastModifiedBy>
  <cp:revision>0</cp:revision>
  <dcterms:created xsi:type="dcterms:W3CDTF">2025-10-29T17:21:04Z</dcterms:created>
  <dcterms:modified xsi:type="dcterms:W3CDTF">2026-03-05T15:41:43Z</dcterms:modified>
</cp:coreProperties>
</file>