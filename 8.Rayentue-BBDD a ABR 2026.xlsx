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tebook UPSE01\Documents\UPSE\2025\"/>
    </mc:Choice>
  </mc:AlternateContent>
  <bookViews>
    <workbookView xWindow="0" yWindow="0" windowWidth="11670" windowHeight="3645"/>
  </bookViews>
  <sheets>
    <sheet name="Perfiles " sheetId="1" r:id="rId1"/>
    <sheet name="Pys Post." sheetId="2" r:id="rId2"/>
    <sheet name="Pys Privados-12 y ADirecta Publ" sheetId="4" state="hidden" r:id="rId3"/>
    <sheet name="Analisis pymay25" sheetId="10" state="hidden" r:id="rId4"/>
    <sheet name="Analisis perfiles may 25" sheetId="7" state="hidden" r:id="rId5"/>
    <sheet name="JC PErfiles" sheetId="17" state="hidden" r:id="rId6"/>
    <sheet name="Datos" sheetId="3" state="hidden" r:id="rId7"/>
    <sheet name="Perfiles data" sheetId="5" state="hidden" r:id="rId8"/>
  </sheets>
  <definedNames>
    <definedName name="_xlnm._FilterDatabase" localSheetId="0" hidden="1">'Perfiles '!$B$8:$M$125</definedName>
    <definedName name="_xlnm._FilterDatabase" localSheetId="7" hidden="1">'Perfiles data'!$B$3:$L$90</definedName>
    <definedName name="_xlnm._FilterDatabase" localSheetId="1" hidden="1">'Pys Post.'!$A$13:$WRU$78</definedName>
  </definedNames>
  <calcPr calcId="152511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2" l="1"/>
  <c r="T92" i="2"/>
  <c r="T93" i="2"/>
  <c r="T26" i="2"/>
  <c r="T27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23" i="2"/>
  <c r="T24" i="2"/>
  <c r="T91" i="2"/>
  <c r="T88" i="2"/>
  <c r="T19" i="2"/>
  <c r="T20" i="2"/>
  <c r="T89" i="2"/>
  <c r="T21" i="2"/>
  <c r="T22" i="2"/>
  <c r="T90" i="2"/>
  <c r="T18" i="2"/>
  <c r="T34" i="2"/>
  <c r="T35" i="2"/>
  <c r="T36" i="2"/>
  <c r="T37" i="2"/>
  <c r="T38" i="2"/>
  <c r="T39" i="2"/>
  <c r="T40" i="2"/>
  <c r="T41" i="2"/>
  <c r="T28" i="2"/>
  <c r="T29" i="2"/>
  <c r="T30" i="2"/>
  <c r="T31" i="2"/>
  <c r="T32" i="2"/>
  <c r="T62" i="2"/>
  <c r="T61" i="2"/>
  <c r="T44" i="2"/>
  <c r="T45" i="2"/>
  <c r="T47" i="2"/>
  <c r="T42" i="2"/>
  <c r="T43" i="2"/>
  <c r="T48" i="2"/>
  <c r="T46" i="2"/>
  <c r="T51" i="2"/>
  <c r="T49" i="2"/>
  <c r="T54" i="2"/>
  <c r="T53" i="2"/>
  <c r="T60" i="2"/>
  <c r="T52" i="2"/>
  <c r="T55" i="2"/>
  <c r="T57" i="2"/>
  <c r="T56" i="2"/>
  <c r="T63" i="2"/>
  <c r="T64" i="2"/>
  <c r="T58" i="2"/>
  <c r="T59" i="2"/>
  <c r="T65" i="2"/>
  <c r="T66" i="2"/>
  <c r="T67" i="2"/>
  <c r="T68" i="2"/>
  <c r="T69" i="2"/>
  <c r="T70" i="2"/>
  <c r="T71" i="2"/>
  <c r="T72" i="2"/>
  <c r="T73" i="2"/>
  <c r="T74" i="2"/>
  <c r="T76" i="2"/>
  <c r="T75" i="2"/>
  <c r="T14" i="2"/>
  <c r="T50" i="2"/>
  <c r="T77" i="2"/>
  <c r="T79" i="2"/>
  <c r="T78" i="2"/>
  <c r="T80" i="2"/>
  <c r="T84" i="2"/>
  <c r="T85" i="2"/>
  <c r="T86" i="2"/>
  <c r="T81" i="2"/>
  <c r="T82" i="2"/>
  <c r="T83" i="2"/>
  <c r="T15" i="2"/>
  <c r="T16" i="2"/>
  <c r="T17" i="2"/>
  <c r="T87" i="2"/>
  <c r="D41" i="2" l="1"/>
  <c r="T33" i="2" l="1"/>
  <c r="G4" i="17" l="1"/>
  <c r="G5" i="17"/>
  <c r="G6" i="17"/>
  <c r="G7" i="17"/>
  <c r="G8" i="17"/>
  <c r="G9" i="17"/>
  <c r="G10" i="17"/>
  <c r="G11" i="17"/>
  <c r="G12" i="17"/>
  <c r="G13" i="17"/>
  <c r="G14" i="17"/>
  <c r="G15" i="17"/>
  <c r="G3" i="17"/>
  <c r="G16" i="17" s="1"/>
  <c r="D58" i="2" l="1"/>
  <c r="D40" i="2"/>
  <c r="D59" i="2"/>
  <c r="D64" i="2"/>
  <c r="D47" i="2"/>
  <c r="D93" i="2"/>
  <c r="D91" i="2"/>
  <c r="D25" i="2"/>
  <c r="D88" i="2"/>
  <c r="D92" i="2"/>
  <c r="D90" i="2"/>
  <c r="D89" i="2"/>
  <c r="D87" i="2"/>
  <c r="D16" i="2"/>
  <c r="D15" i="2"/>
  <c r="D86" i="2"/>
  <c r="D85" i="2"/>
  <c r="D77" i="2"/>
  <c r="D19" i="2"/>
  <c r="D17" i="2"/>
  <c r="D83" i="2"/>
  <c r="D80" i="2"/>
  <c r="D79" i="2"/>
  <c r="D67" i="2"/>
  <c r="D82" i="2"/>
  <c r="D81" i="2"/>
  <c r="D14" i="2"/>
  <c r="D22" i="2"/>
  <c r="D21" i="2"/>
  <c r="D66" i="2"/>
  <c r="D50" i="2"/>
  <c r="D20" i="2"/>
  <c r="D23" i="2"/>
  <c r="D24" i="2"/>
  <c r="D18" i="2"/>
  <c r="D76" i="2"/>
  <c r="D75" i="2"/>
  <c r="D73" i="2"/>
  <c r="D72" i="2"/>
  <c r="D71" i="2"/>
  <c r="D70" i="2"/>
  <c r="D69" i="2"/>
  <c r="D68" i="2"/>
  <c r="D74" i="2"/>
  <c r="D63" i="2"/>
  <c r="D84" i="2"/>
  <c r="D78" i="2"/>
  <c r="D65" i="2"/>
  <c r="D56" i="2"/>
  <c r="AI73" i="2" l="1"/>
  <c r="AI69" i="2"/>
  <c r="AI68" i="2"/>
  <c r="AI60" i="2" l="1"/>
  <c r="Q6" i="4" l="1"/>
  <c r="Q4" i="4"/>
  <c r="D2" i="5"/>
  <c r="Q3" i="4" l="1"/>
  <c r="AI72" i="2"/>
  <c r="AI71" i="2"/>
  <c r="AG71" i="2"/>
  <c r="AI70" i="2" l="1"/>
  <c r="AG70" i="2"/>
  <c r="Q5" i="4" l="1"/>
  <c r="Q7" i="4"/>
  <c r="Q8" i="4"/>
  <c r="Q9" i="4"/>
  <c r="Q10" i="4" l="1"/>
  <c r="AG76" i="2" l="1"/>
  <c r="AE75" i="2"/>
  <c r="AI75" i="2" s="1"/>
  <c r="AF76" i="2" l="1"/>
  <c r="AE76" i="2"/>
  <c r="AI76" i="2"/>
  <c r="K75" i="2" l="1"/>
  <c r="G75" i="2"/>
  <c r="K76" i="2" l="1"/>
  <c r="G76" i="2"/>
  <c r="G14" i="2"/>
  <c r="X50" i="2"/>
  <c r="K50" i="2" l="1"/>
  <c r="J50" i="2"/>
  <c r="H50" i="2"/>
  <c r="G50" i="2"/>
  <c r="F50" i="2"/>
  <c r="AI81" i="2" l="1"/>
  <c r="X19" i="2"/>
  <c r="X88" i="2"/>
  <c r="X87" i="2"/>
  <c r="X17" i="2"/>
  <c r="X85" i="2"/>
  <c r="X86" i="2"/>
  <c r="X84" i="2"/>
  <c r="X83" i="2"/>
  <c r="X79" i="2"/>
  <c r="X78" i="2"/>
  <c r="X80" i="2"/>
  <c r="X77" i="2"/>
  <c r="AI18" i="2" l="1"/>
  <c r="AI20" i="2"/>
  <c r="AI21" i="2"/>
  <c r="AI25" i="2"/>
  <c r="AI15" i="2" l="1"/>
  <c r="AI16" i="2"/>
  <c r="AI82" i="2" l="1"/>
  <c r="U89" i="2" l="1"/>
  <c r="U19" i="2"/>
</calcChain>
</file>

<file path=xl/comments1.xml><?xml version="1.0" encoding="utf-8"?>
<comments xmlns="http://schemas.openxmlformats.org/spreadsheetml/2006/main">
  <authors>
    <author>Claudia Bartel</author>
  </authors>
  <commentList>
    <comment ref="AF1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aportado por los asociados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Overhead que no se rinde y NO Gastos de Adm que son rendibles</t>
        </r>
      </text>
    </comment>
    <comment ref="AI1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del Convenio AB-AD</t>
        </r>
      </text>
    </comment>
    <comment ref="AF8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aportado por los asociados</t>
        </r>
      </text>
    </comment>
    <comment ref="AH8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Overhead que no se rinde y NO Gastos de Adm que son rendibles</t>
        </r>
      </text>
    </comment>
    <comment ref="AI8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del Convenio AB-AD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aportado por los asociados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Overhead que no se rinde y NO Gastos de Adm que son rendibles</t>
        </r>
      </text>
    </comment>
    <comment ref="AI13" authorId="0" shapeId="0">
      <text>
        <r>
          <rPr>
            <b/>
            <sz val="9"/>
            <color indexed="81"/>
            <rFont val="Tahoma"/>
            <family val="2"/>
          </rPr>
          <t>Claudia Bartel:</t>
        </r>
        <r>
          <rPr>
            <sz val="9"/>
            <color indexed="81"/>
            <rFont val="Tahoma"/>
            <family val="2"/>
          </rPr>
          <t xml:space="preserve">
Monto del Convenio AB-AD</t>
        </r>
      </text>
    </comment>
  </commentList>
</comments>
</file>

<file path=xl/sharedStrings.xml><?xml version="1.0" encoding="utf-8"?>
<sst xmlns="http://schemas.openxmlformats.org/spreadsheetml/2006/main" count="3023" uniqueCount="544">
  <si>
    <t>CRI</t>
  </si>
  <si>
    <t>TÍTULO</t>
  </si>
  <si>
    <t>Programas Nacionales</t>
  </si>
  <si>
    <t>Investigador/a Encargado/a</t>
  </si>
  <si>
    <t xml:space="preserve">Ejecutor Principal </t>
  </si>
  <si>
    <t>AÑO</t>
  </si>
  <si>
    <t>Estado Perfil</t>
  </si>
  <si>
    <t xml:space="preserve">Postulado </t>
  </si>
  <si>
    <t>Adjudicado</t>
  </si>
  <si>
    <t>Comentarios</t>
  </si>
  <si>
    <t>INIA</t>
  </si>
  <si>
    <t>CONCURSO O LINEA</t>
  </si>
  <si>
    <t>Estado</t>
  </si>
  <si>
    <t>Año Postulación</t>
  </si>
  <si>
    <t>Fuente Financiamiento</t>
  </si>
  <si>
    <t>Concurso o Linea</t>
  </si>
  <si>
    <t>Titulo Proyecto</t>
  </si>
  <si>
    <t>Fecha de Postulación</t>
  </si>
  <si>
    <t>Fecha de Aprobación</t>
  </si>
  <si>
    <t>Fecha de Rechazo</t>
  </si>
  <si>
    <t>Monto solicitado</t>
  </si>
  <si>
    <t>Monto contrapartida</t>
  </si>
  <si>
    <t>Monto aporte INIA</t>
  </si>
  <si>
    <t>Costo Total del Proyecto</t>
  </si>
  <si>
    <t>Duración (meses)</t>
  </si>
  <si>
    <t>Motivos rechazo</t>
  </si>
  <si>
    <t>Monto adjudicado</t>
  </si>
  <si>
    <t>Monto capturado po INIA</t>
  </si>
  <si>
    <t>Costo Total del proyecto</t>
  </si>
  <si>
    <t>FECHA ACTUALIZACIÓN</t>
  </si>
  <si>
    <t>RESPONSABLE</t>
  </si>
  <si>
    <t>Codigo Proyecto Fuente financ.</t>
  </si>
  <si>
    <t>Condiciones de aprobación</t>
  </si>
  <si>
    <t>Observaciones</t>
  </si>
  <si>
    <t>Fuente de Información (Acta resolución)</t>
  </si>
  <si>
    <t xml:space="preserve">Ficha financiera </t>
  </si>
  <si>
    <t>Rechazado</t>
  </si>
  <si>
    <t>No admitido</t>
  </si>
  <si>
    <t>Monto contrapartida (asociados)</t>
  </si>
  <si>
    <t>Pecuniario</t>
  </si>
  <si>
    <t>No Pecuniario</t>
  </si>
  <si>
    <t>Monto capturado por INIA (Gastos de Administración)</t>
  </si>
  <si>
    <t>Rendible a la FF</t>
  </si>
  <si>
    <t>Libre disposición (overhead)</t>
  </si>
  <si>
    <t xml:space="preserve">Modificaciones al presupuesto solicitado </t>
  </si>
  <si>
    <t>Ejecutor Principal</t>
  </si>
  <si>
    <t>CONCURSO IDEA I+D 2019</t>
  </si>
  <si>
    <t>16-RAYENTUE, 20-QUILAMAPU  </t>
  </si>
  <si>
    <t>Plataforma de Información Epidemiologica para facilitar el control del Cáncer Bacterial en Cerezos</t>
  </si>
  <si>
    <t>SAGREDO DIAZ BORIS</t>
  </si>
  <si>
    <t>APROBADO</t>
  </si>
  <si>
    <t>SI</t>
  </si>
  <si>
    <t>PCI ECOS CONICYT Concurso de proyectos de intercambio Chile Francia 2019</t>
  </si>
  <si>
    <t>14-LOS TILOS, 10-LA PLATINA, 16-RAYENTUE  </t>
  </si>
  <si>
    <t>Collaborative counter season research efforts between France and Chile analysis of traits affected by climate change in sweet cherry in order to create new varieties adapted to future environmental conditions</t>
  </si>
  <si>
    <t>DONOSO CONTRERAS JOSE MANUEL</t>
  </si>
  <si>
    <t>Concurso Regular Fondecyt 2020</t>
  </si>
  <si>
    <t>14-LOS TILOS, 16-RAYENTUE, 10-LA PLATINA, 05-INTIHUASI  </t>
  </si>
  <si>
    <t>Disentangling the epigenetic influence on fruit development and ripening in three stone fruits Prunus species</t>
  </si>
  <si>
    <t>XXIII Concurso Nacional de Proyectos Explora para elaboración de productos de divulgación de las ciencias y la tecnología 2019 2020</t>
  </si>
  <si>
    <t>16-RAYENTUE, 15-HIDANGO  </t>
  </si>
  <si>
    <t>NATIVOAPP 2 0 Plataforma móvil y web para mapear e identificarflora nativa en Chile</t>
  </si>
  <si>
    <t>IX Concurso de Vinculación Ciencia Empresa</t>
  </si>
  <si>
    <t>16-RAYENTUE, 01-DIRECCIÓN NACIONAL  </t>
  </si>
  <si>
    <t>Vinculación Ciencia Empresa Una Plataforma Científico Técnica para enfrentar los desafíos ante el aumento de cobertura de riego del ECV Embalse Convento Viejo en la comuna de Marchigue</t>
  </si>
  <si>
    <t>NO</t>
  </si>
  <si>
    <t>N/A</t>
  </si>
  <si>
    <t>No alcanzo a presentarlo a la FF</t>
  </si>
  <si>
    <t>CONICYT</t>
  </si>
  <si>
    <t>INNOVA-CORFO </t>
  </si>
  <si>
    <t>Bienes Públicos 2019- Temática "Adaptación al Cambio Climático"  </t>
  </si>
  <si>
    <t>16-RAYENTUE</t>
  </si>
  <si>
    <t>Adaptación al manejo agronómico del cultivo de cerezo desarrollado bajo cubiertas plásticas</t>
  </si>
  <si>
    <t>FONDECYT DE POSTDOCTORADO 2020  </t>
  </si>
  <si>
    <t>16-Rayentue, 15-Hidango, 20-Quilamapu, 14-Los Tilos  </t>
  </si>
  <si>
    <t>DETERMINACIÓN DE LAS BASES FISIOLÓGICAS DE LA ADAPTACIÓN DE GENOTIPOS DE TRIGO CANDEAL DE INIA A CONDICIONES DE SEQUÍA EN EL SECANO MEDITERRÁNEO DE CHILE  </t>
  </si>
  <si>
    <t>FONDEF </t>
  </si>
  <si>
    <t>VIII Concurso de Investigación Tecnológica 2019-IDeA  </t>
  </si>
  <si>
    <t>10-La Platina, 16-Rayentue, 20-Quilamapu, 30-Carillanca  </t>
  </si>
  <si>
    <t>Nuevas herramientas de monitoreo de poblaciones de Pseudomonas syringae agente causal del cáncer bacterial en cerezos para apoyar sistemas integrados de control y reducir contaminación con Cu+2.  </t>
  </si>
  <si>
    <t>16-Rayentue  </t>
  </si>
  <si>
    <t>Validación de la tecnología de nanoburbujas en distintos niveles de la cadena de producción de fruta fresca  </t>
  </si>
  <si>
    <t>FNDR Antofagasta</t>
  </si>
  <si>
    <t>Fondos 2019</t>
  </si>
  <si>
    <t>Tranferencia Control Mostaza negra -El Loa</t>
  </si>
  <si>
    <t>VEGA BARBARA</t>
  </si>
  <si>
    <t>RS</t>
  </si>
  <si>
    <t>FNDR O'Higgins</t>
  </si>
  <si>
    <t>Fondos 2020</t>
  </si>
  <si>
    <t>Diseño Ampliación edificio INIA</t>
  </si>
  <si>
    <t>BARTEL CLAUDIA</t>
  </si>
  <si>
    <t>OT</t>
  </si>
  <si>
    <t>Bioinmunizador microbiano endófito para el manejo agroecológico de la cebolla como estrategia para disminuir el uso de agroquímicos en el cultivo.</t>
  </si>
  <si>
    <t>VEGA CANDIA, BARBARA CHANTAL</t>
  </si>
  <si>
    <t>Perfil Seleccionado</t>
  </si>
  <si>
    <t>Conociendo la dinámica poblacional de Pseudomonas syringae para un control mas efectivo y sustentable del cáncer bacterial en Cerezos en Chile</t>
  </si>
  <si>
    <t>SAGREDO DIAZ, BORIS</t>
  </si>
  <si>
    <t>Perfil no Seleccionado</t>
  </si>
  <si>
    <t>Manejos sustentables para enfrentar un escenario de sequía en huertos frutales</t>
  </si>
  <si>
    <t>Frutales</t>
  </si>
  <si>
    <t>OTAROLA ALIAGA, JAIME IGNACIO</t>
  </si>
  <si>
    <t>Validación de la tecnología de nanoburbujas en distintos niveles de la cadena de producción de fruta fresca</t>
  </si>
  <si>
    <t>VIII Concurso de Investigación Tecnológica 2019-IDeA</t>
  </si>
  <si>
    <t>Nuevas herramientas de monitoreo de poblaciones de Pseudomonas syringae agente causal del cáncer bacterial en cerezos para apoyar sistemas integrados de control y reducir contaminación con Cu+2.</t>
  </si>
  <si>
    <t>DETERMINACIÓN DE LAS BASES FISIOLÓGICAS DE LA ADAPTACIÓN DE GENOTIPOS DE TRIGO CANDEAL DE INIA A CONDICIONES DE SEQUÍA EN EL SECANO MEDITERRÁNEO DE CHILE</t>
  </si>
  <si>
    <t>ALFARO JARA, CHRISTIAN EUGENIO</t>
  </si>
  <si>
    <t>FONDECYT DE POSTDOCTORADO 2020</t>
  </si>
  <si>
    <t>Bienes Públicos 2019- Temática "Adaptación al Cambio Climático"</t>
  </si>
  <si>
    <t>Manejo de frutales ante un escenario de sequía en la región de O’Higgins</t>
  </si>
  <si>
    <t>En revisión por SubDirector Regional de I+D</t>
  </si>
  <si>
    <t>Generación de una línea base para el establecimiento frutal en el valle de Nilahue con disponibilidad de agua de riego a través del embalse Convento Viejo.</t>
  </si>
  <si>
    <t>16-Rayentue, 20-Quilamapu  </t>
  </si>
  <si>
    <t>Convocatoria Nacional Proyectos de Innovación 2019 FIA</t>
  </si>
  <si>
    <t>16-Rayentue </t>
  </si>
  <si>
    <t>U. de Chile</t>
  </si>
  <si>
    <t xml:space="preserve">No es pertinente </t>
  </si>
  <si>
    <t>16-Rayentue</t>
  </si>
  <si>
    <t>No aplica</t>
  </si>
  <si>
    <t>FIA</t>
  </si>
  <si>
    <t xml:space="preserve"> numeral 12.2 de las bases, se concluyó que su proyecto no cumplió
con todos los requisitos de dicho análisis y, por lo tanto, es no pertinente</t>
  </si>
  <si>
    <t>Oficio N°02804</t>
  </si>
  <si>
    <t>No es pertinente</t>
  </si>
  <si>
    <t>19BP-117383</t>
  </si>
  <si>
    <t>nota 4,09 no supera puntaje de corte 4,38</t>
  </si>
  <si>
    <t>Oficio N°350</t>
  </si>
  <si>
    <t>Código BIP : 40013817</t>
  </si>
  <si>
    <t>16-Rayentué</t>
  </si>
  <si>
    <t>Acuerdo CORE 15352-19</t>
  </si>
  <si>
    <t>Cod. BIP. 40002794-0</t>
  </si>
  <si>
    <t>Desarrollo de una plataforma de análisis de fragmentos y secuencias de ADN para fortalecer el desarrollo científico y tecnológico de la Región de O'Higgins</t>
  </si>
  <si>
    <t>X Concurso de Equipamiento Científico y Tecnológico-FONDEQUIP, Región de O’Higgins, año 2019</t>
  </si>
  <si>
    <t>FONDEQUIP</t>
  </si>
  <si>
    <t>16-Rayentue, 20-Quilamapu, 13-La Cruz  </t>
  </si>
  <si>
    <t>Deep insight in the cherry plant defense responses to bacterial canker disease in a scenario of water restriction</t>
  </si>
  <si>
    <t>Anillos de Investigación en Ciencia Y tecnología para la Región de O´Higgins 2019</t>
  </si>
  <si>
    <t>UOH</t>
  </si>
  <si>
    <t>Investigador/a     Encargado/a</t>
  </si>
  <si>
    <t>X Concurso de Equipamiento Cient fico y Tecnol gico FONDEQUIP Regi n de O Higgins a o 2019</t>
  </si>
  <si>
    <t>Fortalecimiento y ampliación de un laboratorio de física de suelos y riego para su consolidación en la investigación y servicios en la región de O Higgins</t>
  </si>
  <si>
    <t>CARRASCO JIMENEZ JORGE</t>
  </si>
  <si>
    <t>Desarrollo de una plataforma de análisis de fragmentos y secuencias de ADN para fortalecer el desarrollo científico y tecnológico de la Región de O Higgins</t>
  </si>
  <si>
    <t>16-RAYENTUE, 20-QUILAMAPU, 13-LA CRUZ </t>
  </si>
  <si>
    <t>Deep insight in the cherry plant defense responses tobacterial canker disease in a scenario of water restriction</t>
  </si>
  <si>
    <t>NO APARECE EN LA LISTA DE PROYECTOS QUE PASARON LA 1° ETAPA</t>
  </si>
  <si>
    <t>RECHAZADO</t>
  </si>
  <si>
    <t> Impacto Potencial Económico Social Y sustentabilidad</t>
  </si>
  <si>
    <t>no adjudicar la propuesta, debido a que la solución no está debidamente identiﬁcada</t>
  </si>
  <si>
    <t xml:space="preserve">Súmate a Innovar - INNOVA-CORFO </t>
  </si>
  <si>
    <t>Efecto de la humidificación durante la cosecha de paltas para mejorar la condición de la fruta post-frío  </t>
  </si>
  <si>
    <t>No se realiza postulación porque la empresa interesada no puede realizar el aporte por la situación económica causada por COVID-19</t>
  </si>
  <si>
    <t>X Concurso de Equipamiento Cientifico y Tecnologico FONDEQUIP Regi n de O Higgins a o 2019</t>
  </si>
  <si>
    <t>Solución planteada insuficiente</t>
  </si>
  <si>
    <t>correo</t>
  </si>
  <si>
    <t>FONDECYT Regular 2021</t>
  </si>
  <si>
    <t>HYDRAULIC MECHANISMS AND CARBON METABOLISM IN THE ADAPTATION OF DURUM WHEAT TO CONDITIONS OF CLIMATE CHANGE</t>
  </si>
  <si>
    <t>Producción Vegetal</t>
  </si>
  <si>
    <t>UCH</t>
  </si>
  <si>
    <t>Identificación de factores genéticos y moleculares asociados a respuesta diferencial al cáncer bacterial en cerezos (Prunus avium L.) en grupos de variedades con resistencia contrastante</t>
  </si>
  <si>
    <t>Identification and development of molecular markers associated with genes responsible for the determination of sex in maqui (A. chilensis) and its location at chromosomal level.</t>
  </si>
  <si>
    <t>U. Autonoma Ch</t>
  </si>
  <si>
    <t>FIC O'Higgins 2020</t>
  </si>
  <si>
    <t>Transferencia Manejo hídrico eficiente en frutales para nueva zona de riego</t>
  </si>
  <si>
    <t>Transferencia hongos de la madera en frutales de carozo: situación actual y estrategias de control en la Región de O´Higgins.</t>
  </si>
  <si>
    <t>LEMUS SEPULVEDA, GAMALIER FDO</t>
  </si>
  <si>
    <t>Ag Tech Invest Lab Innovation</t>
  </si>
  <si>
    <t>FELMER ECHEVERRIA, SOFIA</t>
  </si>
  <si>
    <t>16-Rayentue, 20-Quilamapu</t>
  </si>
  <si>
    <t>USACH</t>
  </si>
  <si>
    <t>Concurso Postdoctorado 2019</t>
  </si>
  <si>
    <t>Rayentué</t>
  </si>
  <si>
    <t>INTERACCIÓN G X E DE CARACTERES DE ADAPTACIÓN A CONDICIONES DE ESTRÉS HÍDRICO EN Y SU EFECTO SOBRE LA DETERMINACIÓN DEL RENDIMIENTO EN TRIGO CANDEAL</t>
  </si>
  <si>
    <t>ALFARO JARA CHRISTIAN EUGENIO</t>
  </si>
  <si>
    <t>Concurso Regular Fondecyt 2019</t>
  </si>
  <si>
    <t>MECANISMOS HIDRAULICOS Y DE METABOLISMO DEL CARBONO EN LA ADAPTACION DEL CULTIVO DE TRIGO A CONDICIONES DE CAMBIO CLIMÁTICO EN AMBIENTES DE SEQUIA SEVERA DE TIPO MEDITERRANEO</t>
  </si>
  <si>
    <t>Septimo Concurso de Investigaci n Tecnol gica 2018 IDeA</t>
  </si>
  <si>
    <t>NO SE ALCANZO A POSTULAR</t>
  </si>
  <si>
    <t>Otros Concursos de alcance nacional o regional 2018</t>
  </si>
  <si>
    <t>Identificación de marcadores moleculares asociados a la determinación del sexo en maqui A chilensis y su ubicación a nivel cromosómico</t>
  </si>
  <si>
    <t>FIA-Convocatoria Nacional Giras Nacionales para la Innovaci n de la Peque a Agricultura 2018</t>
  </si>
  <si>
    <t>Adquisición de conocimientos en el control biológico de plagas y enfermedades en las principales hortalizas de la región de O higgins</t>
  </si>
  <si>
    <t>VEGA CANDIA BARBARA CHANTAL</t>
  </si>
  <si>
    <t>Captura de conocimientos y experiencias en el manejo sustentable del cultivo del tomate</t>
  </si>
  <si>
    <t>En corrección por Comisión de Evaluación Nacional</t>
  </si>
  <si>
    <t>FONDECYT</t>
  </si>
  <si>
    <t>HYDRAULIC MECHANISMS AND CARBON METABOLISM IN THE ADAPTATION OF WHEAT TO CONDITIONS OF CLIMATE CHANGE IN SEVERE DROUGHT MEDITERRANEAN ENVIRONMENTS/ MECANISMOS HIDRAULICOS Y DE METABOLISMO DEL CARBONO EN LA ADAPTACION DEL CULTIVO DE TRIGO A CONDICIONES DE CAMBIO CLIMÁTICO EN AMBIENTES DE SEQUIA SEVERA DE TIPO MEDITERRANEO</t>
  </si>
  <si>
    <t>U. Chile</t>
  </si>
  <si>
    <t>puntaje</t>
  </si>
  <si>
    <t>carta N°018/Fondecyt/22</t>
  </si>
  <si>
    <t>INTERACCIÓN G X E DE CARACTERES MORFO-FISIOLÓGICOS DE ADAPTACIÓN A CONDICIONES DE SEQUÍA Y SU EFECTO EN LA DETERMINACIÓN DEL RENDIMIENTO EN TRIGO CANDEAL.
Marcela Opazo - opazo.marcela@gmail.com</t>
  </si>
  <si>
    <t>QUEDARON ABAJO DEL PUNTAJE DE CORTE</t>
  </si>
  <si>
    <t>CARTA DIRIGIDA A MARCELA OPAZO, INVESTIGADORA PPAL.</t>
  </si>
  <si>
    <t>Otros Concursos de alcance nacional o regional 2018  </t>
  </si>
  <si>
    <t>UNIVERSIDAD AUTONOMA</t>
  </si>
  <si>
    <t>POR C.V. DE LOS PROFESIONALES</t>
  </si>
  <si>
    <t>CARTA RECIBIDA POR EL INVESTIGADOR PPAL</t>
  </si>
  <si>
    <t>Convocatoria Nacional Giras Nacionales para la Innovación de la Pequeña Agricultura 2018</t>
  </si>
  <si>
    <t>Adquisición de conocimientos en el control biológico de plagas y enfermedades en las principales hortalizas de la región de O´higgins.</t>
  </si>
  <si>
    <t>FF DECIDIO NO APROBAR</t>
  </si>
  <si>
    <t>Carta FIA 2701</t>
  </si>
  <si>
    <t>Granos tradicionales para la seguridad alimentaria</t>
  </si>
  <si>
    <t>Transferencia tecnológica PAFAM</t>
  </si>
  <si>
    <t xml:space="preserve">FIC </t>
  </si>
  <si>
    <t>ANID</t>
  </si>
  <si>
    <t>Nota 2,6</t>
  </si>
  <si>
    <t>Informe de Evaluación  recibido por mail</t>
  </si>
  <si>
    <t>Respuesta enviada a UCH</t>
  </si>
  <si>
    <t>Determination of root traits of durum wheat (Triticum turgidum L. spp. Durum) released from 1915 to 2015 to improve wheat grain yield in the Mediterranean dry land environments.</t>
  </si>
  <si>
    <t>Fondecyt de Postdoctorado 2021</t>
  </si>
  <si>
    <t>Manejo del cáncer bacterial en huertos de cerezo de la Región del Maule a través de un control ecológicamente sustentable</t>
  </si>
  <si>
    <t>FIC- Región del Maule</t>
  </si>
  <si>
    <t>En concurso / paso Admisibilidad/ paso Ev Tecnica</t>
  </si>
  <si>
    <t>Anillos de Investigacion en Ciencia Y tecnolog a para la Regi n de O Higgins 2019</t>
  </si>
  <si>
    <t>ABARCA REYES, LUIS PATRICIO</t>
  </si>
  <si>
    <t>Transferencia en la incorporación de técnicas y tecnologías para la aplicación de fitosanitarios en cultivos de berries</t>
  </si>
  <si>
    <t>16-Rayentue, 20-Quilamapu, 21-Raihuen</t>
  </si>
  <si>
    <t>Perfil Seleccionado c/obs</t>
  </si>
  <si>
    <t>NO APLICA</t>
  </si>
  <si>
    <t xml:space="preserve">No realizo las correcciones a las observaciones </t>
  </si>
  <si>
    <t>Convocatoria Nacional de Proyectos 2020-2021 FIA</t>
  </si>
  <si>
    <t>AGUIRRE AGUILERA, CRISTIAN</t>
  </si>
  <si>
    <t>U Talca</t>
  </si>
  <si>
    <t>Potenciamiento del cultivo de Quínoa como una alternativa productiva sustentable en la Región del Maule y valoración de la calidad nutricional de los granos</t>
  </si>
  <si>
    <t>Plataforma virtual para el ajuste de parámetros operativos en pulverizadores agrícolas para la aplicación eficiente de plaguicidas en cítricos</t>
  </si>
  <si>
    <t>Elaboración y utilización de pellet a partir de lana ovina de descarte, para optimizar los recursos hídricos y mitigar el efecto del cambio climático.</t>
  </si>
  <si>
    <t>Desarrollo y validación de un sistema automatizado de humidificación de alta presión como una herramienta multipropósito para el cultivo del cerezo bajo macrotúneles</t>
  </si>
  <si>
    <t>Municipalidad Quinta Tilcoco</t>
  </si>
  <si>
    <t>Programa APL Agroecología</t>
  </si>
  <si>
    <r>
      <t>G</t>
    </r>
    <r>
      <rPr>
        <i/>
        <sz val="8"/>
        <color theme="1"/>
        <rFont val="Calibri"/>
        <family val="2"/>
        <scheme val="minor"/>
      </rPr>
      <t>TT Agroecológico de Producción de Hortalizas con inclusión de capacidades diferentes</t>
    </r>
  </si>
  <si>
    <t>I Concurso Nodos para la Aceleración de Impacto Territorial de la CTCI año 2020</t>
  </si>
  <si>
    <t>Economía Circular y Sostenibilidad en los Procesos Industriales de la Macrozona Centro-Sur: Aseguramiento Agroalimentario</t>
  </si>
  <si>
    <t>U. Autonoma</t>
  </si>
  <si>
    <t>FF no da justificación, solo presenta listado de los aprobados para presentar a los CORES</t>
  </si>
  <si>
    <t>Carta N°018/FONDECYT/UGC/189</t>
  </si>
  <si>
    <t xml:space="preserve"> 21-12-2019</t>
  </si>
  <si>
    <t xml:space="preserve"> 17-09-2019</t>
  </si>
  <si>
    <t>no se da justificación</t>
  </si>
  <si>
    <t>Publicación Acuerdo CORE N°6.514</t>
  </si>
  <si>
    <t>Res. Exenta N°10451/2020</t>
  </si>
  <si>
    <t>fuera de bases por tener un informe pendiente de difusión en el proyecto Fondecyt 2018 cod. 502410.</t>
  </si>
  <si>
    <t>Rex 12375_2020 Adjudica I Concurso de Nodos CTCi</t>
  </si>
  <si>
    <t>ADJUDICADO</t>
  </si>
  <si>
    <t>Res. Exento N°12525/2020</t>
  </si>
  <si>
    <t>EQUR190005</t>
  </si>
  <si>
    <t>el investigador realizo una apelación</t>
  </si>
  <si>
    <t>Paso Admisibilidad pero no paso a 2° etapa</t>
  </si>
  <si>
    <t>NO SE SIGUIO CON LOS PROCESOS MOP, CORES, INTENDENTE</t>
  </si>
  <si>
    <t>Nomina seleccionados y no seleccionados 2da etapa</t>
  </si>
  <si>
    <t>Res. Ex. N°1590</t>
  </si>
  <si>
    <t>Nomina adjudicados</t>
  </si>
  <si>
    <t>ID 19110375</t>
  </si>
  <si>
    <t>IV Concurso Nacional de Financiamiento Basal para Centros Científicos y Tecnológicos</t>
  </si>
  <si>
    <t>Center on Smart Agriculture for a One Health Future</t>
  </si>
  <si>
    <t>Concurso IDeA I+D 2021</t>
  </si>
  <si>
    <t xml:space="preserve">Desarrollo y validación de una herramienta molecular para monitorear las poblaciones epifitas de Pseudomonas syringae pv syringae para optimizar el control del cáncer bacterial en cerezos </t>
  </si>
  <si>
    <t>UOH - Universidad de O'Higgins</t>
  </si>
  <si>
    <t>Celdas Solares Flexibles a base de Silica Biogénica y Grafeno (FlexSiGraf)</t>
  </si>
  <si>
    <t>UA - Universidad Autónoma de Chile; UDEC - Universidad de Concepción</t>
  </si>
  <si>
    <t>Proyectos de Innovación Región de O'Higgins 2021</t>
  </si>
  <si>
    <t>evaluación del floculante de suelos Promesol 5X,</t>
  </si>
  <si>
    <t>INNOVATEK</t>
  </si>
  <si>
    <t>Manejo sustentable de agua, suelos y cultivos, para enfrentar la escasez hídrica, erosión, y consecuencias de los incendios forestales, por efecto del cambio climático, en las comunas de Pumanque, Paredones, Litueche y La Estrella. Región de O`Higgins</t>
  </si>
  <si>
    <t>Desarrollo de una aplicación online para la optimización del uso de plaguicidas en cítricos como adaptación al cambio climático para la región de O’Higgins</t>
  </si>
  <si>
    <t xml:space="preserve">No alcanzo a presentar el proyecto </t>
  </si>
  <si>
    <t>Fondecyt Regular 2022</t>
  </si>
  <si>
    <t>FLOWERING IN A WARM CLIMATE: EFFECT(S) OF HIGH TEMPERATURE ON FLORAL BUD DEVELOPMENT IN SWEET CHERRY TREES (Prunus avium L.)</t>
  </si>
  <si>
    <t>Identification of QTLs and candidate genes associated with differential susceptibilty/resistance to bacterial canker in segragating progenies of sweet cherry (Prunus avium L.).</t>
  </si>
  <si>
    <t>CEAF</t>
  </si>
  <si>
    <t>CONTRATO PRIVADO</t>
  </si>
  <si>
    <t>BIOAMERICA</t>
  </si>
  <si>
    <t>AGROSUPER</t>
  </si>
  <si>
    <t>VIÑA LUIS FELIPE EDUARDS</t>
  </si>
  <si>
    <t>ASCC</t>
  </si>
  <si>
    <t>EN EVALUACION</t>
  </si>
  <si>
    <t>Evaluación Riego por pulso</t>
  </si>
  <si>
    <t>evaluación de compost</t>
  </si>
  <si>
    <t>UPSE</t>
  </si>
  <si>
    <r>
      <t>Efecto del producto ERGER 2 como quebrador de dormancia en cerezos (</t>
    </r>
    <r>
      <rPr>
        <b/>
        <i/>
        <sz val="8"/>
        <color rgb="FF308076"/>
        <rFont val="Calibri"/>
        <family val="2"/>
        <scheme val="minor"/>
      </rPr>
      <t>Prunus avium</t>
    </r>
    <r>
      <rPr>
        <b/>
        <sz val="8"/>
        <color rgb="FF308076"/>
        <rFont val="Calibri"/>
        <family val="2"/>
        <scheme val="minor"/>
      </rPr>
      <t>) var. Lapins</t>
    </r>
  </si>
  <si>
    <t>Agrosistemas Sustentables</t>
  </si>
  <si>
    <t>Producción  Vegetal</t>
  </si>
  <si>
    <t>FONTAGRO</t>
  </si>
  <si>
    <t>FIA Asignacion Directa</t>
  </si>
  <si>
    <t>Agtechmetro</t>
  </si>
  <si>
    <t>U. AUSTRAL</t>
  </si>
  <si>
    <t>Desarrollo de soluciones técnicas de manejo sustentable de suelos, agua y cultivos, para mejorar la situación post incendios forestales en predios de agricultores del área de secano de la región de O`Higgins y mitigar la problemática del cambio climático</t>
  </si>
  <si>
    <t>Contratos Privados Internacionales</t>
  </si>
  <si>
    <t>No tengo la info</t>
  </si>
  <si>
    <t>FIA Asignación Directa</t>
  </si>
  <si>
    <t>Programa de innovación en el uso eficiente del recurso hídrico para la pequeña agricultura de la región de O'Higgins</t>
  </si>
  <si>
    <t>en etapa negociación se deben corregir observaciones</t>
  </si>
  <si>
    <t>EN REDACCION DEL CONTRATO</t>
  </si>
  <si>
    <t>EN POSTULACION CON V°B° FIC</t>
  </si>
  <si>
    <t>PYT-2021-0639</t>
  </si>
  <si>
    <t>PYT-2021-0661</t>
  </si>
  <si>
    <t>Carta UDP-A-N°1831 de fecha 29/10/2021                    Sesión
Extraordinaria N°236, realizada el 27 de octubre de 2021.</t>
  </si>
  <si>
    <t>Carta UDP-A-N°1997 de fecha 24/11/2021                          Sesión
ordinaria N°274, realizada el 8 de septiembre de 2021.</t>
  </si>
  <si>
    <t>Puntuación baja 62,67/100 y requería como minimo 75/100</t>
  </si>
  <si>
    <t>Carta FTG/6935 de fecha 5 de noviembre de 2021</t>
  </si>
  <si>
    <t>listado proyectos aprobados y no aprobados de acuerdo con el numeral 2.2.3 “Adjudicación” de las Bases Técnicas y Administrativas</t>
  </si>
  <si>
    <t>FIC</t>
  </si>
  <si>
    <t>Optimización de la aplicación de biocontroladores de origen microbiano a través de diferentes técnicas de pulverización en cultivos agrícolas de importancia para la Región de O'Higgins</t>
  </si>
  <si>
    <t>Patricio Abarca</t>
  </si>
  <si>
    <t>Si</t>
  </si>
  <si>
    <t>Transferencia bioinmunizador endófito para el control de plagas y enfermedades en cucurbitáceas</t>
  </si>
  <si>
    <t>Bárbara Vega</t>
  </si>
  <si>
    <t>FONDECYT Regular</t>
  </si>
  <si>
    <t>Caracterización e identificación de los factores genéticos de la resistencia al cáncer bacterial en cerezos (Prunus avium L.) presentes en cv Santina</t>
  </si>
  <si>
    <t>Boris Sagredo</t>
  </si>
  <si>
    <t>Transferencia de la caracterización y evaluación de suelos de predios de la pequeña agricultura para su incorporación a la producción de rubros de mayor rentabilidad como la fruticultura y horticultura</t>
  </si>
  <si>
    <t>Jorge Carrasco</t>
  </si>
  <si>
    <t>No</t>
  </si>
  <si>
    <t>Contrato Municipalidad</t>
  </si>
  <si>
    <t>Programa GET Agroecológico de producción de hortalizas con inclusión de capacidades diferentes</t>
  </si>
  <si>
    <t>Extensión y Formación de capacidades</t>
  </si>
  <si>
    <t>ANID Idea I&amp;D</t>
  </si>
  <si>
    <t>Herramientas para determinar las características de la población del agente causal del cáncer bacterial en cerezos: Generando información clave para el desarrollo de estrategias sustentables de control</t>
  </si>
  <si>
    <t>Idea I&amp;D</t>
  </si>
  <si>
    <t>No postulado por imposibilidad de gestionar recursos pecuniarios de contrapartida en el monto que haga viable la propuesta.</t>
  </si>
  <si>
    <t>FIA 2022-2023</t>
  </si>
  <si>
    <t>Caracterización y evaluación de suelos de predios de la pequeña agricultura para su incorporación a la producción de rubros de mayor rentabilidad como la fruticultura y horticultura</t>
  </si>
  <si>
    <t>Control y prevención de los incendios forestales con ovinos para mitigar los efectos del cambio climático.</t>
  </si>
  <si>
    <t>Producción Animal</t>
  </si>
  <si>
    <t>Marcelo Quezada</t>
  </si>
  <si>
    <t>Plataforma interactiva para el desarrollo de mejoras en el control de plagas en cultivo de cítricos a través de la pulverización hidroneumática</t>
  </si>
  <si>
    <t>Nuevas estrategias de riego para el cultivo del nogal injertado sobre portainjertos clonales</t>
  </si>
  <si>
    <t>Jaime Otárola</t>
  </si>
  <si>
    <t>Convocatoria Nacional FIA 2022-2023 "Proyectos de Innovación de Interés privado o Bienes Públicos para el Agro</t>
  </si>
  <si>
    <t>Municipalidad San Vicente de Tagua Tagua</t>
  </si>
  <si>
    <t>Convenio de Asistencia Técnica y Transferencia Tecnológica INIA - San Vicente de Tagua Tagua</t>
  </si>
  <si>
    <t>Convenio firmado</t>
  </si>
  <si>
    <t>NESTLÉ</t>
  </si>
  <si>
    <t>Implementación de prácticas de Agricultura Regenerativa en cultivos de trigo</t>
  </si>
  <si>
    <t>Convenio en revisión para firma</t>
  </si>
  <si>
    <t>Christian Alfaro (cambia a Iván Matus de Quilamapu)</t>
  </si>
  <si>
    <t>Municipalidad de San Pedro</t>
  </si>
  <si>
    <t>Convenio de Colaboración INIA y Municipalidad de San Pedro Difusión de tecnologías de cultivos de trigo y triticale</t>
  </si>
  <si>
    <t>Cristian Aguirre</t>
  </si>
  <si>
    <t>Aprobado</t>
  </si>
  <si>
    <t>Innovak Global Chile SpA</t>
  </si>
  <si>
    <t>Addendum Contrato de Trabajo</t>
  </si>
  <si>
    <t>Renovación contrato</t>
  </si>
  <si>
    <t>17-04-2023, carta UPGN°23 del 26-04-2023</t>
  </si>
  <si>
    <t>Consejo Directivo FIA N° 240</t>
  </si>
  <si>
    <t>PYT 2023-0219</t>
  </si>
  <si>
    <t>Detalle en carta. Etapa de negociación</t>
  </si>
  <si>
    <t>17-04-2023, carta UPGN°243 del 26-04-2023</t>
  </si>
  <si>
    <t>PYT 2023-0259</t>
  </si>
  <si>
    <t>Etapa de firma de Convenio</t>
  </si>
  <si>
    <t>Resolución Exenta N° 120 de fecha 17 de febrero de 2023</t>
  </si>
  <si>
    <t>Código IDI 40048423-0</t>
  </si>
  <si>
    <t>40048416-0</t>
  </si>
  <si>
    <t>RESOLUCION EXENTO Nº: 3242/2023 del 06/04/2023</t>
  </si>
  <si>
    <t>RESOLUCION EXENTO Nº: 6968/2022 del 11/08/2022</t>
  </si>
  <si>
    <t>ID22I10318</t>
  </si>
  <si>
    <t>FONDECYT 2024</t>
  </si>
  <si>
    <t>A comprehensive characterization of physiological and agronomic traits for detecting keystones to select quinoa (Chenopodium quinoa Willd.) genotypes under adverse environments</t>
  </si>
  <si>
    <t>Félix Estrada</t>
  </si>
  <si>
    <t>Desarrollo de un potencial agente antifúngico a partir de saponinas presentes en líneas avanzadas de quínoa</t>
  </si>
  <si>
    <t>Tecnofen</t>
  </si>
  <si>
    <t>FONDECYT Iniciación 2024</t>
  </si>
  <si>
    <t>Disentangling the epigenetic influence on differentiation of fruit development between early and late varieties in sweet cherry (Prunus avium)</t>
  </si>
  <si>
    <t>José Manuel Donoso</t>
  </si>
  <si>
    <t>Universidad de Chile</t>
  </si>
  <si>
    <t>Anillos</t>
  </si>
  <si>
    <t>Anillos de Investigación en Áreas Temáticas Específicas 2023</t>
  </si>
  <si>
    <t>Plant Abiotic Stress tolerance for a Sustainable Agriculture (PASSA): Molecular Strategies for improving Plant Tolerance to drought and salinity</t>
  </si>
  <si>
    <t>Diversificación de productos funcionales de quinua para contribuir a la seguridad alimentaria</t>
  </si>
  <si>
    <t>FONTAGRO 2023</t>
  </si>
  <si>
    <t>UNAL - Universidad Nacional de Colombia- Colombia</t>
  </si>
  <si>
    <t>FIC O'Higgins 2023</t>
  </si>
  <si>
    <t>Transferencia tecnológica y revalorización de vides criollas y productos derivados con tradición patrimonial campesina para la Región de O'Higgins</t>
  </si>
  <si>
    <t>Semillero colaborativo regional de variedades tradicionales INIA, en la comuna de San Vicente</t>
  </si>
  <si>
    <t>Desarrollo de soluciones técnicas para la recuperación de suelos y cultivos en terrenos afectados por desborde de ríos e inundaciones, en la pequeña y mediana agricultura en las comunas de Coltauco y San Vicente, Región de O’Higgins</t>
  </si>
  <si>
    <t>Biofiltros domiciliarios para la utilización de aguas grises con riego tecnificado para la pequeña agricultura en las comunas de Pumanque, Navidad y Pichilemu</t>
  </si>
  <si>
    <t>Emiio Cáceres</t>
  </si>
  <si>
    <t>Juan Pablo Martínez</t>
  </si>
  <si>
    <t>Convocatoria Nacional Proyectos de Innovación-Interés Privado o Bienes Públicos- para el Agro 2023 (Propuesta completa)</t>
  </si>
  <si>
    <t>Regular</t>
  </si>
  <si>
    <t>Municipalidad de Pichidegua</t>
  </si>
  <si>
    <t>Convenio de Colaboración Técnica y Transferencia Tecnológica INIA - Municipalidad de Pichidegua</t>
  </si>
  <si>
    <t>No admitido por bases (faltó documentación)</t>
  </si>
  <si>
    <t>Comunicación de adjudicación 14-11-2023</t>
  </si>
  <si>
    <t>Convocatoria Nacional FIA 2023-2024 "Proyectos de Innovación en Sistemas Alimentarios Sostenibles"</t>
  </si>
  <si>
    <t>Diversificación floral con especies nativas y cultivos tradicionales con riego tecnificado, mejorando la disponibilidad de alimento en Apis melífera.</t>
  </si>
  <si>
    <t>Emilio Cáceres</t>
  </si>
  <si>
    <t>Comunicación no pertinente 09-11-2023</t>
  </si>
  <si>
    <t>Concurso Startup Ciencia 2024 (2º llamado 2023)</t>
  </si>
  <si>
    <t>Desarrollo de un sensor portátil (Optiriego) que optimiza el manejo de riego en tomates y uva vinífera</t>
  </si>
  <si>
    <t>Juan Pablo Martínuez</t>
  </si>
  <si>
    <t>YUMMY FRUIT SPA</t>
  </si>
  <si>
    <t>No adjudicado</t>
  </si>
  <si>
    <t>Biofiltros domiciliarios para la utilización de aguas grises con riego tecnificado para la pequeña agricultura en las comunas de Pumanque, Paredones y Pichilemu.</t>
  </si>
  <si>
    <t>Transferencia de soluciones técnicas para la recuperación de suelos en terrenos afectados por inundaciones y anegamiento, en las comunas de Coltauco y San Vicente, Región de O’Higgins</t>
  </si>
  <si>
    <t>No Adjudicado</t>
  </si>
  <si>
    <t>No Postulado</t>
  </si>
  <si>
    <t>Effect of drought on the plasticity of physiological and agronomic traits in Lactuca sativa L. cultivars, under the context of climate change of southern Chile</t>
  </si>
  <si>
    <t>ESTRADA BRAVO, FELIX RODOLFO</t>
  </si>
  <si>
    <t>Seleccionado con condiciones</t>
  </si>
  <si>
    <t>Concurso de Investigación Tecnológica IDeA 2023 (apertura 2022)</t>
  </si>
  <si>
    <t>Validación en huertos comerciales de selecciones avanzadas de cerezos de distintos programas de mejoramiento genético de Chile y del extranjero</t>
  </si>
  <si>
    <t>Universidad de Talca</t>
  </si>
  <si>
    <t>Crea y Valida Foco en Sostenibilidad 2023</t>
  </si>
  <si>
    <t>Desarrollo de un agente antifúngico a partir de saponinas presentes en líneas avanzadas de quínoas chilenas</t>
  </si>
  <si>
    <t>No Seleccionado</t>
  </si>
  <si>
    <t>TECNOLOGIA EN FENOMICA DE PLANTAS LIMITADA</t>
  </si>
  <si>
    <t>Instrumentos Complementarios FIA: Giras Nacionales para la Innovación 2024</t>
  </si>
  <si>
    <t>QUEZADA JARA, MARCELO</t>
  </si>
  <si>
    <t>Visita a experiencias de cooperativas exitosas en la Región de Los Lagos, con productores ovinos del secano costero de la Región de O'Higgins.</t>
  </si>
  <si>
    <t>Programa Nacional de Producción Animal</t>
  </si>
  <si>
    <t>15 de abril de 2024 10:53</t>
  </si>
  <si>
    <t>Fondecyt de Iniciación en Investigación 2025</t>
  </si>
  <si>
    <t>A comprehensive analysis of the phenotypic plasticity of key traits for selecting quinoa genotypes (Chenopodium quinoa Willd.) under contrasting environments</t>
  </si>
  <si>
    <t>17 de abril de 2024 09:01</t>
  </si>
  <si>
    <t>Convocatoria Nacional Proyectos de Innovación-Interés Privado o Bienes Públicos- para el Agro 2024 (Propuesta completa)</t>
  </si>
  <si>
    <t>DONOSO CONTRERAS, JOSE MANUEL</t>
  </si>
  <si>
    <t>Desarrollo de un paquete agronómico para una línea avanzada de cerezo adaptada al cambio climático: la primera variedad de la especie creada 100% en Chile</t>
  </si>
  <si>
    <t>25 de mayo de 2024 20:35</t>
  </si>
  <si>
    <t>Fondecyt Regular 2025</t>
  </si>
  <si>
    <t>Understanding the genetics related to orange peel disorder in sweet cherry (Prunus avium L.)</t>
  </si>
  <si>
    <t>29 de mayo de 2024 15:11</t>
  </si>
  <si>
    <t>Disentangling the epigenetic influence on differentiation of fruit development between early and late varieties in sweet cherry (Prunus avium) (FONDECYT REGULAR)</t>
  </si>
  <si>
    <t>4 de junio de 2024 09:25</t>
  </si>
  <si>
    <t>MARTINEZ CASTILLO, JUAN PABLO</t>
  </si>
  <si>
    <t>Improving salt tolerance of “Old Limachino Tomato” by using two clonal rootstocks issued from interspecific reciprocal crosses between wild and cultivated tomato, with different level of salt tolerance.</t>
  </si>
  <si>
    <t>31 de julio de 2024 16:57</t>
  </si>
  <si>
    <t>IDeA I+D 2025</t>
  </si>
  <si>
    <t>Desarrollo de un sistema de producción de plantas de tomate injertadas sobre portainjertos clonales originados por cruzamientos interespecíficos (S. lycopersicum x S. chilense) para mejorar la productividad y calidad de tomate fresco.</t>
  </si>
  <si>
    <t>Postulado</t>
  </si>
  <si>
    <t>5 de agosto de 2024 11:18</t>
  </si>
  <si>
    <t>Red de Fomento Sostenible-1º Convocatoria 2024-Sector Agricultura</t>
  </si>
  <si>
    <t>“RedFrutiT: Red de innovación tecnológica para una fruticultura sustentable y resiliente en Chile” (Red de Fomento Sostenible-1º Convocatoria 2024-Sector Agricultura)</t>
  </si>
  <si>
    <t>UC DAVIS CHILE - FUNDACION UC DAVIS CHILE LIFE SCIENCES INNOVATION CENTER</t>
  </si>
  <si>
    <t>Se ha solicitado por correo los papeles a la ejecutora principal para cerrar el proceso ya que se sabe que no fue adjudicado</t>
  </si>
  <si>
    <t>Fondo Regional para la Productividad y el Desarrollo (FRPD)- Región de O'Higgins 2024</t>
  </si>
  <si>
    <t>Biofábricas en la región de O´Higgins, una alternativa a la producción de agroinsumos con visión agroecológica</t>
  </si>
  <si>
    <t>Programa Nacional de Agrosistemas Sustentables</t>
  </si>
  <si>
    <t>Transferencia de un paquete tecnológico para el control de ataques de depredadores en ovinos del secano costero de O’Higgins.</t>
  </si>
  <si>
    <t>OptiVol: Una plataforma digital para la optimización de la pulverización hidroneumática utilizada en frutales de hoja caduca</t>
  </si>
  <si>
    <t>RUBILAR TORRES, FELIPE ANDRES</t>
  </si>
  <si>
    <t>Desarrollo de la agricultura urbana y periurbana como alternativa de desarrollo sostenible para la producción de alimentos en la Región de O`Higgins.</t>
  </si>
  <si>
    <t>Convocatoria Nacional Proyectos de Innovación para el agro con Énfasis Regional 2024-2025 FIA</t>
  </si>
  <si>
    <t>Empaquetamiento técnico y comercial de la primera variedad de cereza chilena para un mercado de alta exigencia en calidad</t>
  </si>
  <si>
    <t>CACERES CELEDON, EMILIO JOSE</t>
  </si>
  <si>
    <t>Desarrollo de estrategias de riego deficitario controlado en diferentes variedades de cerezos y zonas agroclimáticas de Chile con baja disponibilidad hídrica.</t>
  </si>
  <si>
    <t>20 de feb 16:52</t>
  </si>
  <si>
    <t>Concurso de Investigación Tecnológica IDeA 2025</t>
  </si>
  <si>
    <t>GENERANDO INFORMACIÓN CLAVE PARA EL DESARROLLO DE ESTRATEGIAS SUSTENTABLES DE CONTROL DEL CANCER BACTERIAL EN CEREZOS: BASADOS EN LAS CARACTERÍSTICAS DE LA POBLACIÓN DEL AGENTE CAUSAL</t>
  </si>
  <si>
    <t>Costo Total del proyecto4</t>
  </si>
  <si>
    <t>Asociado Pecuniario</t>
  </si>
  <si>
    <t>Asociado No Pecuniario</t>
  </si>
  <si>
    <t>Inia Pecuniario</t>
  </si>
  <si>
    <t>Inia No Pecuniario</t>
  </si>
  <si>
    <t>Convenio TTT</t>
  </si>
  <si>
    <t>es</t>
  </si>
  <si>
    <t>Otros concursos de alcance Internacional 2023</t>
  </si>
  <si>
    <t>Diversificación de productos funcionales de quinua para contribuir a la seguridad alimentaria (FONTAGRO 2023 " Ciencia, Tecnología e Innovación para una Agricultura y Seguridad Alimentaria más Sostenible y Resiliente al Cambio Climático en América Latina y El Caribe")</t>
  </si>
  <si>
    <t>Concurso de Proyectos Fondecyt de Iniciación en Investigación 2023</t>
  </si>
  <si>
    <t>iNIA</t>
  </si>
  <si>
    <t>UCHILE - Universidad de Chile</t>
  </si>
  <si>
    <t>N</t>
  </si>
  <si>
    <t xml:space="preserve">Si </t>
  </si>
  <si>
    <t>Bioamerica</t>
  </si>
  <si>
    <t>CONTRATO DE PRESTACION DE SERVICIOS ENTRE INSTITUTO DE INVESTIGACIONES AGROPECUARIAS (INIA) Y BIOAMERICA S.A</t>
  </si>
  <si>
    <t>Convenio Firmado Inia</t>
  </si>
  <si>
    <t>ID- PERFIL</t>
  </si>
  <si>
    <t>ID- Perfil</t>
  </si>
  <si>
    <t>Anid</t>
  </si>
  <si>
    <t>CORFO</t>
  </si>
  <si>
    <t>IDI 40059068-0</t>
  </si>
  <si>
    <t>Fondecyt de Iniciación en Investigación 2026</t>
  </si>
  <si>
    <t>Identification of stable and heritable physiological traits for the selection of drought-tolerant quinoa (Chenopodium quinoa Willd.) genotypes under drought environments</t>
  </si>
  <si>
    <t>En evaluación CNE</t>
  </si>
  <si>
    <t>Sin Información</t>
  </si>
  <si>
    <t>Christian Núñez Berrios</t>
  </si>
  <si>
    <t>Etiquetas de fila</t>
  </si>
  <si>
    <t>Total general</t>
  </si>
  <si>
    <t>FRPD</t>
  </si>
  <si>
    <t>(Varios elementos)</t>
  </si>
  <si>
    <t>Etiquetas de columna</t>
  </si>
  <si>
    <t>En Concurso</t>
  </si>
  <si>
    <t>Crea y Valida 2025</t>
  </si>
  <si>
    <t>Sensor Optiriego: Mejoras de un prototipo comercial de sensor portátil para la toma de decisiones del riego en tomate y uva vinífera mediante el monitoreo de variables fisiológicas de la planta y ambiente.</t>
  </si>
  <si>
    <t>Programa Nacional de Producción Vegetal</t>
  </si>
  <si>
    <t>Yummy Tech Limitada</t>
  </si>
  <si>
    <t>Sistema de detección y alerta en tiempo real para el control preventivo y oportuno de las principales enfermedades de madera  que afectan a los frutales de carozo</t>
  </si>
  <si>
    <t>Atimira Passalacqua Fabiola</t>
  </si>
  <si>
    <t>En concurso</t>
  </si>
  <si>
    <t>Transferencia del diagnóstico y manejo integrado de enfermedades del almendro: estrategias innovadoras para aumentar la competitividad del cultivo en la región de ohiggins</t>
  </si>
  <si>
    <t>Riquelme Toledo Danae</t>
  </si>
  <si>
    <t>Empresa desiste de la postulación</t>
  </si>
  <si>
    <t>ALTIMIRA PASSALACQUA, FABIOLA</t>
  </si>
  <si>
    <t>RIQUELME TOLEDO, DANAE</t>
  </si>
  <si>
    <t>PERFILES RAYENTUÉ</t>
  </si>
  <si>
    <t>PROYECTOS POSTULADOS RAYENTUÉ</t>
  </si>
  <si>
    <t>Diversificación de productos funcionales de quinua para contribuir a la seguridad alimentaria (FONTAGRO 2023 " Ciencia, Tecnología e Innovación para una Agricultura y Seguridad Alimentaria más Sostenible y Resiliente al Cambio Climático en América Latina y El Caribe"</t>
  </si>
  <si>
    <t>24 - Contratos privados internacionales</t>
  </si>
  <si>
    <t>CHRISTIAN NUÑEZ BERRIOS- (13-05-2025)</t>
  </si>
  <si>
    <t>(Todas)</t>
  </si>
  <si>
    <t>Cuenta de TÍTULO</t>
  </si>
  <si>
    <t>Cuenta de Titulo Proyecto</t>
  </si>
  <si>
    <t>Suma de Costo Total del Proyecto</t>
  </si>
  <si>
    <t>Total Cuenta de Titulo Proyecto</t>
  </si>
  <si>
    <t>Suma de Monto solicitado</t>
  </si>
  <si>
    <t>Total Suma de Monto solicitado</t>
  </si>
  <si>
    <t>Año Postulación2</t>
  </si>
  <si>
    <t>Añode adjudicación</t>
  </si>
  <si>
    <t>Investigador</t>
  </si>
  <si>
    <t>Cant. Proyecto</t>
  </si>
  <si>
    <t xml:space="preserve"> Monto solicitado</t>
  </si>
  <si>
    <t>Contratos Internacionales</t>
  </si>
  <si>
    <t>Fuente de Financiamiento</t>
  </si>
  <si>
    <t>Proyectos en Concurso</t>
  </si>
  <si>
    <t>Proyectos</t>
  </si>
  <si>
    <t>Monto $</t>
  </si>
  <si>
    <t>Fondecyt Regular 2026</t>
  </si>
  <si>
    <t>Improving salinity tolerance in ‘Old Limachino Tomato’ through grafting onto two clonal rootstocks derived from reciprocal interspecific crosses between cultivated and wild tomato genotypes</t>
  </si>
  <si>
    <t>Convocatoria Nacional Proyectos de Innovación para el Agro 2025-2026 FIA-Propuesta completa</t>
  </si>
  <si>
    <t>Validación de un modelo de alerta preventiva contra los principales hongos de madera que afectan al cultivo del cerezo para mantener los estándares de calidad y competitividad en el mercado</t>
  </si>
  <si>
    <t>Estrategias para mitigar el daño por piel de lagarto en cerezas de exportación</t>
  </si>
  <si>
    <t>Optimización del manejo y diseño de invernaderos hortícolas mediante una plataforma de monitoreo ambiental en la Región de O’Higgins</t>
  </si>
  <si>
    <t>Gestión sostenible del rendimiento y calidad del trigo en el secano interior de sequía severa en la Región de O'Higgins, aumentando la EUA y EUN.</t>
  </si>
  <si>
    <t>Herramienta digital para la inspección de pulverizadores hidroneumáticos utilizados en huertos frutales</t>
  </si>
  <si>
    <t>Cuaderno de campo digital para chequeo de inspecciones y regulaciones de pulverizadores hidroneumáticos utilizado en frutales</t>
  </si>
  <si>
    <t>NUÑEZ BERRIOS, CHRISTIAN ESTEBAN</t>
  </si>
  <si>
    <t>Perfil ingresado por error</t>
  </si>
  <si>
    <t>(en blanco)</t>
  </si>
  <si>
    <t>Viraliza Agro Tech O’Higgins (Viraliza Eventos 2025)</t>
  </si>
  <si>
    <t>Gestión eficiente del agua de riego de Convento Viejo 2: diagnóstico de suelos, riego y cultivos en las comunas de Lolol, Pumanque y Marchigue</t>
  </si>
  <si>
    <t>Raíces femeninas: Gira agroecológica de mujeres transformadoras</t>
  </si>
  <si>
    <t>Optiriego Plus: Aceleramiento del desarrollo tecnológico y comercial del sensor Optiriego para optimizar el manejo del riego en uva vinífera (Startup Ciencia 2026)</t>
  </si>
  <si>
    <t>Desarrollo y validación de modelos de predicción genómica en cerezo para una selección anticipada y precisa de nuevas variedades</t>
  </si>
  <si>
    <t>Viraliza Eventos 2025</t>
  </si>
  <si>
    <t>Consultorías Regionales para la Innovación 2025</t>
  </si>
  <si>
    <t>Giras nacionales de innovación para Mujeres Agroinnovadoras 2025</t>
  </si>
  <si>
    <t>Startup Ciencia 2026</t>
  </si>
  <si>
    <t>IDeA I+D 2026</t>
  </si>
  <si>
    <t>YUMMY TECH LIMITADA</t>
  </si>
  <si>
    <t>PY en estado de validación de convenios</t>
  </si>
  <si>
    <t>Fondecyt de Iniciación en Investigación 2027</t>
  </si>
  <si>
    <t>XVII Concurso Fondo de Investigación del Bosque Nativo-CONAF 2026</t>
  </si>
  <si>
    <t>Concurso de Investigación Tecnológica IDeA 2026</t>
  </si>
  <si>
    <t>Predictive physiological traits for robust quinoa selection across dynamic drought-prone Mediterranean environments</t>
  </si>
  <si>
    <t>Restauración de bosques fragmentados del secano costero de la Región de O’Higgins mediante el uso de especies nodrizas leñosas y cactáceas nativas</t>
  </si>
  <si>
    <t>Hacia un control mas sustentable del cáncer bacterial en cerezos: reducción del uso de cobre y pérdidas productivas mediante herramientas biotecnológicas y monitoreo molecular predictivo</t>
  </si>
  <si>
    <t>Corporación Nacional Forestal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</si>
</sst>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yyyy"/>
    <numFmt numFmtId="165" formatCode="&quot;$&quot;#,##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i/>
      <sz val="8"/>
      <color rgb="FF308076"/>
      <name val="Calibri"/>
      <family val="2"/>
      <scheme val="minor"/>
    </font>
    <font>
      <b/>
      <sz val="8"/>
      <color rgb="FF308076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</cellStyleXfs>
  <cellXfs count="286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5" fontId="3" fillId="3" borderId="16" xfId="0" applyNumberFormat="1" applyFont="1" applyFill="1" applyBorder="1" applyAlignment="1">
      <alignment horizontal="center" vertical="center" wrapText="1"/>
    </xf>
    <xf numFmtId="164" fontId="3" fillId="3" borderId="16" xfId="0" applyNumberFormat="1" applyFont="1" applyFill="1" applyBorder="1" applyAlignment="1">
      <alignment horizontal="center" vertical="center" wrapText="1"/>
    </xf>
    <xf numFmtId="0" fontId="3" fillId="3" borderId="16" xfId="0" applyFont="1" applyFill="1" applyBorder="1" applyAlignment="1" applyProtection="1">
      <alignment horizontal="center" vertical="center" wrapText="1"/>
      <protection locked="0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1" fillId="5" borderId="6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11" fillId="0" borderId="1" xfId="0" applyNumberFormat="1" applyFont="1" applyBorder="1"/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0" fillId="6" borderId="0" xfId="0" applyFill="1" applyAlignment="1">
      <alignment vertical="center"/>
    </xf>
    <xf numFmtId="41" fontId="8" fillId="6" borderId="1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5" fontId="5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/>
    </xf>
    <xf numFmtId="17" fontId="5" fillId="6" borderId="1" xfId="0" applyNumberFormat="1" applyFont="1" applyFill="1" applyBorder="1" applyAlignment="1">
      <alignment horizontal="center" vertical="center" wrapText="1"/>
    </xf>
    <xf numFmtId="17" fontId="5" fillId="6" borderId="12" xfId="0" applyNumberFormat="1" applyFont="1" applyFill="1" applyBorder="1" applyAlignment="1">
      <alignment horizontal="center" vertical="center" wrapText="1"/>
    </xf>
    <xf numFmtId="17" fontId="5" fillId="6" borderId="22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5" fontId="2" fillId="2" borderId="20" xfId="0" applyNumberFormat="1" applyFont="1" applyFill="1" applyBorder="1" applyAlignment="1">
      <alignment horizontal="center" vertical="center" wrapText="1"/>
    </xf>
    <xf numFmtId="164" fontId="2" fillId="2" borderId="20" xfId="0" applyNumberFormat="1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center" vertical="center" wrapText="1"/>
      <protection locked="0"/>
    </xf>
    <xf numFmtId="17" fontId="5" fillId="6" borderId="25" xfId="0" applyNumberFormat="1" applyFont="1" applyFill="1" applyBorder="1" applyAlignment="1">
      <alignment horizontal="center" vertical="center" wrapText="1"/>
    </xf>
    <xf numFmtId="17" fontId="5" fillId="6" borderId="9" xfId="0" applyNumberFormat="1" applyFont="1" applyFill="1" applyBorder="1" applyAlignment="1">
      <alignment horizontal="center" vertical="center" wrapText="1"/>
    </xf>
    <xf numFmtId="15" fontId="5" fillId="6" borderId="9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 applyProtection="1">
      <alignment horizontal="center" vertical="center" wrapText="1"/>
      <protection locked="0"/>
    </xf>
    <xf numFmtId="17" fontId="5" fillId="6" borderId="26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7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15" fontId="3" fillId="6" borderId="0" xfId="0" applyNumberFormat="1" applyFont="1" applyFill="1" applyBorder="1" applyAlignment="1">
      <alignment horizontal="center" vertical="center" wrapText="1"/>
    </xf>
    <xf numFmtId="164" fontId="3" fillId="6" borderId="0" xfId="0" applyNumberFormat="1" applyFont="1" applyFill="1" applyBorder="1" applyAlignment="1">
      <alignment horizontal="center" vertical="center" wrapText="1"/>
    </xf>
    <xf numFmtId="0" fontId="3" fillId="6" borderId="0" xfId="0" applyFont="1" applyFill="1" applyBorder="1" applyAlignment="1" applyProtection="1">
      <alignment horizontal="center" vertical="center" wrapText="1"/>
      <protection locked="0"/>
    </xf>
    <xf numFmtId="1" fontId="3" fillId="6" borderId="0" xfId="0" applyNumberFormat="1" applyFont="1" applyFill="1" applyBorder="1" applyAlignment="1">
      <alignment horizontal="center" vertical="center" wrapText="1"/>
    </xf>
    <xf numFmtId="14" fontId="3" fillId="6" borderId="0" xfId="0" applyNumberFormat="1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14" fontId="20" fillId="5" borderId="0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14" fontId="20" fillId="0" borderId="0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20" fillId="7" borderId="23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15" fontId="20" fillId="7" borderId="20" xfId="0" applyNumberFormat="1" applyFont="1" applyFill="1" applyBorder="1" applyAlignment="1">
      <alignment horizontal="center" vertical="center" wrapText="1"/>
    </xf>
    <xf numFmtId="164" fontId="20" fillId="7" borderId="20" xfId="0" applyNumberFormat="1" applyFont="1" applyFill="1" applyBorder="1" applyAlignment="1">
      <alignment horizontal="center" vertical="center" wrapText="1"/>
    </xf>
    <xf numFmtId="49" fontId="20" fillId="7" borderId="20" xfId="0" applyNumberFormat="1" applyFont="1" applyFill="1" applyBorder="1" applyAlignment="1" applyProtection="1">
      <alignment horizontal="center" vertical="center" wrapText="1"/>
      <protection locked="0"/>
    </xf>
    <xf numFmtId="0" fontId="20" fillId="7" borderId="20" xfId="0" applyFont="1" applyFill="1" applyBorder="1" applyAlignment="1" applyProtection="1">
      <alignment horizontal="center" vertical="center" wrapText="1"/>
      <protection locked="0"/>
    </xf>
    <xf numFmtId="1" fontId="20" fillId="7" borderId="20" xfId="0" applyNumberFormat="1" applyFont="1" applyFill="1" applyBorder="1" applyAlignment="1" applyProtection="1">
      <alignment horizontal="center" vertical="center" wrapText="1"/>
      <protection locked="0"/>
    </xf>
    <xf numFmtId="0" fontId="20" fillId="7" borderId="24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6" xfId="0" applyBorder="1"/>
    <xf numFmtId="42" fontId="1" fillId="0" borderId="32" xfId="0" applyNumberFormat="1" applyFont="1" applyBorder="1" applyAlignment="1">
      <alignment horizontal="center"/>
    </xf>
    <xf numFmtId="0" fontId="0" fillId="0" borderId="10" xfId="0" applyNumberFormat="1" applyBorder="1"/>
    <xf numFmtId="0" fontId="0" fillId="0" borderId="11" xfId="0" applyNumberFormat="1" applyBorder="1"/>
    <xf numFmtId="42" fontId="1" fillId="0" borderId="31" xfId="0" applyNumberFormat="1" applyFont="1" applyBorder="1" applyAlignment="1">
      <alignment horizontal="center"/>
    </xf>
    <xf numFmtId="0" fontId="24" fillId="7" borderId="33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15" fontId="24" fillId="7" borderId="34" xfId="0" applyNumberFormat="1" applyFont="1" applyFill="1" applyBorder="1" applyAlignment="1">
      <alignment horizontal="center" vertical="center" wrapText="1"/>
    </xf>
    <xf numFmtId="164" fontId="24" fillId="7" borderId="34" xfId="0" applyNumberFormat="1" applyFont="1" applyFill="1" applyBorder="1" applyAlignment="1">
      <alignment horizontal="center" vertical="center" wrapText="1"/>
    </xf>
    <xf numFmtId="0" fontId="24" fillId="7" borderId="34" xfId="0" applyFont="1" applyFill="1" applyBorder="1" applyAlignment="1" applyProtection="1">
      <alignment horizontal="center" vertical="center" wrapText="1"/>
      <protection locked="0"/>
    </xf>
    <xf numFmtId="0" fontId="24" fillId="7" borderId="35" xfId="0" applyFont="1" applyFill="1" applyBorder="1" applyAlignment="1">
      <alignment horizontal="center" vertical="center" wrapText="1"/>
    </xf>
    <xf numFmtId="1" fontId="24" fillId="7" borderId="34" xfId="0" applyNumberFormat="1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 wrapText="1"/>
    </xf>
    <xf numFmtId="14" fontId="24" fillId="7" borderId="34" xfId="0" applyNumberFormat="1" applyFont="1" applyFill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26" fillId="7" borderId="21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15" fontId="24" fillId="7" borderId="13" xfId="0" applyNumberFormat="1" applyFont="1" applyFill="1" applyBorder="1" applyAlignment="1">
      <alignment horizontal="center" vertical="center" wrapText="1"/>
    </xf>
    <xf numFmtId="164" fontId="24" fillId="7" borderId="13" xfId="0" applyNumberFormat="1" applyFont="1" applyFill="1" applyBorder="1" applyAlignment="1">
      <alignment horizontal="center" vertical="center" wrapText="1"/>
    </xf>
    <xf numFmtId="0" fontId="24" fillId="7" borderId="13" xfId="0" applyFont="1" applyFill="1" applyBorder="1" applyAlignment="1" applyProtection="1">
      <alignment horizontal="center" vertical="center" wrapText="1"/>
      <protection locked="0"/>
    </xf>
    <xf numFmtId="0" fontId="24" fillId="7" borderId="27" xfId="0" applyFont="1" applyFill="1" applyBorder="1" applyAlignment="1">
      <alignment horizontal="center" vertical="center" wrapText="1"/>
    </xf>
    <xf numFmtId="1" fontId="24" fillId="7" borderId="13" xfId="0" applyNumberFormat="1" applyFont="1" applyFill="1" applyBorder="1" applyAlignment="1">
      <alignment horizontal="center" vertical="center" wrapText="1"/>
    </xf>
    <xf numFmtId="0" fontId="24" fillId="7" borderId="28" xfId="0" applyFont="1" applyFill="1" applyBorder="1" applyAlignment="1">
      <alignment horizontal="center" vertical="center" wrapText="1"/>
    </xf>
    <xf numFmtId="14" fontId="24" fillId="7" borderId="13" xfId="0" applyNumberFormat="1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 wrapText="1"/>
    </xf>
    <xf numFmtId="17" fontId="28" fillId="6" borderId="1" xfId="0" applyNumberFormat="1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164" fontId="28" fillId="6" borderId="1" xfId="0" applyNumberFormat="1" applyFont="1" applyFill="1" applyBorder="1" applyAlignment="1">
      <alignment horizontal="center" vertical="center" wrapText="1"/>
    </xf>
    <xf numFmtId="15" fontId="29" fillId="6" borderId="1" xfId="0" applyNumberFormat="1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6" fontId="28" fillId="6" borderId="1" xfId="2" applyNumberFormat="1" applyFont="1" applyFill="1" applyBorder="1" applyAlignment="1">
      <alignment horizontal="center" vertical="center" wrapText="1"/>
    </xf>
    <xf numFmtId="42" fontId="28" fillId="6" borderId="1" xfId="2" applyFont="1" applyFill="1" applyBorder="1" applyAlignment="1">
      <alignment horizontal="center" vertical="center" wrapText="1"/>
    </xf>
    <xf numFmtId="3" fontId="28" fillId="6" borderId="1" xfId="0" applyNumberFormat="1" applyFont="1" applyFill="1" applyBorder="1" applyAlignment="1">
      <alignment horizontal="center" vertical="center" wrapText="1"/>
    </xf>
    <xf numFmtId="15" fontId="28" fillId="6" borderId="1" xfId="0" applyNumberFormat="1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42" fontId="30" fillId="6" borderId="1" xfId="2" applyFont="1" applyFill="1" applyBorder="1"/>
    <xf numFmtId="0" fontId="28" fillId="6" borderId="1" xfId="0" applyFont="1" applyFill="1" applyBorder="1" applyAlignment="1" applyProtection="1">
      <alignment horizontal="center" vertical="center" wrapText="1"/>
      <protection locked="0"/>
    </xf>
    <xf numFmtId="42" fontId="28" fillId="6" borderId="22" xfId="2" applyFont="1" applyFill="1" applyBorder="1" applyAlignment="1">
      <alignment horizontal="center" vertical="center" wrapText="1"/>
    </xf>
    <xf numFmtId="42" fontId="30" fillId="6" borderId="1" xfId="2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17" fontId="29" fillId="6" borderId="1" xfId="0" applyNumberFormat="1" applyFont="1" applyFill="1" applyBorder="1" applyAlignment="1">
      <alignment horizontal="center" vertical="center" wrapText="1"/>
    </xf>
    <xf numFmtId="14" fontId="28" fillId="6" borderId="9" xfId="0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6" borderId="9" xfId="0" applyFont="1" applyFill="1" applyBorder="1" applyAlignment="1">
      <alignment horizontal="center" vertical="center" wrapText="1"/>
    </xf>
    <xf numFmtId="15" fontId="28" fillId="6" borderId="9" xfId="0" applyNumberFormat="1" applyFont="1" applyFill="1" applyBorder="1" applyAlignment="1">
      <alignment horizontal="center" vertical="center" wrapText="1"/>
    </xf>
    <xf numFmtId="164" fontId="28" fillId="6" borderId="9" xfId="0" applyNumberFormat="1" applyFont="1" applyFill="1" applyBorder="1" applyAlignment="1">
      <alignment horizontal="center" vertical="center" wrapText="1"/>
    </xf>
    <xf numFmtId="42" fontId="28" fillId="6" borderId="9" xfId="2" applyFont="1" applyFill="1" applyBorder="1" applyAlignment="1">
      <alignment horizontal="center" vertical="center" wrapText="1"/>
    </xf>
    <xf numFmtId="42" fontId="28" fillId="6" borderId="26" xfId="2" applyFont="1" applyFill="1" applyBorder="1" applyAlignment="1">
      <alignment horizontal="center" vertical="center" wrapText="1"/>
    </xf>
    <xf numFmtId="42" fontId="30" fillId="6" borderId="9" xfId="2" applyFont="1" applyFill="1" applyBorder="1"/>
    <xf numFmtId="3" fontId="28" fillId="6" borderId="9" xfId="0" applyNumberFormat="1" applyFont="1" applyFill="1" applyBorder="1" applyAlignment="1">
      <alignment horizontal="center" vertical="center" wrapText="1"/>
    </xf>
    <xf numFmtId="1" fontId="28" fillId="6" borderId="9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165" fontId="28" fillId="6" borderId="1" xfId="0" applyNumberFormat="1" applyFont="1" applyFill="1" applyBorder="1" applyAlignment="1">
      <alignment horizontal="center" vertical="center" wrapText="1"/>
    </xf>
    <xf numFmtId="17" fontId="28" fillId="6" borderId="9" xfId="0" applyNumberFormat="1" applyFont="1" applyFill="1" applyBorder="1" applyAlignment="1">
      <alignment horizontal="center" vertical="center" wrapText="1"/>
    </xf>
    <xf numFmtId="42" fontId="30" fillId="6" borderId="9" xfId="2" applyFont="1" applyFill="1" applyBorder="1" applyAlignment="1">
      <alignment horizontal="center" vertical="center" wrapText="1"/>
    </xf>
    <xf numFmtId="17" fontId="28" fillId="6" borderId="12" xfId="0" applyNumberFormat="1" applyFont="1" applyFill="1" applyBorder="1" applyAlignment="1">
      <alignment horizontal="center" vertical="center" wrapText="1"/>
    </xf>
    <xf numFmtId="1" fontId="25" fillId="6" borderId="1" xfId="0" applyNumberFormat="1" applyFont="1" applyFill="1" applyBorder="1" applyAlignment="1">
      <alignment horizontal="center" vertical="center" wrapText="1"/>
    </xf>
    <xf numFmtId="17" fontId="28" fillId="6" borderId="22" xfId="0" applyNumberFormat="1" applyFont="1" applyFill="1" applyBorder="1" applyAlignment="1">
      <alignment horizontal="center" vertical="center" wrapText="1"/>
    </xf>
    <xf numFmtId="14" fontId="28" fillId="6" borderId="12" xfId="0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vertical="center"/>
    </xf>
    <xf numFmtId="0" fontId="25" fillId="6" borderId="2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/>
    <xf numFmtId="17" fontId="28" fillId="6" borderId="25" xfId="0" applyNumberFormat="1" applyFont="1" applyFill="1" applyBorder="1" applyAlignment="1">
      <alignment horizontal="center" vertical="center" wrapText="1"/>
    </xf>
    <xf numFmtId="0" fontId="28" fillId="6" borderId="9" xfId="0" applyFont="1" applyFill="1" applyBorder="1" applyAlignment="1" applyProtection="1">
      <alignment horizontal="center" vertical="center" wrapText="1"/>
      <protection locked="0"/>
    </xf>
    <xf numFmtId="17" fontId="28" fillId="6" borderId="26" xfId="0" applyNumberFormat="1" applyFont="1" applyFill="1" applyBorder="1" applyAlignment="1">
      <alignment horizontal="center" vertical="center" wrapText="1"/>
    </xf>
    <xf numFmtId="0" fontId="1" fillId="8" borderId="40" xfId="0" applyFont="1" applyFill="1" applyBorder="1"/>
    <xf numFmtId="0" fontId="1" fillId="8" borderId="41" xfId="0" applyFont="1" applyFill="1" applyBorder="1" applyAlignment="1">
      <alignment horizontal="left"/>
    </xf>
    <xf numFmtId="0" fontId="1" fillId="8" borderId="41" xfId="0" applyNumberFormat="1" applyFont="1" applyFill="1" applyBorder="1"/>
    <xf numFmtId="0" fontId="1" fillId="8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8" borderId="1" xfId="0" applyNumberFormat="1" applyFont="1" applyFill="1" applyBorder="1" applyAlignment="1">
      <alignment horizontal="center"/>
    </xf>
    <xf numFmtId="0" fontId="1" fillId="0" borderId="40" xfId="0" applyFont="1" applyBorder="1" applyAlignment="1">
      <alignment horizontal="left"/>
    </xf>
    <xf numFmtId="0" fontId="0" fillId="0" borderId="7" xfId="0" applyNumberFormat="1" applyBorder="1"/>
    <xf numFmtId="42" fontId="1" fillId="0" borderId="6" xfId="0" applyNumberFormat="1" applyFont="1" applyBorder="1" applyAlignment="1">
      <alignment horizontal="center"/>
    </xf>
    <xf numFmtId="0" fontId="0" fillId="0" borderId="2" xfId="0" applyBorder="1"/>
    <xf numFmtId="42" fontId="1" fillId="0" borderId="14" xfId="0" applyNumberFormat="1" applyFont="1" applyBorder="1" applyAlignment="1">
      <alignment horizontal="center"/>
    </xf>
    <xf numFmtId="42" fontId="1" fillId="0" borderId="0" xfId="0" applyNumberFormat="1" applyFont="1" applyBorder="1" applyAlignment="1">
      <alignment horizontal="center"/>
    </xf>
    <xf numFmtId="42" fontId="1" fillId="0" borderId="21" xfId="0" applyNumberFormat="1" applyFont="1" applyBorder="1" applyAlignment="1">
      <alignment horizontal="center"/>
    </xf>
    <xf numFmtId="0" fontId="0" fillId="0" borderId="5" xfId="0" applyBorder="1"/>
    <xf numFmtId="42" fontId="1" fillId="0" borderId="5" xfId="0" applyNumberFormat="1" applyFont="1" applyBorder="1" applyAlignment="1">
      <alignment horizontal="center"/>
    </xf>
    <xf numFmtId="0" fontId="0" fillId="0" borderId="14" xfId="0" applyNumberFormat="1" applyBorder="1"/>
    <xf numFmtId="0" fontId="0" fillId="0" borderId="0" xfId="0" applyNumberFormat="1" applyBorder="1"/>
    <xf numFmtId="0" fontId="0" fillId="0" borderId="21" xfId="0" applyNumberFormat="1" applyBorder="1"/>
    <xf numFmtId="0" fontId="0" fillId="0" borderId="31" xfId="0" applyBorder="1"/>
    <xf numFmtId="0" fontId="1" fillId="0" borderId="40" xfId="0" applyNumberFormat="1" applyFont="1" applyBorder="1"/>
    <xf numFmtId="0" fontId="1" fillId="8" borderId="2" xfId="0" applyFont="1" applyFill="1" applyBorder="1" applyAlignment="1">
      <alignment horizontal="center"/>
    </xf>
    <xf numFmtId="42" fontId="1" fillId="8" borderId="5" xfId="0" applyNumberFormat="1" applyFont="1" applyFill="1" applyBorder="1" applyAlignment="1">
      <alignment horizontal="center"/>
    </xf>
    <xf numFmtId="42" fontId="1" fillId="8" borderId="3" xfId="0" applyNumberFormat="1" applyFont="1" applyFill="1" applyBorder="1" applyAlignment="1">
      <alignment horizontal="center"/>
    </xf>
    <xf numFmtId="42" fontId="1" fillId="8" borderId="43" xfId="0" applyNumberFormat="1" applyFont="1" applyFill="1" applyBorder="1" applyAlignment="1">
      <alignment horizontal="center"/>
    </xf>
    <xf numFmtId="42" fontId="1" fillId="8" borderId="44" xfId="0" applyNumberFormat="1" applyFon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1" fillId="8" borderId="42" xfId="0" applyNumberFormat="1" applyFont="1" applyFill="1" applyBorder="1" applyAlignment="1">
      <alignment horizontal="center"/>
    </xf>
    <xf numFmtId="0" fontId="1" fillId="8" borderId="8" xfId="0" applyFont="1" applyFill="1" applyBorder="1"/>
    <xf numFmtId="0" fontId="1" fillId="8" borderId="45" xfId="0" applyFont="1" applyFill="1" applyBorder="1"/>
    <xf numFmtId="0" fontId="0" fillId="0" borderId="38" xfId="0" applyBorder="1" applyAlignment="1">
      <alignment horizontal="left"/>
    </xf>
    <xf numFmtId="0" fontId="1" fillId="8" borderId="46" xfId="0" applyFont="1" applyFill="1" applyBorder="1" applyAlignment="1">
      <alignment horizontal="left"/>
    </xf>
    <xf numFmtId="42" fontId="1" fillId="8" borderId="6" xfId="0" applyNumberFormat="1" applyFont="1" applyFill="1" applyBorder="1" applyAlignment="1">
      <alignment horizontal="center"/>
    </xf>
    <xf numFmtId="42" fontId="1" fillId="8" borderId="31" xfId="0" applyNumberFormat="1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39" xfId="0" applyBorder="1" applyAlignment="1">
      <alignment horizontal="left" indent="1"/>
    </xf>
    <xf numFmtId="0" fontId="0" fillId="0" borderId="38" xfId="0" applyBorder="1" applyAlignment="1">
      <alignment horizontal="left" indent="1"/>
    </xf>
    <xf numFmtId="0" fontId="1" fillId="8" borderId="39" xfId="0" applyFont="1" applyFill="1" applyBorder="1" applyAlignment="1">
      <alignment horizontal="left"/>
    </xf>
    <xf numFmtId="0" fontId="1" fillId="0" borderId="8" xfId="0" applyNumberFormat="1" applyFon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0" borderId="38" xfId="0" applyNumberFormat="1" applyBorder="1" applyAlignment="1">
      <alignment horizontal="center"/>
    </xf>
    <xf numFmtId="0" fontId="1" fillId="8" borderId="39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28" fillId="6" borderId="0" xfId="0" applyNumberFormat="1" applyFont="1" applyFill="1" applyBorder="1" applyAlignment="1">
      <alignment horizontal="center" vertical="center" wrapText="1"/>
    </xf>
    <xf numFmtId="42" fontId="25" fillId="0" borderId="0" xfId="2" applyFont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4" fillId="7" borderId="47" xfId="0" applyFont="1" applyFill="1" applyBorder="1" applyAlignment="1">
      <alignment horizontal="center" vertical="center" wrapText="1"/>
    </xf>
    <xf numFmtId="42" fontId="3" fillId="6" borderId="0" xfId="2" applyFont="1" applyFill="1" applyBorder="1" applyAlignment="1">
      <alignment horizontal="center" vertical="center" wrapText="1"/>
    </xf>
    <xf numFmtId="42" fontId="24" fillId="7" borderId="34" xfId="2" applyFont="1" applyFill="1" applyBorder="1" applyAlignment="1">
      <alignment horizontal="center" vertical="center" wrapText="1"/>
    </xf>
    <xf numFmtId="42" fontId="24" fillId="7" borderId="13" xfId="2" applyFont="1" applyFill="1" applyBorder="1" applyAlignment="1">
      <alignment horizontal="center" vertical="center" wrapText="1"/>
    </xf>
    <xf numFmtId="42" fontId="0" fillId="0" borderId="0" xfId="2" applyFont="1" applyAlignment="1">
      <alignment horizontal="center" vertical="center"/>
    </xf>
    <xf numFmtId="42" fontId="6" fillId="0" borderId="0" xfId="2" applyFont="1" applyAlignment="1">
      <alignment horizontal="center" vertical="center"/>
    </xf>
    <xf numFmtId="17" fontId="28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28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5" borderId="10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21" xfId="0" applyFont="1" applyFill="1" applyBorder="1" applyAlignment="1">
      <alignment horizontal="center" vertical="center"/>
    </xf>
    <xf numFmtId="0" fontId="24" fillId="7" borderId="31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4" fillId="7" borderId="34" xfId="0" applyFont="1" applyFill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14" fontId="26" fillId="7" borderId="2" xfId="0" applyNumberFormat="1" applyFont="1" applyFill="1" applyBorder="1" applyAlignment="1">
      <alignment horizontal="center" vertical="center"/>
    </xf>
    <xf numFmtId="14" fontId="26" fillId="7" borderId="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14" fontId="28" fillId="6" borderId="25" xfId="0" applyNumberFormat="1" applyFont="1" applyFill="1" applyBorder="1" applyAlignment="1">
      <alignment horizontal="center" vertical="center" wrapText="1"/>
    </xf>
  </cellXfs>
  <cellStyles count="3">
    <cellStyle name="Millares [0]" xfId="1" builtinId="6"/>
    <cellStyle name="Moneda [0]" xfId="2" builtinId="7"/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CC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font>
        <b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Concurso de Investigación Tecnológica IDeA 2025 SAGREDO DIAZ, BORIS</c:v>
              </c:pt>
              <c:pt idx="1">
                <c:v>Convocatoria Nacional Proyectos de Innovación para el agro con Énfasis Regional 2024-2025 FIA OTAROLA ALIAGA, JAIME IGNACIO</c:v>
              </c:pt>
              <c:pt idx="2">
                <c:v>Fondecyt de Iniciación en Investigación 2026 ESTRADA BRAVO, FELIX RODOLFO</c:v>
              </c:pt>
              <c:pt idx="3">
                <c:v>Fondo Regional para la Productividad y el Desarrollo (FRPD)- Región de O'Higgins 2024 Atimira Passalacqua Fabiola</c:v>
              </c:pt>
              <c:pt idx="4">
                <c:v>Fondo Regional para la Productividad y el Desarrollo (FRPD)- Región de O'Higgins 2024 QUEZADA JARA, MARCELO</c:v>
              </c:pt>
              <c:pt idx="5">
                <c:v>Fondo Regional para la Productividad y el Desarrollo (FRPD)- Región de O'Higgins 2024 Riquelme Toledo Danae</c:v>
              </c:pt>
              <c:pt idx="6">
                <c:v>Fondo Regional para la Productividad y el Desarrollo (FRPD)- Región de O'Higgins 2024 RUBILAR TORRES, FELIPE ANDRES</c:v>
              </c:pt>
              <c:pt idx="7">
                <c:v>Fondo Regional para la Productividad y el Desarrollo (FRPD)- Región de O'Higgins 2024 VEGA CANDIA, BARBARA CHANTAL</c:v>
              </c:pt>
              <c:pt idx="8">
                <c:v>IDeA I+D 2025 MARTINEZ CASTILLO, JUAN PABLO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999632"/>
        <c:axId val="-185993104"/>
      </c:barChart>
      <c:catAx>
        <c:axId val="-1859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993104"/>
        <c:crosses val="autoZero"/>
        <c:auto val="1"/>
        <c:lblAlgn val="ctr"/>
        <c:lblOffset val="100"/>
        <c:noMultiLvlLbl val="0"/>
      </c:catAx>
      <c:valAx>
        <c:axId val="-18599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9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Postulaciones por Investigador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'JC PErfiles'!$D$2</c:f>
              <c:strCache>
                <c:ptCount val="1"/>
                <c:pt idx="0">
                  <c:v>Adjudicado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'JC PErfiles'!$C$3:$C$15</c:f>
              <c:strCache>
                <c:ptCount val="13"/>
                <c:pt idx="0">
                  <c:v>ABARCA REYES, LUIS PATRICIO</c:v>
                </c:pt>
                <c:pt idx="1">
                  <c:v>Atimira Passalacqua Fabiola</c:v>
                </c:pt>
                <c:pt idx="2">
                  <c:v>CACERES CELEDON, EMILIO JOSE</c:v>
                </c:pt>
                <c:pt idx="3">
                  <c:v>CARRASCO JIMENEZ JORGE</c:v>
                </c:pt>
                <c:pt idx="4">
                  <c:v>DONOSO CONTRERAS, JOSE MANUEL</c:v>
                </c:pt>
                <c:pt idx="5">
                  <c:v>ESTRADA BRAVO, FELIX RODOLFO</c:v>
                </c:pt>
                <c:pt idx="6">
                  <c:v>MARTINEZ CASTILLO, JUAN PABLO</c:v>
                </c:pt>
                <c:pt idx="7">
                  <c:v>OTAROLA ALIAGA, JAIME IGNACIO</c:v>
                </c:pt>
                <c:pt idx="8">
                  <c:v>QUEZADA JARA, MARCELO</c:v>
                </c:pt>
                <c:pt idx="9">
                  <c:v>Riquelme Toledo Danae</c:v>
                </c:pt>
                <c:pt idx="10">
                  <c:v>RUBILAR TORRES, FELIPE ANDRES</c:v>
                </c:pt>
                <c:pt idx="11">
                  <c:v>SAGREDO DIAZ, BORIS</c:v>
                </c:pt>
                <c:pt idx="12">
                  <c:v>VEGA CANDIA, BARBARA CHANTAL</c:v>
                </c:pt>
              </c:strCache>
            </c:strRef>
          </c:cat>
          <c:val>
            <c:numRef>
              <c:f>'JC PErfiles'!$D$3:$D$15</c:f>
              <c:numCache>
                <c:formatCode>General</c:formatCode>
                <c:ptCount val="13"/>
                <c:pt idx="0">
                  <c:v>2</c:v>
                </c:pt>
                <c:pt idx="6">
                  <c:v>1</c:v>
                </c:pt>
                <c:pt idx="7">
                  <c:v>1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'JC PErfiles'!$E$2</c:f>
              <c:strCache>
                <c:ptCount val="1"/>
                <c:pt idx="0">
                  <c:v>No Adjudicado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'JC PErfiles'!$C$3:$C$15</c:f>
              <c:strCache>
                <c:ptCount val="13"/>
                <c:pt idx="0">
                  <c:v>ABARCA REYES, LUIS PATRICIO</c:v>
                </c:pt>
                <c:pt idx="1">
                  <c:v>Atimira Passalacqua Fabiola</c:v>
                </c:pt>
                <c:pt idx="2">
                  <c:v>CACERES CELEDON, EMILIO JOSE</c:v>
                </c:pt>
                <c:pt idx="3">
                  <c:v>CARRASCO JIMENEZ JORGE</c:v>
                </c:pt>
                <c:pt idx="4">
                  <c:v>DONOSO CONTRERAS, JOSE MANUEL</c:v>
                </c:pt>
                <c:pt idx="5">
                  <c:v>ESTRADA BRAVO, FELIX RODOLFO</c:v>
                </c:pt>
                <c:pt idx="6">
                  <c:v>MARTINEZ CASTILLO, JUAN PABLO</c:v>
                </c:pt>
                <c:pt idx="7">
                  <c:v>OTAROLA ALIAGA, JAIME IGNACIO</c:v>
                </c:pt>
                <c:pt idx="8">
                  <c:v>QUEZADA JARA, MARCELO</c:v>
                </c:pt>
                <c:pt idx="9">
                  <c:v>Riquelme Toledo Danae</c:v>
                </c:pt>
                <c:pt idx="10">
                  <c:v>RUBILAR TORRES, FELIPE ANDRES</c:v>
                </c:pt>
                <c:pt idx="11">
                  <c:v>SAGREDO DIAZ, BORIS</c:v>
                </c:pt>
                <c:pt idx="12">
                  <c:v>VEGA CANDIA, BARBARA CHANTAL</c:v>
                </c:pt>
              </c:strCache>
            </c:strRef>
          </c:cat>
          <c:val>
            <c:numRef>
              <c:f>'JC PErfiles'!$E$3:$E$15</c:f>
              <c:numCache>
                <c:formatCode>General</c:formatCode>
                <c:ptCount val="13"/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12">
                  <c:v>1</c:v>
                </c:pt>
              </c:numCache>
            </c:numRef>
          </c:val>
        </c:ser>
        <c:ser>
          <c:idx val="2"/>
          <c:order val="2"/>
          <c:tx>
            <c:strRef>
              <c:f>'JC PErfiles'!$F$2</c:f>
              <c:strCache>
                <c:ptCount val="1"/>
                <c:pt idx="0">
                  <c:v>En Concurso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'JC PErfiles'!$C$3:$C$15</c:f>
              <c:strCache>
                <c:ptCount val="13"/>
                <c:pt idx="0">
                  <c:v>ABARCA REYES, LUIS PATRICIO</c:v>
                </c:pt>
                <c:pt idx="1">
                  <c:v>Atimira Passalacqua Fabiola</c:v>
                </c:pt>
                <c:pt idx="2">
                  <c:v>CACERES CELEDON, EMILIO JOSE</c:v>
                </c:pt>
                <c:pt idx="3">
                  <c:v>CARRASCO JIMENEZ JORGE</c:v>
                </c:pt>
                <c:pt idx="4">
                  <c:v>DONOSO CONTRERAS, JOSE MANUEL</c:v>
                </c:pt>
                <c:pt idx="5">
                  <c:v>ESTRADA BRAVO, FELIX RODOLFO</c:v>
                </c:pt>
                <c:pt idx="6">
                  <c:v>MARTINEZ CASTILLO, JUAN PABLO</c:v>
                </c:pt>
                <c:pt idx="7">
                  <c:v>OTAROLA ALIAGA, JAIME IGNACIO</c:v>
                </c:pt>
                <c:pt idx="8">
                  <c:v>QUEZADA JARA, MARCELO</c:v>
                </c:pt>
                <c:pt idx="9">
                  <c:v>Riquelme Toledo Danae</c:v>
                </c:pt>
                <c:pt idx="10">
                  <c:v>RUBILAR TORRES, FELIPE ANDRES</c:v>
                </c:pt>
                <c:pt idx="11">
                  <c:v>SAGREDO DIAZ, BORIS</c:v>
                </c:pt>
                <c:pt idx="12">
                  <c:v>VEGA CANDIA, BARBARA CHANTAL</c:v>
                </c:pt>
              </c:strCache>
            </c:strRef>
          </c:cat>
          <c:val>
            <c:numRef>
              <c:f>'JC PErfiles'!$F$3:$F$15</c:f>
              <c:numCache>
                <c:formatCode>General</c:formatCode>
                <c:ptCount val="13"/>
                <c:pt idx="1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996912"/>
        <c:axId val="-186004528"/>
      </c:barChart>
      <c:catAx>
        <c:axId val="-1859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6004528"/>
        <c:crosses val="autoZero"/>
        <c:auto val="1"/>
        <c:lblAlgn val="ctr"/>
        <c:lblOffset val="100"/>
        <c:noMultiLvlLbl val="0"/>
      </c:catAx>
      <c:valAx>
        <c:axId val="-1860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9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Porcentaje de participación</a:t>
            </a:r>
            <a:r>
              <a:rPr lang="es-CL" baseline="0"/>
              <a:t> de Perfiles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'JC PErfiles'!$D$2:$F$2</c:f>
              <c:strCache>
                <c:ptCount val="3"/>
                <c:pt idx="0">
                  <c:v>Adjudicado</c:v>
                </c:pt>
                <c:pt idx="1">
                  <c:v>No Adjudicado</c:v>
                </c:pt>
                <c:pt idx="2">
                  <c:v>En Concurso</c:v>
                </c:pt>
              </c:strCache>
            </c:strRef>
          </c:cat>
          <c:val>
            <c:numRef>
              <c:f>'JC PErfiles'!$D$16:$F$16</c:f>
              <c:numCache>
                <c:formatCode>General</c:formatCode>
                <c:ptCount val="3"/>
                <c:pt idx="0">
                  <c:v>8</c:v>
                </c:pt>
                <c:pt idx="1">
                  <c:v>17</c:v>
                </c:pt>
                <c:pt idx="2">
                  <c:v>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Relación del Total de Postulaciones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'JC PErfiles'!$D$2:$F$2</c:f>
              <c:strCache>
                <c:ptCount val="3"/>
                <c:pt idx="0">
                  <c:v>Adjudicado</c:v>
                </c:pt>
                <c:pt idx="1">
                  <c:v>No Adjudicado</c:v>
                </c:pt>
                <c:pt idx="2">
                  <c:v>En Concurso</c:v>
                </c:pt>
              </c:strCache>
            </c:strRef>
          </c:cat>
          <c:val>
            <c:numRef>
              <c:f>'JC PErfiles'!$D$16:$F$16</c:f>
              <c:numCache>
                <c:formatCode>General</c:formatCode>
                <c:ptCount val="3"/>
                <c:pt idx="0">
                  <c:v>8</c:v>
                </c:pt>
                <c:pt idx="1">
                  <c:v>17</c:v>
                </c:pt>
                <c:pt idx="2">
                  <c:v>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996368"/>
        <c:axId val="-185994192"/>
      </c:barChart>
      <c:catAx>
        <c:axId val="-1859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994192"/>
        <c:crosses val="autoZero"/>
        <c:auto val="1"/>
        <c:lblAlgn val="ctr"/>
        <c:lblOffset val="100"/>
        <c:noMultiLvlLbl val="0"/>
      </c:catAx>
      <c:valAx>
        <c:axId val="-18599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99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134270</xdr:colOff>
      <xdr:row>1</xdr:row>
      <xdr:rowOff>79943</xdr:rowOff>
    </xdr:from>
    <xdr:to>
      <xdr:col>1</xdr:col>
      <xdr:colOff>870394</xdr:colOff>
      <xdr:row>6</xdr:row>
      <xdr:rowOff>119062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083" y="329974"/>
          <a:ext cx="736124" cy="1003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226219</xdr:colOff>
      <xdr:row>2</xdr:row>
      <xdr:rowOff>35063</xdr:rowOff>
    </xdr:from>
    <xdr:to>
      <xdr:col>2</xdr:col>
      <xdr:colOff>750094</xdr:colOff>
      <xdr:row>6</xdr:row>
      <xdr:rowOff>173891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32719"/>
          <a:ext cx="523875" cy="72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28</xdr:row>
      <xdr:rowOff>185736</xdr:rowOff>
    </xdr:from>
    <xdr:to>
      <xdr:col>7</xdr:col>
      <xdr:colOff>85725</xdr:colOff>
      <xdr:row>46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</xdr:row>
      <xdr:rowOff>14287</xdr:rowOff>
    </xdr:from>
    <xdr:to>
      <xdr:col>14</xdr:col>
      <xdr:colOff>447675</xdr:colOff>
      <xdr:row>16</xdr:row>
      <xdr:rowOff>28575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16</xdr:row>
      <xdr:rowOff>71437</xdr:rowOff>
    </xdr:from>
    <xdr:to>
      <xdr:col>13</xdr:col>
      <xdr:colOff>304800</xdr:colOff>
      <xdr:row>30</xdr:row>
      <xdr:rowOff>147637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428625</xdr:colOff>
      <xdr:row>16</xdr:row>
      <xdr:rowOff>71437</xdr:rowOff>
    </xdr:from>
    <xdr:to>
      <xdr:col>19</xdr:col>
      <xdr:colOff>428625</xdr:colOff>
      <xdr:row>30</xdr:row>
      <xdr:rowOff>147637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ves_Rayentue" refreshedDate="45866.550122222223" createdVersion="5" refreshedVersion="5" minRefreshableVersion="3" recordCount="93">
  <cacheSource type="worksheet">
    <worksheetSource name="Tabla2"/>
  </cacheSource>
  <cacheFields count="33">
    <cacheField name="Añode adjudicación" numFmtId="0">
      <sharedItems containsString="0" containsBlank="1" containsNumber="1" containsInteger="1" minValue="2018" maxValue="2024" count="7">
        <m/>
        <n v="2024"/>
        <n v="2022"/>
        <n v="2021"/>
        <n v="2020"/>
        <n v="2019"/>
        <n v="2018"/>
      </sharedItems>
    </cacheField>
    <cacheField name="Año Postulación2" numFmtId="0">
      <sharedItems containsNonDate="0" containsDate="1" containsString="0" containsBlank="1" minDate="1899-12-30T00:00:00" maxDate="2025-07-23T00:00:00" count="50">
        <d v="2025-07-22T00:00:00"/>
        <d v="2025-06-24T00:00:00"/>
        <d v="2025-04-30T00:00:00"/>
        <d v="2025-03-20T00:00:00"/>
        <d v="2024-11-30T00:00:00"/>
        <d v="2024-11-26T00:00:00"/>
        <d v="2024-10-11T00:00:00"/>
        <d v="2024-09-12T00:00:00"/>
        <d v="2024-08-08T00:00:00"/>
        <d v="2024-07-27T00:00:00"/>
        <d v="2024-06-04T00:00:00"/>
        <d v="2024-05-15T00:00:00"/>
        <d v="2024-04-09T00:00:00"/>
        <d v="2023-12-31T00:00:00"/>
        <d v="2023-10-04T00:00:00"/>
        <d v="2023-08-30T00:00:00"/>
        <d v="2023-07-11T00:00:00"/>
        <d v="2023-06-20T00:00:00"/>
        <d v="2023-05-04T00:00:00"/>
        <d v="2022-10-20T00:00:00"/>
        <d v="2022-08-03T00:00:00"/>
        <d v="2022-07-06T00:00:00"/>
        <d v="2022-04-20T00:00:00"/>
        <d v="2022-03-24T00:00:00"/>
        <d v="2021-08-20T00:00:00"/>
        <d v="2021-08-06T00:00:00"/>
        <d v="2021-04-15T00:00:00"/>
        <d v="2020-10-07T00:00:00"/>
        <d v="2020-10-06T00:00:00"/>
        <d v="2020-09-24T00:00:00"/>
        <d v="2020-08-25T00:00:00"/>
        <d v="2020-07-07T00:00:00"/>
        <d v="2020-06-30T00:00:00"/>
        <d v="2019-11-07T00:00:00"/>
        <d v="2019-10-17T00:00:00"/>
        <d v="2019-09-24T00:00:00"/>
        <d v="2019-09-23T00:00:00"/>
        <d v="2019-08-30T00:00:00"/>
        <d v="2019-08-05T00:00:00"/>
        <d v="2019-06-26T00:00:00"/>
        <d v="2019-06-04T00:00:00"/>
        <d v="2019-05-31T00:00:00"/>
        <d v="2019-03-28T00:00:00"/>
        <d v="2018-10-23T00:00:00"/>
        <d v="2018-09-04T00:00:00"/>
        <d v="2018-08-08T00:00:00"/>
        <d v="2018-07-10T00:00:00"/>
        <d v="1899-12-30T00:00:00"/>
        <m/>
        <d v="2024-03-15T00:00:00" u="1"/>
      </sharedItems>
    </cacheField>
    <cacheField name="Fuente Financiamiento" numFmtId="0">
      <sharedItems containsBlank="1" count="24">
        <s v="FIA"/>
        <s v="FONDECYT"/>
        <s v="FONDEF "/>
        <s v="FIC"/>
        <s v="FRPD"/>
        <s v="Anid"/>
        <s v="CORFO"/>
        <s v="Contratos Privados Internacionales"/>
        <s v="FONTAGRO"/>
        <s v="FONDEQUIP"/>
        <s v="CONICYT"/>
        <s v="INNOVA-CORFO "/>
        <s v="FNDR O'Higgins"/>
        <s v="FNDR Antofagasta"/>
        <m/>
        <s v="Fondecyt " u="1"/>
        <s v="FIC O'Higgins 2023" u="1"/>
        <s v="FONDECYT " u="1"/>
        <s v="FIC " u="1"/>
        <s v="GORE O'Higgins" u="1"/>
        <s v="Instrumentos Complementarios FIA: Giras Nacionales para la Innovación 2024" u="1"/>
        <s v="Anillos de Investigación en Áreas Temáticas Específicas 2023" u="1"/>
        <s v="FONDEF" u="1"/>
        <s v="FONDECYT 2024" u="1"/>
      </sharedItems>
    </cacheField>
    <cacheField name="Concurso o Linea" numFmtId="0">
      <sharedItems containsBlank="1"/>
    </cacheField>
    <cacheField name="CRI" numFmtId="0">
      <sharedItems containsBlank="1"/>
    </cacheField>
    <cacheField name="Titulo Proyecto" numFmtId="0">
      <sharedItems containsBlank="1" longText="1"/>
    </cacheField>
    <cacheField name="Programas Nacionales" numFmtId="0">
      <sharedItems containsBlank="1"/>
    </cacheField>
    <cacheField name="Investigador/a     Encargado/a" numFmtId="0">
      <sharedItems containsBlank="1" count="28">
        <s v="OTAROLA ALIAGA, JAIME IGNACIO"/>
        <s v="DONOSO CONTRERAS, JOSE MANUEL"/>
        <s v="MARTINEZ CASTILLO, JUAN PABLO"/>
        <s v="RUBILAR TORRES, FELIPE ANDRES"/>
        <s v="ABARCA REYES, LUIS PATRICIO"/>
        <s v="ESTRADA BRAVO, FELIX RODOLFO"/>
        <s v="SAGREDO DIAZ, BORIS"/>
        <s v="CACERES CELEDON, EMILIO JOSE"/>
        <s v="VEGA CANDIA, BARBARA CHANTAL"/>
        <s v="QUEZADA JARA, MARCELO"/>
        <s v="ALTIMIRA PASSALACQUA, FABIOLA"/>
        <s v="RIQUELME TOLEDO, DANAE"/>
        <s v="DONOSO CONTRERAS JOSE MANUEL"/>
        <s v="Félix Estrada"/>
        <s v="CARRASCO JIMENEZ JORGE"/>
        <s v="FELMER ECHEVERRIA, SOFIA"/>
        <s v="ALFARO JARA, CHRISTIAN EUGENIO"/>
        <s v="LEMUS SEPULVEDA, GAMALIER FDO"/>
        <s v="BARTEL CLAUDIA"/>
        <m/>
        <s v="Jaime Otárola" u="1"/>
        <s v="Atimira Passalacqua Fabiola" u="1"/>
        <s v="Riquelme Toledo Danae" u="1"/>
        <s v="ALFARO JARA, CHRISTIAN EUGENIO  " u="1"/>
        <s v="Patricio Abarca" u="1"/>
        <s v="OTAROLA ALIAGA, JAIME IGNACIO " u="1"/>
        <s v="Juan Pablo Martínez" u="1"/>
        <s v="Quezada Jara Marcelo" u="1"/>
      </sharedItems>
    </cacheField>
    <cacheField name="Ejecutor Principal" numFmtId="0">
      <sharedItems containsBlank="1"/>
    </cacheField>
    <cacheField name="Estado" numFmtId="0">
      <sharedItems containsBlank="1" count="6">
        <s v="En Concurso"/>
        <s v="No adjudicado"/>
        <s v="Adjudicado"/>
        <s v="RECHAZADO"/>
        <s v="OT"/>
        <m/>
      </sharedItems>
    </cacheField>
    <cacheField name="ID- PERFIL" numFmtId="0">
      <sharedItems containsBlank="1" containsMixedTypes="1" containsNumber="1" containsInteger="1" minValue="12" maxValue="1444"/>
    </cacheField>
    <cacheField name="Fecha de Postulación" numFmtId="0">
      <sharedItems containsNonDate="0" containsDate="1" containsString="0" containsBlank="1" minDate="2018-07-10T00:00:00" maxDate="2025-07-23T00:00:00"/>
    </cacheField>
    <cacheField name="Monto solicitado" numFmtId="0">
      <sharedItems containsBlank="1" containsMixedTypes="1" containsNumber="1" containsInteger="1" minValue="0" maxValue="1028356000"/>
    </cacheField>
    <cacheField name="Asociado Pecuniario" numFmtId="42">
      <sharedItems containsBlank="1" containsMixedTypes="1" containsNumber="1" containsInteger="1" minValue="0" maxValue="60000000"/>
    </cacheField>
    <cacheField name="Asociado No Pecuniario" numFmtId="42">
      <sharedItems containsBlank="1" containsMixedTypes="1" containsNumber="1" containsInteger="1" minValue="0" maxValue="94800000"/>
    </cacheField>
    <cacheField name="Inia Pecuniario" numFmtId="42">
      <sharedItems containsBlank="1" containsMixedTypes="1" containsNumber="1" containsInteger="1" minValue="0" maxValue="76692000"/>
    </cacheField>
    <cacheField name="Inia No Pecuniario" numFmtId="42">
      <sharedItems containsBlank="1" containsMixedTypes="1" containsNumber="1" containsInteger="1" minValue="0" maxValue="162709522"/>
    </cacheField>
    <cacheField name="Costo Total del Proyecto" numFmtId="42">
      <sharedItems containsBlank="1" containsMixedTypes="1" containsNumber="1" containsInteger="1" minValue="12285000" maxValue="1128650000"/>
    </cacheField>
    <cacheField name="Rendible a la FF" numFmtId="42">
      <sharedItems containsBlank="1" containsMixedTypes="1" containsNumber="1" containsInteger="1" minValue="0" maxValue="150000000"/>
    </cacheField>
    <cacheField name="Libre disposición (overhead)" numFmtId="0">
      <sharedItems containsBlank="1" containsMixedTypes="1" containsNumber="1" containsInteger="1" minValue="0" maxValue="10440000"/>
    </cacheField>
    <cacheField name="Duración (meses)" numFmtId="1">
      <sharedItems containsBlank="1" containsMixedTypes="1" containsNumber="1" containsInteger="1" minValue="10" maxValue="48"/>
    </cacheField>
    <cacheField name="Fecha de Aprobación" numFmtId="14">
      <sharedItems containsDate="1" containsBlank="1" containsMixedTypes="1" minDate="2020-03-12T00:00:00" maxDate="2023-03-08T00:00:00"/>
    </cacheField>
    <cacheField name="Condiciones de aprobación" numFmtId="0">
      <sharedItems containsBlank="1"/>
    </cacheField>
    <cacheField name="Fecha de Rechazo" numFmtId="14">
      <sharedItems containsDate="1" containsBlank="1" containsMixedTypes="1" minDate="2018-09-10T00:00:00" maxDate="2021-11-06T00:00:00"/>
    </cacheField>
    <cacheField name="Motivos rechazo" numFmtId="0">
      <sharedItems containsBlank="1"/>
    </cacheField>
    <cacheField name="Fuente de Información (Acta resolución)" numFmtId="0">
      <sharedItems containsBlank="1"/>
    </cacheField>
    <cacheField name="Codigo Proyecto Fuente financ." numFmtId="0">
      <sharedItems containsBlank="1" containsMixedTypes="1" containsNumber="1" containsInteger="1" minValue="584" maxValue="3200742"/>
    </cacheField>
    <cacheField name="Observaciones" numFmtId="0">
      <sharedItems containsBlank="1"/>
    </cacheField>
    <cacheField name="Monto adjudicado" numFmtId="3">
      <sharedItems containsString="0" containsBlank="1" containsNumber="1" containsInteger="1" minValue="0" maxValue="1028356000"/>
    </cacheField>
    <cacheField name="Monto contrapartida" numFmtId="3">
      <sharedItems containsString="0" containsBlank="1" containsNumber="1" containsInteger="1" minValue="0" maxValue="29540000"/>
    </cacheField>
    <cacheField name="Monto aporte INIA" numFmtId="3">
      <sharedItems containsString="0" containsBlank="1" containsNumber="1" containsInteger="1" minValue="0" maxValue="123668128"/>
    </cacheField>
    <cacheField name="Monto capturado po INIA" numFmtId="3">
      <sharedItems containsString="0" containsBlank="1" containsNumber="1" containsInteger="1" minValue="0" maxValue="186320000"/>
    </cacheField>
    <cacheField name="Costo Total del proyecto4" numFmtId="3">
      <sharedItems containsString="0" containsBlank="1" containsNumber="1" containsInteger="1" minValue="0" maxValue="11286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nves_Rayentue" refreshedDate="45957.541872800924" createdVersion="5" refreshedVersion="5" minRefreshableVersion="3" recordCount="117">
  <cacheSource type="worksheet">
    <worksheetSource name="Tabla3"/>
  </cacheSource>
  <cacheFields count="12">
    <cacheField name="AÑO" numFmtId="0">
      <sharedItems containsNonDate="0" containsDate="1" containsString="0" containsBlank="1" minDate="1905-07-10T00:00:00" maxDate="2025-10-15T00:00:00" count="69">
        <d v="2021-08-20T00:00:00"/>
        <d v="2021-08-06T00:00:00"/>
        <d v="2020-04-03T00:00:00"/>
        <d v="2019-11-07T00:00:00"/>
        <d v="2019-11-06T00:00:00"/>
        <d v="2019-09-23T00:00:00"/>
        <d v="2019-09-16T00:00:00"/>
        <d v="2019-09-03T00:00:00"/>
        <d v="2019-08-08T00:00:00"/>
        <d v="2019-08-04T00:00:00"/>
        <d v="2019-07-31T00:00:00"/>
        <d v="2019-07-10T00:00:00"/>
        <d v="2019-06-26T00:00:00"/>
        <d v="2019-06-12T00:00:00"/>
        <d v="2019-06-04T00:00:00"/>
        <d v="2019-05-31T00:00:00"/>
        <d v="2019-01-28T00:00:00"/>
        <d v="2018-07-10T00:00:00"/>
        <d v="2025-10-14T00:00:00"/>
        <d v="2025-09-01T00:00:00"/>
        <d v="2025-08-17T00:00:00"/>
        <d v="2025-08-05T00:00:00"/>
        <d v="2025-07-22T00:00:00"/>
        <d v="2025-06-24T00:00:00"/>
        <d v="2025-04-21T00:00:00"/>
        <d v="2025-04-02T00:00:00"/>
        <d v="2025-02-20T00:00:00"/>
        <d v="2024-11-10T00:00:00"/>
        <d v="2024-10-16T00:00:00"/>
        <d v="2024-10-11T00:00:00"/>
        <d v="2024-08-05T00:00:00"/>
        <d v="2024-07-31T00:00:00"/>
        <d v="2024-06-04T00:00:00"/>
        <d v="2024-05-29T00:00:00"/>
        <d v="2024-05-25T00:00:00"/>
        <d v="2024-04-17T00:00:00"/>
        <d v="2024-04-15T00:00:00"/>
        <d v="2024-03-15T00:00:00"/>
        <d v="2023-12-12T00:00:00"/>
        <d v="2023-11-01T00:00:00"/>
        <d v="2023-10-01T00:00:00"/>
        <d v="2023-07-01T00:00:00"/>
        <d v="2023-06-01T00:00:00"/>
        <d v="2023-05-01T00:00:00"/>
        <d v="2023-03-02T00:00:00"/>
        <d v="2023-04-01T00:00:00"/>
        <d v="2022-10-01T00:00:00"/>
        <d v="2022-08-01T00:00:00"/>
        <d v="2022-07-01T00:00:00"/>
        <d v="2022-04-01T00:00:00"/>
        <d v="2022-02-07T00:00:00"/>
        <d v="2021-10-27T00:00:00"/>
        <d v="2021-06-30T00:00:00"/>
        <d v="2021-03-22T00:00:00"/>
        <d v="2021-03-01T00:00:00"/>
        <d v="2021-02-24T00:00:00"/>
        <d v="2021-02-18T00:00:00"/>
        <d v="2020-10-07T00:00:00"/>
        <d v="2020-09-09T00:00:00"/>
        <d v="2020-08-31T00:00:00"/>
        <d v="2020-08-05T00:00:00"/>
        <d v="2020-06-16T00:00:00"/>
        <d v="2020-06-10T00:00:00"/>
        <d v="2020-06-09T00:00:00"/>
        <d v="2020-06-01T00:00:00"/>
        <d v="2020-05-30T00:00:00"/>
        <d v="2020-05-29T00:00:00"/>
        <m/>
        <d v="1905-07-10T00:00:00" u="1"/>
      </sharedItems>
    </cacheField>
    <cacheField name="CONCURSO O LINEA" numFmtId="17">
      <sharedItems containsBlank="1"/>
    </cacheField>
    <cacheField name="CRI" numFmtId="15">
      <sharedItems containsBlank="1"/>
    </cacheField>
    <cacheField name="TÍTULO" numFmtId="17">
      <sharedItems containsBlank="1"/>
    </cacheField>
    <cacheField name="Programas Nacionales" numFmtId="0">
      <sharedItems containsBlank="1"/>
    </cacheField>
    <cacheField name="Investigador/a Encargado/a" numFmtId="0">
      <sharedItems containsBlank="1" count="19">
        <s v="CARRASCO JIMENEZ JORGE"/>
        <s v="FELMER ECHEVERRIA, SOFIA"/>
        <s v="OTAROLA ALIAGA, JAIME IGNACIO"/>
        <s v="SAGREDO DIAZ, BORIS"/>
        <s v="VEGA CANDIA, BARBARA CHANTAL"/>
        <s v="ALFARO JARA, CHRISTIAN EUGENIO"/>
        <s v="DONOSO CONTRERAS, JOSE MANUEL"/>
        <s v="AGUIRRE AGUILERA, CRISTIAN"/>
        <s v="CACERES CELEDON, EMILIO JOSE"/>
        <s v="MARTINEZ CASTILLO, JUAN PABLO"/>
        <s v="ABARCA REYES, LUIS PATRICIO"/>
        <s v="NUÑEZ BERRIOS, CHRISTIAN ESTEBAN"/>
        <s v="RUBILAR TORRES, FELIPE ANDRES"/>
        <s v="ESTRADA BRAVO, FELIX RODOLFO"/>
        <s v="QUEZADA JARA, MARCELO"/>
        <s v="Riquelme Toledo Danae"/>
        <s v="Atimira Passalacqua Fabiola"/>
        <s v="LEMUS SEPULVEDA, GAMALIER FDO"/>
        <m/>
      </sharedItems>
    </cacheField>
    <cacheField name="Ejecutor Principal " numFmtId="17">
      <sharedItems containsBlank="1"/>
    </cacheField>
    <cacheField name="ID- Perfil" numFmtId="0">
      <sharedItems containsBlank="1" containsMixedTypes="1" containsNumber="1" containsInteger="1" minValue="12" maxValue="1553" count="79">
        <s v="Sin Información"/>
        <n v="1553"/>
        <n v="1523"/>
        <n v="1522"/>
        <n v="1472"/>
        <n v="1467"/>
        <n v="1444"/>
        <n v="1443"/>
        <n v="1412"/>
        <n v="1395"/>
        <n v="1388"/>
        <n v="1387"/>
        <n v="1363"/>
        <n v="1362"/>
        <n v="1316"/>
        <n v="1303"/>
        <n v="1267"/>
        <n v="1213"/>
        <n v="1209"/>
        <n v="1165"/>
        <n v="1164"/>
        <n v="1163"/>
        <n v="1162"/>
        <n v="1158"/>
        <n v="1153"/>
        <n v="1112"/>
        <n v="1109"/>
        <n v="1046"/>
        <n v="1045"/>
        <n v="1043"/>
        <n v="983"/>
        <n v="975"/>
        <n v="937"/>
        <n v="890"/>
        <n v="879"/>
        <n v="846"/>
        <n v="792"/>
        <n v="790"/>
        <n v="789"/>
        <n v="788"/>
        <n v="785"/>
        <n v="755"/>
        <n v="748"/>
        <n v="677"/>
        <n v="662"/>
        <n v="661"/>
        <n v="609"/>
        <n v="601"/>
        <n v="595"/>
        <n v="593"/>
        <n v="506"/>
        <n v="493"/>
        <n v="487"/>
        <n v="464"/>
        <n v="418"/>
        <n v="411"/>
        <n v="400"/>
        <n v="249"/>
        <n v="246"/>
        <n v="211"/>
        <n v="209"/>
        <n v="197"/>
        <n v="190"/>
        <n v="184"/>
        <n v="127"/>
        <n v="126"/>
        <n v="123"/>
        <n v="117"/>
        <n v="67"/>
        <n v="64"/>
        <n v="48"/>
        <n v="42"/>
        <n v="23"/>
        <n v="22"/>
        <n v="21"/>
        <n v="18"/>
        <n v="14"/>
        <n v="12"/>
        <m/>
      </sharedItems>
    </cacheField>
    <cacheField name="Estado Perfil" numFmtId="0">
      <sharedItems containsBlank="1" count="17">
        <s v="Adjudicado"/>
        <s v="N/A"/>
        <s v="Perfil Seleccionado"/>
        <s v="Perfil no Seleccionado"/>
        <s v="En revisión por SubDirector Regional de I+D"/>
        <s v="APROBADO"/>
        <s v="En corrección por Comisión de Evaluación Nacional"/>
        <s v="Postulado"/>
        <s v="Rechazado"/>
        <s v="No Postulado"/>
        <s v="No Adjudicado"/>
        <s v="No Seleccionado"/>
        <s v="Seleccionado con condiciones"/>
        <s v="Perfil Seleccionado c/obs"/>
        <m/>
        <s v="Perfil seleccionado con condiciones" u="1"/>
        <s v=" " u="1"/>
      </sharedItems>
    </cacheField>
    <cacheField name="Postulado " numFmtId="17">
      <sharedItems containsBlank="1"/>
    </cacheField>
    <cacheField name="Adjudicado" numFmtId="17">
      <sharedItems containsBlank="1"/>
    </cacheField>
    <cacheField name="Comentarios" numFmtId="17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x v="0"/>
    <x v="0"/>
    <x v="0"/>
    <s v="Convocatoria Nacional Proyectos de Innovación para el Agro 2025-2026 FIA-Propuesta completa"/>
    <s v="Rayentué"/>
    <s v="Validación de un modelo de alerta preventiva contra los principales hongos de madera que afectan al cultivo del cerezo para mantener los estándares de calidad y competitividad en el mercado"/>
    <s v="Programa Nacional de Producción Vegetal"/>
    <x v="0"/>
    <s v="INIA"/>
    <x v="0"/>
    <n v="1387"/>
    <d v="2025-07-22T00:00:00"/>
    <n v="149784006"/>
    <n v="8000000"/>
    <n v="0"/>
    <n v="1000000"/>
    <n v="77389479"/>
    <n v="236173485"/>
    <m/>
    <n v="10400000"/>
    <m/>
    <m/>
    <m/>
    <m/>
    <m/>
    <m/>
    <m/>
    <m/>
    <m/>
    <m/>
    <m/>
    <m/>
    <m/>
  </r>
  <r>
    <x v="0"/>
    <x v="0"/>
    <x v="0"/>
    <s v="Convocatoria Nacional Proyectos de Innovación para el Agro 2025-2026 FIA-Propuesta completa"/>
    <s v="Rayentué"/>
    <s v="Estrategias para mitigar el daño por piel de lagarto en cerezas de exportación"/>
    <s v="Programa Nacional de Producción Vegetal"/>
    <x v="1"/>
    <s v="INIA"/>
    <x v="0"/>
    <n v="1388"/>
    <d v="2025-07-22T00:00:00"/>
    <n v="149624480"/>
    <n v="6000000"/>
    <n v="13800000"/>
    <n v="0"/>
    <n v="50361000"/>
    <n v="219785480"/>
    <m/>
    <n v="9435020"/>
    <m/>
    <m/>
    <m/>
    <m/>
    <m/>
    <m/>
    <m/>
    <m/>
    <m/>
    <m/>
    <m/>
    <m/>
    <m/>
  </r>
  <r>
    <x v="0"/>
    <x v="0"/>
    <x v="0"/>
    <s v="Convocatoria Nacional Proyectos de Innovación para el Agro 2025-2026 FIA-Propuesta completa"/>
    <s v="Rayentué"/>
    <s v="Optimización del manejo y diseño de invernaderos hortícolas mediante una plataforma de monitoreo ambiental en la Región de O’Higgins"/>
    <s v="Programa Nacional de Producción Vegetal"/>
    <x v="2"/>
    <s v="INIA"/>
    <x v="0"/>
    <n v="1395"/>
    <d v="2025-07-22T00:00:00"/>
    <n v="119473199"/>
    <n v="7000000"/>
    <n v="25973914"/>
    <n v="0"/>
    <n v="36416048"/>
    <n v="188863161"/>
    <m/>
    <n v="8328000"/>
    <m/>
    <m/>
    <m/>
    <m/>
    <m/>
    <m/>
    <m/>
    <m/>
    <m/>
    <m/>
    <m/>
    <m/>
    <m/>
  </r>
  <r>
    <x v="0"/>
    <x v="0"/>
    <x v="0"/>
    <s v="Convocatoria Nacional Proyectos de Innovación para el Agro 2025-2026 FIA-Propuesta completa"/>
    <s v="Rayentué"/>
    <s v="Gestión sostenible del rendimiento y calidad del trigo en el secano interior de sequía severa en la Región de O'Higgins, aumentando la EUA y EUN."/>
    <s v="Programa Nacional de Producción Vegetal"/>
    <x v="3"/>
    <s v="UCHILE - Universidad de Chile"/>
    <x v="0"/>
    <n v="1412"/>
    <d v="2025-07-22T00:00:00"/>
    <n v="50389000"/>
    <n v="0"/>
    <n v="0"/>
    <n v="0"/>
    <n v="26854376"/>
    <n v="77243376"/>
    <m/>
    <n v="0"/>
    <m/>
    <m/>
    <m/>
    <m/>
    <m/>
    <m/>
    <m/>
    <m/>
    <m/>
    <m/>
    <m/>
    <m/>
    <m/>
  </r>
  <r>
    <x v="0"/>
    <x v="0"/>
    <x v="0"/>
    <s v="Convocatoria Nacional Proyectos de Innovación para el Agro 2025-2026 FIA-Propuesta completa"/>
    <s v="Rayentué"/>
    <s v="Herramienta digital para la inspección de pulverizadores hidroneumáticos utilizados en huertos frutales"/>
    <s v="Programa Nacional de Producción Vegetal"/>
    <x v="4"/>
    <s v="INIA"/>
    <x v="0"/>
    <n v="1444"/>
    <d v="2025-07-22T00:00:00"/>
    <n v="149890000"/>
    <n v="1000000"/>
    <n v="840000"/>
    <n v="300000"/>
    <n v="59106880"/>
    <n v="211136880"/>
    <m/>
    <n v="10440000"/>
    <m/>
    <m/>
    <m/>
    <m/>
    <m/>
    <m/>
    <m/>
    <m/>
    <m/>
    <m/>
    <m/>
    <m/>
    <m/>
  </r>
  <r>
    <x v="0"/>
    <x v="1"/>
    <x v="1"/>
    <s v="Fondecyt Regular 2026"/>
    <s v="Rayentué"/>
    <s v="Improving salinity tolerance in ‘Old Limachino Tomato’ through grafting onto two clonal rootstocks derived from reciprocal interspecific crosses between cultivated and wild tomato genotypes"/>
    <s v="Programa Nacional de Producción Vegetal"/>
    <x v="2"/>
    <s v="INIA"/>
    <x v="0"/>
    <n v="1362"/>
    <d v="2025-06-24T00:00:00"/>
    <n v="271644000"/>
    <n v="0"/>
    <n v="0"/>
    <n v="0"/>
    <n v="148519718"/>
    <n v="420163718"/>
    <n v="45274000"/>
    <n v="0"/>
    <m/>
    <m/>
    <m/>
    <m/>
    <m/>
    <m/>
    <m/>
    <m/>
    <m/>
    <m/>
    <m/>
    <m/>
    <m/>
  </r>
  <r>
    <x v="0"/>
    <x v="1"/>
    <x v="1"/>
    <s v="Fondecyt Regular 2026"/>
    <s v="Rayentué"/>
    <s v="Disentangling the epigenetic influence on differentiation of fruit development between early and late varieties in sweet cherry (Prunus avium)"/>
    <s v="Programa Nacional de Producción Vegetal"/>
    <x v="1"/>
    <s v="UCHILE - Universidad de Chile"/>
    <x v="0"/>
    <n v="1363"/>
    <d v="2025-06-24T00:00:00"/>
    <n v="10730000"/>
    <n v="0"/>
    <n v="0"/>
    <n v="0"/>
    <n v="7360706"/>
    <n v="18090706"/>
    <n v="0"/>
    <m/>
    <m/>
    <m/>
    <m/>
    <m/>
    <m/>
    <m/>
    <m/>
    <m/>
    <m/>
    <m/>
    <m/>
    <m/>
    <m/>
  </r>
  <r>
    <x v="0"/>
    <x v="2"/>
    <x v="1"/>
    <s v="Fondecyt de Iniciación en Investigación 2026"/>
    <s v="16-Rayentué"/>
    <s v="Identification of stable and heritable physiological traits for the selection of drought-tolerant quinoa (Chenopodium quinoa Willd.) genotypes under drought environments"/>
    <s v="Producción Vegetal"/>
    <x v="5"/>
    <s v="INIA"/>
    <x v="0"/>
    <n v="1303"/>
    <d v="2025-04-30T00:00:00"/>
    <n v="104400000"/>
    <n v="0"/>
    <n v="0"/>
    <n v="0"/>
    <n v="63067518"/>
    <n v="167467518"/>
    <n v="14400000"/>
    <n v="0"/>
    <n v="36"/>
    <m/>
    <m/>
    <m/>
    <m/>
    <m/>
    <m/>
    <m/>
    <m/>
    <m/>
    <m/>
    <m/>
    <m/>
  </r>
  <r>
    <x v="0"/>
    <x v="3"/>
    <x v="2"/>
    <s v="Concurso de Investigación Tecnológica IDeA 2025"/>
    <s v="16-Rayentué"/>
    <s v="GENERANDO INFORMACIÓN CLAVE PARA EL DESARROLLO DE ESTRATEGIAS SUSTENTABLES DE CONTROL DEL CANCER BACTERIAL EN CEREZOS: BASADOS EN LAS CARACTERÍSTICAS DE LA POBLACIÓN DEL AGENTE CAUSAL"/>
    <s v="Producción Vegetal"/>
    <x v="6"/>
    <s v="INIA"/>
    <x v="0"/>
    <n v="1267"/>
    <d v="2025-03-20T00:00:00"/>
    <n v="237000000"/>
    <n v="0"/>
    <n v="71100001"/>
    <n v="0"/>
    <n v="111029264"/>
    <n v="419129265"/>
    <n v="28000000"/>
    <n v="0"/>
    <n v="24"/>
    <m/>
    <m/>
    <m/>
    <m/>
    <m/>
    <m/>
    <m/>
    <m/>
    <m/>
    <m/>
    <m/>
    <m/>
  </r>
  <r>
    <x v="0"/>
    <x v="4"/>
    <x v="3"/>
    <s v="FIC O'Higgins 2023"/>
    <s v="16-Rayentué"/>
    <s v="Biofiltros domiciliarios para la utilización de aguas grises con riego tecnificado para la pequeña agricultura en las comunas de Pumanque, Paredones y Pichilemu."/>
    <s v="Agrosistemas Sustentables"/>
    <x v="7"/>
    <s v="INIA"/>
    <x v="1"/>
    <n v="788"/>
    <d v="2023-08-30T00:00:00"/>
    <n v="161900000"/>
    <n v="9000000"/>
    <m/>
    <n v="0"/>
    <n v="8999000"/>
    <n v="179899000"/>
    <m/>
    <m/>
    <n v="36"/>
    <m/>
    <m/>
    <m/>
    <m/>
    <m/>
    <m/>
    <m/>
    <m/>
    <m/>
    <m/>
    <m/>
    <m/>
  </r>
  <r>
    <x v="0"/>
    <x v="4"/>
    <x v="3"/>
    <s v="FIC O'Higgins 2023"/>
    <s v="16-Rayentué"/>
    <s v="Semillero colaborativo regional de variedades tradicionales INIA, en la comuna de San Vicente"/>
    <s v="Producción Vegetal"/>
    <x v="8"/>
    <s v="INIA"/>
    <x v="1"/>
    <n v="789"/>
    <d v="2023-08-30T00:00:00"/>
    <n v="150000000"/>
    <n v="15000000"/>
    <m/>
    <m/>
    <n v="15531254"/>
    <n v="180531254"/>
    <m/>
    <m/>
    <n v="36"/>
    <m/>
    <m/>
    <m/>
    <m/>
    <m/>
    <m/>
    <m/>
    <m/>
    <m/>
    <m/>
    <m/>
    <m/>
  </r>
  <r>
    <x v="0"/>
    <x v="4"/>
    <x v="4"/>
    <s v="Fondo Regional para la Productividad y el Desarrollo (FRPD)- Región de O'Higgins 2024"/>
    <s v="16-Rayentué"/>
    <s v="Desarrollo de la agricultura urbana y periurbana como alternativa de desarrollo sostenible para la producción de alimentos en la Región de O`Higgins."/>
    <s v="Programa Nacional de Agrosistemas Sustentables"/>
    <x v="3"/>
    <s v="INIA"/>
    <x v="0"/>
    <n v="1165"/>
    <d v="2024-11-30T00:00:00"/>
    <n v="203909000"/>
    <n v="10200000"/>
    <n v="1000000"/>
    <n v="0"/>
    <n v="9193390"/>
    <n v="224302390"/>
    <n v="10000000"/>
    <m/>
    <n v="36"/>
    <m/>
    <m/>
    <m/>
    <m/>
    <m/>
    <m/>
    <m/>
    <m/>
    <m/>
    <m/>
    <m/>
    <m/>
  </r>
  <r>
    <x v="0"/>
    <x v="4"/>
    <x v="4"/>
    <s v="Fondo Regional para la Productividad y el Desarrollo (FRPD)- Región de O'Higgins 2024"/>
    <s v="16-Rayentué"/>
    <s v="Transferencia de un paquete tecnológico para el control de ataques de depredadores en ovinos del secano costero de O’Higgins."/>
    <s v="Programa Nacional de Producción Animal"/>
    <x v="9"/>
    <s v="INIA"/>
    <x v="0"/>
    <n v="1163"/>
    <d v="2024-11-30T00:00:00"/>
    <n v="280000000"/>
    <n v="15000000"/>
    <n v="0"/>
    <n v="0"/>
    <n v="21085437"/>
    <n v="316085437"/>
    <n v="13720000"/>
    <m/>
    <n v="36"/>
    <m/>
    <m/>
    <m/>
    <m/>
    <m/>
    <m/>
    <m/>
    <m/>
    <m/>
    <m/>
    <m/>
    <m/>
  </r>
  <r>
    <x v="0"/>
    <x v="4"/>
    <x v="4"/>
    <s v="Fondo Regional para la Productividad y el Desarrollo (FRPD)- Región de O'Higgins 2024"/>
    <s v="16-Rayentué"/>
    <s v="Biofábricas en la región de O´Higgins, una alternativa a la producción de agroinsumos con visión agroecológica"/>
    <s v="Programa Nacional de Agrosistemas Sustentables"/>
    <x v="8"/>
    <s v="INIA"/>
    <x v="0"/>
    <n v="1158"/>
    <d v="2024-11-30T00:00:00"/>
    <n v="256543408"/>
    <n v="16500000"/>
    <m/>
    <m/>
    <n v="24853209"/>
    <n v="297896617"/>
    <n v="12486286"/>
    <m/>
    <n v="36"/>
    <m/>
    <m/>
    <m/>
    <m/>
    <m/>
    <m/>
    <m/>
    <m/>
    <m/>
    <m/>
    <m/>
    <m/>
  </r>
  <r>
    <x v="0"/>
    <x v="5"/>
    <x v="0"/>
    <s v="Convocatoria Nacional Proyectos de Innovación para el agro con Énfasis Regional 2024-2025 FIA"/>
    <s v="16-Rayentué"/>
    <s v="Desarrollo de estrategias de riego deficitario controlado en diferentes variedades de cerezos y zonas agroclimáticas de Chile con baja disponibilidad hídrica."/>
    <s v="Programa Nacional de Agrosistemas Sustentables"/>
    <x v="7"/>
    <s v="INIA"/>
    <x v="1"/>
    <n v="1213"/>
    <d v="2024-11-26T00:00:00"/>
    <n v="150000000"/>
    <n v="5000000"/>
    <n v="5000000"/>
    <n v="0"/>
    <n v="83701088"/>
    <n v="243701088"/>
    <m/>
    <n v="5"/>
    <n v="36"/>
    <m/>
    <m/>
    <m/>
    <m/>
    <m/>
    <m/>
    <m/>
    <m/>
    <m/>
    <m/>
    <m/>
    <m/>
  </r>
  <r>
    <x v="0"/>
    <x v="5"/>
    <x v="0"/>
    <s v="Convocatoria Nacional Proyectos de Innovación para el agro con Énfasis Regional 2024-2025 FIA"/>
    <s v="16-Rayentué"/>
    <s v="Empaquetamiento técnico y comercial de la primera variedad de cereza chilena para un mercado de alta exigencia en calidad"/>
    <s v="Producción Vegetal"/>
    <x v="0"/>
    <s v="INIA"/>
    <x v="0"/>
    <n v="1209"/>
    <d v="2024-11-26T00:00:00"/>
    <n v="119808000"/>
    <n v="2000000"/>
    <n v="0"/>
    <n v="0"/>
    <n v="52719999"/>
    <n v="174527999"/>
    <n v="8300000"/>
    <m/>
    <n v="36"/>
    <m/>
    <m/>
    <m/>
    <m/>
    <m/>
    <m/>
    <m/>
    <m/>
    <m/>
    <m/>
    <m/>
    <m/>
  </r>
  <r>
    <x v="0"/>
    <x v="6"/>
    <x v="4"/>
    <s v="Fondo Regional para la Productividad y el Desarrollo (FRPD)- Región de O'Higgins 2024"/>
    <s v="16-Rayentué"/>
    <s v="Sistema de detección y alerta en tiempo real para el control preventivo y oportuno de las principales enfermedades de madera  que afectan a los frutales de carozo"/>
    <s v="Programa Nacional de Agrosistemas Sustentables"/>
    <x v="10"/>
    <s v="INIA"/>
    <x v="0"/>
    <n v="1153"/>
    <d v="2024-11-30T00:00:00"/>
    <n v="280000000"/>
    <n v="14000000"/>
    <n v="6750000"/>
    <n v="0"/>
    <n v="71816598"/>
    <n v="372566598"/>
    <n v="14000000"/>
    <n v="0"/>
    <n v="36"/>
    <m/>
    <m/>
    <m/>
    <m/>
    <m/>
    <m/>
    <s v="En concurso"/>
    <m/>
    <m/>
    <m/>
    <m/>
    <m/>
  </r>
  <r>
    <x v="0"/>
    <x v="6"/>
    <x v="4"/>
    <s v="Fondo Regional para la Productividad y el Desarrollo (FRPD)- Región de O'Higgins 2024"/>
    <s v="16-Rayentué"/>
    <s v="Transferencia del diagnóstico y manejo integrado de enfermedades del almendro: estrategias innovadoras para aumentar la competitividad del cultivo en la región de ohiggins"/>
    <s v="Programa Nacional de Agrosistemas Sustentables"/>
    <x v="11"/>
    <s v="INIA"/>
    <x v="0"/>
    <n v="1162"/>
    <d v="2024-11-30T00:00:00"/>
    <n v="280000000"/>
    <n v="14000000"/>
    <n v="0"/>
    <n v="0"/>
    <n v="138674506"/>
    <n v="432674506"/>
    <n v="14000000"/>
    <n v="0"/>
    <n v="36"/>
    <m/>
    <m/>
    <m/>
    <m/>
    <m/>
    <m/>
    <m/>
    <m/>
    <m/>
    <m/>
    <m/>
    <m/>
  </r>
  <r>
    <x v="0"/>
    <x v="7"/>
    <x v="5"/>
    <s v="IDeA I+D 2025"/>
    <s v="16-Rayentué"/>
    <s v="Desarrollo de un sistema de producción de plantas de tomate injertadas sobre portainjertos clonales originados por cruzamientos interespecíficos (S. lycopersicum x S. chilense) para mejorar la productividad y calidad de tomate fresco."/>
    <s v="Producción Vegetal"/>
    <x v="2"/>
    <s v="INIA"/>
    <x v="0"/>
    <n v="1109"/>
    <d v="2024-09-12T00:00:00"/>
    <n v="227654080"/>
    <n v="26200000"/>
    <n v="77874000"/>
    <n v="0"/>
    <n v="144158566"/>
    <n v="475886646"/>
    <n v="34000000"/>
    <m/>
    <n v="24"/>
    <m/>
    <m/>
    <m/>
    <m/>
    <m/>
    <m/>
    <m/>
    <m/>
    <m/>
    <m/>
    <m/>
    <m/>
  </r>
  <r>
    <x v="0"/>
    <x v="8"/>
    <x v="6"/>
    <s v="Red de Fomento Sostenible-1º Convocatoria 2024-Sector Agricultura"/>
    <s v="16-Rayentué"/>
    <s v="“RedFrutiT: Red de innovación tecnológica para una fruticultura sustentable y resiliente en Chile” (Red de Fomento Sostenible-1º Convocatoria 2024-Sector Agricultura)"/>
    <s v="Producción Vegetal"/>
    <x v="0"/>
    <s v="UC DAVIS CHILE - FUNDACION UC DAVIS CHILE LIFE SCIENCES INNOVATION CENTER"/>
    <x v="1"/>
    <n v="1112"/>
    <d v="2024-08-08T00:00:00"/>
    <n v="103327093"/>
    <n v="0"/>
    <n v="0"/>
    <n v="0"/>
    <n v="70763724"/>
    <n v="174090817"/>
    <n v="5127040"/>
    <m/>
    <n v="36"/>
    <m/>
    <m/>
    <m/>
    <m/>
    <m/>
    <m/>
    <m/>
    <m/>
    <m/>
    <m/>
    <m/>
    <m/>
  </r>
  <r>
    <x v="0"/>
    <x v="9"/>
    <x v="1"/>
    <s v="Fondecyt Regular 2025"/>
    <s v="16-Rayentué"/>
    <s v="Understanding the genetics related to orange peel disorder in sweet cherry (Prunus avium L.)"/>
    <s v="Producción  Vegetal"/>
    <x v="12"/>
    <s v="INIA"/>
    <x v="1"/>
    <n v="1043"/>
    <d v="2024-07-27T00:00:00"/>
    <n v="226809533"/>
    <n v="0"/>
    <n v="0"/>
    <n v="0"/>
    <n v="108294655"/>
    <n v="335104188"/>
    <n v="33966000"/>
    <m/>
    <n v="48"/>
    <m/>
    <m/>
    <m/>
    <m/>
    <m/>
    <m/>
    <m/>
    <m/>
    <m/>
    <m/>
    <m/>
    <m/>
  </r>
  <r>
    <x v="0"/>
    <x v="9"/>
    <x v="1"/>
    <s v="Fondecyt Regular 2025"/>
    <s v="16-Rayentué"/>
    <s v="Disentangling the epigenetic influence on differentiation of fruit development between early and late varieties in sweet cherry (Prunus avium) (FONDECYT REGULAR)"/>
    <s v="Producción  Vegetal"/>
    <x v="12"/>
    <s v="UCHILE - Universidad de Chile"/>
    <x v="1"/>
    <n v="1045"/>
    <d v="2024-07-27T00:00:00"/>
    <n v="4500000"/>
    <n v="0"/>
    <n v="0"/>
    <n v="0"/>
    <n v="14095330"/>
    <n v="18595330"/>
    <n v="0"/>
    <m/>
    <n v="48"/>
    <m/>
    <m/>
    <m/>
    <m/>
    <m/>
    <m/>
    <m/>
    <m/>
    <m/>
    <m/>
    <m/>
    <m/>
  </r>
  <r>
    <x v="1"/>
    <x v="9"/>
    <x v="3"/>
    <s v="FIC O'Higgins 2023"/>
    <s v="16-Rayentué"/>
    <s v="Transferencia tecnológica y revalorización de vides criollas y productos derivados con tradición patrimonial campesina para la Región de O'Higgins"/>
    <s v="Producción Vegetal"/>
    <x v="6"/>
    <s v="INIA"/>
    <x v="2"/>
    <n v="790"/>
    <d v="2023-08-30T00:00:00"/>
    <n v="186245345"/>
    <n v="10500000"/>
    <n v="0"/>
    <n v="0"/>
    <n v="10501500"/>
    <n v="207246845"/>
    <n v="9316000"/>
    <m/>
    <n v="24"/>
    <m/>
    <s v="Convenio TTT"/>
    <m/>
    <m/>
    <m/>
    <s v="IDI 40059068-0"/>
    <m/>
    <n v="186320000"/>
    <n v="10500000"/>
    <n v="10500001"/>
    <n v="186320000"/>
    <n v="207320001"/>
  </r>
  <r>
    <x v="0"/>
    <x v="10"/>
    <x v="1"/>
    <s v="Fondecyt Regular 2025"/>
    <s v="16-Rayentué"/>
    <s v="Improving salt tolerance of “Old Limachino Tomato” by using two clonal rootstocks issued from interspecific reciprocal crosses between wild and cultivated tomato, with different level of salt tolerance."/>
    <s v="Producción Vegetal"/>
    <x v="2"/>
    <s v="INIA"/>
    <x v="1"/>
    <n v="1046"/>
    <d v="2024-07-27T00:00:00"/>
    <n v="273055000"/>
    <n v="0"/>
    <n v="0"/>
    <n v="0"/>
    <n v="156885440"/>
    <n v="429940440"/>
    <n v="45509000"/>
    <n v="0"/>
    <n v="48"/>
    <s v="RECHAZADO"/>
    <s v="N/A"/>
    <m/>
    <m/>
    <m/>
    <m/>
    <m/>
    <m/>
    <m/>
    <m/>
    <m/>
    <m/>
  </r>
  <r>
    <x v="0"/>
    <x v="11"/>
    <x v="1"/>
    <s v="Fondecyt de Iniciación en Investigación 2024"/>
    <s v="16-Rayentué"/>
    <s v="A comprehensive characterization of physiological and agronomic traits for detecting keystones to select quinoa (Chenopodium quinoa Willd.) genotypes under adverse environments"/>
    <s v="Producción Vegetal"/>
    <x v="5"/>
    <s v="INIA"/>
    <x v="1"/>
    <n v="975"/>
    <d v="2024-05-15T00:00:00"/>
    <n v="104400000"/>
    <n v="0"/>
    <n v="0"/>
    <n v="0"/>
    <n v="6827528"/>
    <n v="111227528"/>
    <n v="14400000"/>
    <m/>
    <n v="36"/>
    <m/>
    <m/>
    <m/>
    <m/>
    <m/>
    <m/>
    <m/>
    <m/>
    <m/>
    <m/>
    <m/>
    <m/>
  </r>
  <r>
    <x v="1"/>
    <x v="12"/>
    <x v="5"/>
    <s v="Concurso Startup Ciencia 2024 (2º llamado 2023)"/>
    <s v="16-Rayentué"/>
    <s v="Desarrollo de un sensor portátil (Optiriego) que optimiza el manejo de riego en tomates y uva vinífera"/>
    <s v="Producción Vegetal"/>
    <x v="2"/>
    <s v="YUMMY FRUIT SPA"/>
    <x v="2"/>
    <n v="879"/>
    <d v="2023-11-16T00:00:00"/>
    <n v="45574372"/>
    <n v="0"/>
    <n v="0"/>
    <n v="1500000"/>
    <n v="44074372"/>
    <n v="45574372"/>
    <n v="0"/>
    <m/>
    <n v="12"/>
    <m/>
    <m/>
    <m/>
    <m/>
    <m/>
    <m/>
    <m/>
    <m/>
    <m/>
    <m/>
    <m/>
    <m/>
  </r>
  <r>
    <x v="0"/>
    <x v="12"/>
    <x v="0"/>
    <s v="Instrumentos Complementarios FIA: Giras Nacionales para la Innovación 2024"/>
    <s v="16-Rayentué"/>
    <s v="Visita a experiencias de cooperativas exitosas en la Región de Los Lagos, con productores ovinos del secano costero de la Región de O'Higgins."/>
    <s v="Programa Nacional de Producción Animal"/>
    <x v="9"/>
    <s v="INIA"/>
    <x v="1"/>
    <n v="937"/>
    <d v="2024-04-09T00:00:00"/>
    <n v="12000000"/>
    <n v="2145335"/>
    <m/>
    <m/>
    <n v="854665"/>
    <n v="15000000"/>
    <m/>
    <m/>
    <m/>
    <m/>
    <m/>
    <m/>
    <m/>
    <m/>
    <m/>
    <m/>
    <m/>
    <m/>
    <m/>
    <m/>
    <m/>
  </r>
  <r>
    <x v="0"/>
    <x v="13"/>
    <x v="7"/>
    <s v="Otros concursos de alcance Internacional 2023"/>
    <s v="16-Rayentué"/>
    <s v="Diversificación de productos funcionales de quinua para contribuir a la seguridad alimentaria (FONTAGRO 2023 &quot; Ciencia, Tecnología e Innovación para una Agricultura y Seguridad Alimentaria más Sostenible y Resiliente al Cambio Climático en América Latina y El Caribe&quot;)"/>
    <s v="Producción Vegetal"/>
    <x v="13"/>
    <s v="UNAL - Universidad Nacional de Colombia- Colombia"/>
    <x v="1"/>
    <n v="785"/>
    <d v="2023-12-31T00:00:00"/>
    <n v="15347285"/>
    <m/>
    <m/>
    <m/>
    <n v="34072981"/>
    <n v="49420266"/>
    <m/>
    <m/>
    <n v="48"/>
    <m/>
    <m/>
    <m/>
    <m/>
    <m/>
    <m/>
    <m/>
    <m/>
    <m/>
    <m/>
    <m/>
    <m/>
  </r>
  <r>
    <x v="0"/>
    <x v="13"/>
    <x v="8"/>
    <s v="24 - Contratos privados internacionales"/>
    <s v="16-Rayentué"/>
    <s v="Diversificación de productos funcionales de quinua para contribuir a la seguridad alimentaria (FONTAGRO 2023 &quot; Ciencia, Tecnología e Innovación para una Agricultura y Seguridad Alimentaria más Sostenible y Resiliente al Cambio Climático en América Latina y El Caribe&quot;"/>
    <s v="Producción Vegetal"/>
    <x v="5"/>
    <s v="INIA"/>
    <x v="1"/>
    <n v="785"/>
    <d v="2023-12-31T00:00:00"/>
    <n v="15347285"/>
    <n v="0"/>
    <n v="0"/>
    <n v="0"/>
    <n v="34072981"/>
    <n v="49420266"/>
    <n v="1534559"/>
    <n v="0"/>
    <n v="48"/>
    <m/>
    <m/>
    <m/>
    <m/>
    <m/>
    <m/>
    <m/>
    <m/>
    <m/>
    <m/>
    <m/>
    <m/>
  </r>
  <r>
    <x v="0"/>
    <x v="14"/>
    <x v="0"/>
    <s v="Convocatoria Nacional FIA 2023-2024 &quot;Proyectos de Innovación en Sistemas Alimentarios Sostenibles&quot;"/>
    <s v="16-Rayentué"/>
    <s v="Diversificación floral con especies nativas y cultivos tradicionales con riego tecnificado, mejorando la disponibilidad de alimento en Apis melífera."/>
    <s v="Programa Nacional de Agrosistemas Sustentables"/>
    <x v="7"/>
    <s v="INIA"/>
    <x v="1"/>
    <n v="846"/>
    <d v="2023-10-04T00:00:00"/>
    <n v="149780815"/>
    <n v="2500000"/>
    <n v="500000"/>
    <m/>
    <n v="64585123"/>
    <n v="217365938"/>
    <n v="10200000"/>
    <m/>
    <n v="48"/>
    <m/>
    <m/>
    <m/>
    <m/>
    <m/>
    <m/>
    <m/>
    <m/>
    <m/>
    <m/>
    <m/>
    <m/>
  </r>
  <r>
    <x v="0"/>
    <x v="15"/>
    <x v="3"/>
    <s v="FIC O'Higgins 2023"/>
    <s v="16-Rayentué"/>
    <s v="Transferencia de soluciones técnicas para la recuperación de suelos en terrenos afectados por inundaciones y anegamiento, en las comunas de Coltauco y San Vicente, Región de O’Higgins"/>
    <s v="Agrosistemas Sustentables"/>
    <x v="14"/>
    <s v="INIA"/>
    <x v="1"/>
    <n v="792"/>
    <d v="2023-08-30T00:00:00"/>
    <n v="209000000"/>
    <n v="12300000"/>
    <m/>
    <n v="0"/>
    <n v="12258000"/>
    <n v="233558000"/>
    <m/>
    <m/>
    <m/>
    <m/>
    <m/>
    <m/>
    <m/>
    <m/>
    <m/>
    <m/>
    <m/>
    <m/>
    <m/>
    <m/>
    <m/>
  </r>
  <r>
    <x v="0"/>
    <x v="16"/>
    <x v="0"/>
    <s v="Convocatoria Nacional Proyectos de Innovación-Interés Privado o Bienes Públicos- para el Agro 2023 (Propuesta completa)"/>
    <s v="16-Rayentué"/>
    <s v="Desarrollo de un potencial agente antifúngico a partir de saponinas presentes en líneas avanzadas de quínoa"/>
    <s v="Producción Vegetal"/>
    <x v="13"/>
    <s v="Tecnofen"/>
    <x v="1"/>
    <n v="755"/>
    <d v="2023-07-11T00:00:00"/>
    <n v="18162100"/>
    <m/>
    <m/>
    <m/>
    <n v="25057753"/>
    <n v="43219853"/>
    <m/>
    <m/>
    <n v="36"/>
    <m/>
    <m/>
    <m/>
    <m/>
    <m/>
    <m/>
    <m/>
    <m/>
    <m/>
    <m/>
    <m/>
    <m/>
  </r>
  <r>
    <x v="0"/>
    <x v="17"/>
    <x v="1"/>
    <s v="Regular"/>
    <s v="16-Rayentué"/>
    <s v="Disentangling the epigenetic influence on differentiation of fruit development between early and late varieties in sweet cherry (Prunus avium)"/>
    <s v="Producción  Vegetal"/>
    <x v="12"/>
    <s v="Universidad de Chile"/>
    <x v="1"/>
    <n v="748"/>
    <d v="2023-06-20T00:00:00"/>
    <n v="21500000"/>
    <m/>
    <m/>
    <m/>
    <n v="6727800"/>
    <n v="28227800"/>
    <m/>
    <m/>
    <n v="48"/>
    <m/>
    <m/>
    <m/>
    <m/>
    <m/>
    <m/>
    <m/>
    <m/>
    <m/>
    <m/>
    <m/>
    <m/>
  </r>
  <r>
    <x v="0"/>
    <x v="18"/>
    <x v="5"/>
    <s v="Anillos"/>
    <s v="16-Rayentué"/>
    <s v="Plant Abiotic Stress tolerance for a Sustainable Agriculture (PASSA): Molecular Strategies for improving Plant Tolerance to drought and salinity"/>
    <s v="Producción Vegetal"/>
    <x v="2"/>
    <s v="Universidad de Chile"/>
    <x v="1"/>
    <n v="667"/>
    <d v="2023-05-04T00:00:00"/>
    <n v="86140000"/>
    <m/>
    <m/>
    <n v="103575"/>
    <m/>
    <n v="86243575"/>
    <m/>
    <m/>
    <n v="36"/>
    <m/>
    <m/>
    <m/>
    <m/>
    <m/>
    <m/>
    <m/>
    <m/>
    <m/>
    <m/>
    <m/>
    <m/>
  </r>
  <r>
    <x v="2"/>
    <x v="19"/>
    <x v="0"/>
    <s v="Convocatoria Nacional FIA 2022-2023 &quot;Proyectos de Innovación de Interés privado o Bienes Públicos para el Agro"/>
    <s v="16-Rayentué"/>
    <s v="Plataforma interactiva para el desarrollo de mejoras en el control de plagas en cultivo de cítricos a través de la pulverización hidroneumática"/>
    <s v="Agrosistemas Sustentables"/>
    <x v="4"/>
    <s v="INIA"/>
    <x v="2"/>
    <n v="609"/>
    <d v="2022-10-20T00:00:00"/>
    <n v="115159785"/>
    <n v="6800000"/>
    <n v="0"/>
    <n v="0"/>
    <n v="37077338"/>
    <n v="159037123"/>
    <n v="8040000"/>
    <n v="0"/>
    <n v="36"/>
    <s v="17-04-2023, carta UPGN°23 del 26-04-2023"/>
    <s v="Convenio TTT"/>
    <m/>
    <m/>
    <s v="Consejo Directivo FIA N° 240"/>
    <s v="PYT 2023-0219"/>
    <m/>
    <n v="115159785"/>
    <n v="11224832"/>
    <n v="45186471"/>
    <n v="115159785"/>
    <n v="171571088"/>
  </r>
  <r>
    <x v="2"/>
    <x v="19"/>
    <x v="0"/>
    <s v="Convocatoria Nacional FIA 2022-2023 &quot;Proyectos de Innovación de Interés privado o Bienes Públicos para el Agro"/>
    <s v="16-Rayentué"/>
    <s v="Nuevas estrategias de riego para el cultivo del nogal injertado sobre portainjertos clonales"/>
    <s v="Producción Vegetal"/>
    <x v="0"/>
    <s v="INIA"/>
    <x v="2"/>
    <n v="593"/>
    <d v="2022-10-20T00:00:00"/>
    <n v="117487105"/>
    <n v="0"/>
    <n v="7000000"/>
    <n v="0"/>
    <n v="59576551"/>
    <n v="184063656"/>
    <n v="8200000"/>
    <n v="0"/>
    <n v="36"/>
    <s v="17-04-2023, carta UPGN°243 del 26-04-2023"/>
    <s v="Detalle en carta. Etapa de negociación"/>
    <m/>
    <m/>
    <s v="Consejo Directivo FIA N° 240"/>
    <s v="PYT 2023-0259"/>
    <m/>
    <n v="119450000"/>
    <n v="2000000"/>
    <n v="70076551"/>
    <n v="0"/>
    <n v="191526551"/>
  </r>
  <r>
    <x v="2"/>
    <x v="20"/>
    <x v="3"/>
    <s v="FIC"/>
    <s v="16-Rayentué"/>
    <s v="Optimización de la aplicación de biocontroladores de origen microbiano a través de diferentes técnicas de pulverización en cultivos agrícolas de importancia para la Región de O'Higgins"/>
    <s v="Producción Vegetal"/>
    <x v="4"/>
    <s v="INIA"/>
    <x v="2"/>
    <n v="493"/>
    <d v="2022-08-03T00:00:00"/>
    <n v="164103020"/>
    <n v="0"/>
    <n v="871902"/>
    <n v="12000000"/>
    <n v="10974617"/>
    <n v="187949539"/>
    <n v="8205151"/>
    <n v="0"/>
    <n v="36"/>
    <d v="2023-02-17T00:00:00"/>
    <s v="Etapa de firma de Convenio"/>
    <m/>
    <m/>
    <s v="Resolución Exenta N° 120 de fecha 17 de febrero de 2023"/>
    <s v="Código IDI 40048423-0"/>
    <m/>
    <n v="164103020"/>
    <n v="23846519"/>
    <n v="23846519"/>
    <n v="0"/>
    <n v="187949539"/>
  </r>
  <r>
    <x v="2"/>
    <x v="20"/>
    <x v="3"/>
    <s v="FIC"/>
    <s v="16-Rayentué"/>
    <s v="Transferencia bioinmunizador endófito para el control de plagas y enfermedades en cucurbitáceas"/>
    <s v="Agrosistemas Sustentables"/>
    <x v="8"/>
    <s v="INIA"/>
    <x v="2"/>
    <n v="487"/>
    <d v="2022-08-03T00:00:00"/>
    <n v="148500000"/>
    <n v="0"/>
    <n v="0"/>
    <n v="14400000"/>
    <n v="13529712"/>
    <n v="176429712"/>
    <n v="7425000"/>
    <n v="0"/>
    <n v="36"/>
    <d v="2023-02-17T00:00:00"/>
    <s v="Convenio TTT"/>
    <m/>
    <m/>
    <s v="Resolución Exenta N° 120 de fecha 17 de febrero de 2023"/>
    <s v="40048416-0"/>
    <m/>
    <n v="148500000"/>
    <n v="27929710"/>
    <n v="27929710"/>
    <n v="0"/>
    <n v="176429710"/>
  </r>
  <r>
    <x v="2"/>
    <x v="21"/>
    <x v="5"/>
    <s v="FONDECYT Regular"/>
    <s v="16-Rayentué"/>
    <s v="Caracterización e identificación de los factores genéticos de la resistencia al cáncer bacterial en cerezos (Prunus avium L.) presentes en cv Santina"/>
    <s v="Producción Vegetal"/>
    <x v="6"/>
    <s v="INIA"/>
    <x v="2"/>
    <n v="464"/>
    <d v="2022-07-06T00:00:00"/>
    <n v="319267521"/>
    <n v="0"/>
    <n v="0"/>
    <n v="0"/>
    <n v="162709522"/>
    <n v="481977043"/>
    <n v="0"/>
    <n v="0"/>
    <n v="48"/>
    <d v="2023-03-07T00:00:00"/>
    <s v="Convenio firmado"/>
    <m/>
    <m/>
    <s v="RESOLUCION EXENTO Nº: 3242/2023 del 06/04/2023"/>
    <n v="1231208"/>
    <m/>
    <n v="268800000"/>
    <n v="0"/>
    <n v="0"/>
    <n v="40800000"/>
    <n v="268800000"/>
  </r>
  <r>
    <x v="2"/>
    <x v="22"/>
    <x v="5"/>
    <s v="Idea I&amp;D"/>
    <s v="16-Rayentué"/>
    <s v="Herramientas para determinar las características de la población del agente causal del cáncer bacterial en cerezos: Generando información clave para el desarrollo de estrategias sustentables de control"/>
    <s v="Producción Vegetal"/>
    <x v="6"/>
    <s v="INIA"/>
    <x v="2"/>
    <n v="418"/>
    <d v="2022-04-20T00:00:00"/>
    <n v="159156049"/>
    <n v="0"/>
    <n v="24073545"/>
    <n v="0"/>
    <n v="57064535"/>
    <n v="240294129"/>
    <n v="150000000"/>
    <n v="0"/>
    <n v="24"/>
    <d v="2022-08-12T00:00:00"/>
    <m/>
    <m/>
    <m/>
    <s v="RESOLUCION EXENTO Nº: 6968/2022 del 11/08/2022"/>
    <s v="ID22I10318"/>
    <m/>
    <n v="160425000"/>
    <n v="24073545"/>
    <n v="94294747"/>
    <n v="15000000"/>
    <n v="278793292"/>
  </r>
  <r>
    <x v="0"/>
    <x v="23"/>
    <x v="1"/>
    <s v="Concurso de Proyectos Fondecyt de Iniciación en Investigación 2023"/>
    <s v="16-Rayentué"/>
    <s v="Effect of drought on the plasticity of physiological and agronomic traits in Lactuca sativa L. cultivars, under the context of climate change of southern Chile"/>
    <s v="Producción Vegetal"/>
    <x v="13"/>
    <s v="INIA"/>
    <x v="1"/>
    <n v="411"/>
    <d v="2022-03-24T00:00:00"/>
    <n v="14400000"/>
    <m/>
    <m/>
    <m/>
    <n v="35949067"/>
    <n v="50349067"/>
    <m/>
    <m/>
    <n v="36"/>
    <m/>
    <m/>
    <m/>
    <m/>
    <m/>
    <m/>
    <m/>
    <m/>
    <m/>
    <m/>
    <m/>
    <m/>
  </r>
  <r>
    <x v="3"/>
    <x v="24"/>
    <x v="0"/>
    <s v="FIA Asignación Directa"/>
    <s v="16-Rayentué"/>
    <s v="Desarrollo de soluciones técnicas de manejo sustentable de suelos, agua y cultivos, para mejorar la situación post incendios forestales en predios de agricultores del área de secano de la región de O`Higgins y mitigar la problemática del cambio climático"/>
    <s v="Agrosistemas Sustentables"/>
    <x v="14"/>
    <s v="INIA"/>
    <x v="2"/>
    <n v="395"/>
    <d v="2021-08-20T00:00:00"/>
    <n v="149985876"/>
    <n v="6000000"/>
    <n v="9588000"/>
    <n v="750000"/>
    <n v="122918128"/>
    <n v="289242004"/>
    <n v="10498010"/>
    <n v="0"/>
    <n v="36"/>
    <d v="2021-09-09T00:00:00"/>
    <s v="en etapa negociación se deben corregir observaciones"/>
    <s v="N/A"/>
    <s v="N/A"/>
    <s v="Carta UDP-A-N°1997 de fecha 24/11/2021                          Sesión_x000a_ordinaria N°274, realizada el 8 de septiembre de 2021."/>
    <s v="PYT-2021-0639"/>
    <m/>
    <n v="149985876"/>
    <n v="6000000"/>
    <n v="123668128"/>
    <n v="0"/>
    <n v="289242004"/>
  </r>
  <r>
    <x v="3"/>
    <x v="24"/>
    <x v="0"/>
    <s v="FIA Asignación Directa"/>
    <s v="16-Rayentué"/>
    <s v="Programa de innovación en el uso eficiente del recurso hídrico para la pequeña agricultura de la región de O'Higgins"/>
    <s v="Agrosistemas Sustentables"/>
    <x v="15"/>
    <s v="INIA"/>
    <x v="2"/>
    <n v="400"/>
    <d v="2021-08-20T00:00:00"/>
    <n v="85000000"/>
    <n v="0"/>
    <n v="0"/>
    <n v="850000"/>
    <n v="55485807"/>
    <n v="141335807"/>
    <n v="5950000"/>
    <n v="0"/>
    <n v="20"/>
    <d v="2021-09-09T00:00:00"/>
    <s v="en etapa negociación se deben corregir observaciones"/>
    <s v="N/A"/>
    <s v="N/A"/>
    <s v="Carta UDP-A-N°1831 de fecha 29/10/2021                    Sesión_x000a_Extraordinaria N°236, realizada el 27 de octubre de 2021."/>
    <s v="PYT-2021-0661"/>
    <m/>
    <n v="85000000"/>
    <n v="0"/>
    <n v="56335807"/>
    <n v="0"/>
    <n v="141335807"/>
  </r>
  <r>
    <x v="0"/>
    <x v="25"/>
    <x v="7"/>
    <s v="FONTAGRO"/>
    <s v="16-Rayentué"/>
    <s v="Agtechmetro"/>
    <s v="Agrosistemas Sustentables"/>
    <x v="15"/>
    <s v="U. AUSTRAL"/>
    <x v="3"/>
    <s v="Sin Información"/>
    <d v="2021-08-06T00:00:00"/>
    <s v="No tengo la info"/>
    <s v="No tengo la info"/>
    <s v="No tengo la info"/>
    <s v="No tengo la info"/>
    <s v="No tengo la info"/>
    <s v="No tengo la info"/>
    <s v="No tengo la info"/>
    <s v="No tengo la info"/>
    <s v="No tengo la info"/>
    <s v="RECHAZADO"/>
    <s v="N/A"/>
    <d v="2021-11-05T00:00:00"/>
    <s v="Puntuación baja 62,67/100 y requería como minimo 75/100"/>
    <s v="Carta FTG/6935 de fecha 5 de noviembre de 2021"/>
    <n v="584"/>
    <m/>
    <m/>
    <m/>
    <m/>
    <m/>
    <m/>
  </r>
  <r>
    <x v="0"/>
    <x v="26"/>
    <x v="0"/>
    <s v="FONDECYT Regular"/>
    <s v="16-Rayentué"/>
    <s v="Caracterización e identificación de los factores genéticos de la resistencia al cáncer bacterial en cerezos (Prunus avium L.) presentes en cv Santina"/>
    <s v="Producción  Vegetal"/>
    <x v="6"/>
    <s v="INIA"/>
    <x v="1"/>
    <n v="1112"/>
    <d v="2021-04-15T00:00:00"/>
    <n v="90000000"/>
    <n v="7125000"/>
    <n v="500000"/>
    <n v="0"/>
    <n v="44838934"/>
    <n v="142463934"/>
    <n v="4500000"/>
    <n v="0"/>
    <n v="36"/>
    <s v="No adjudicado"/>
    <s v="N/A"/>
    <d v="2021-07-30T00:00:00"/>
    <m/>
    <s v="listado proyectos aprobados y no aprobados de acuerdo con el numeral 2.2.3 “Adjudicación” de las Bases Técnicas y Administrativas"/>
    <m/>
    <m/>
    <m/>
    <m/>
    <m/>
    <m/>
    <m/>
  </r>
  <r>
    <x v="0"/>
    <x v="27"/>
    <x v="5"/>
    <s v="I Concurso Nodos para la Aceleración de Impacto Territorial de la CTCI año 2020"/>
    <s v="16-Rayentue, 20-Quilamapu"/>
    <s v="Economía Circular y Sostenibilidad en los Procesos Industriales de la Macrozona Centro-Sur: Aseguramiento Agroalimentario"/>
    <s v="Producción  Vegetal"/>
    <x v="6"/>
    <s v="U. Autonoma"/>
    <x v="1"/>
    <n v="127"/>
    <d v="2020-10-07T00:00:00"/>
    <n v="5280000"/>
    <n v="0"/>
    <n v="0"/>
    <n v="0"/>
    <n v="9771240"/>
    <n v="15051240"/>
    <n v="0"/>
    <n v="0"/>
    <n v="24"/>
    <s v="No adjudicado"/>
    <s v="N/A"/>
    <d v="2020-12-02T00:00:00"/>
    <m/>
    <s v="Rex 12375_2020 Adjudica I Concurso de Nodos CTCi"/>
    <m/>
    <m/>
    <m/>
    <m/>
    <m/>
    <m/>
    <m/>
  </r>
  <r>
    <x v="0"/>
    <x v="28"/>
    <x v="0"/>
    <s v="Convocatoria Nacional de Proyectos 2020-2021 FIA"/>
    <s v="16-Rayentue  "/>
    <s v="Desarrollo y validación de un sistema automatizado de humidificación de alta presión como una herramienta multipropósito para el cultivo del cerezo bajo macrotúneles"/>
    <s v="Producción  Vegetal"/>
    <x v="0"/>
    <s v="INIA"/>
    <x v="1"/>
    <n v="64"/>
    <d v="2020-10-06T00:00:00"/>
    <n v="134590000"/>
    <n v="10000000"/>
    <n v="12000000"/>
    <n v="0"/>
    <n v="41160395"/>
    <n v="197750395"/>
    <n v="9400000"/>
    <n v="0"/>
    <n v="42"/>
    <s v="No adjudicado"/>
    <s v="N/A"/>
    <d v="2021-01-22T00:00:00"/>
    <m/>
    <s v="Nomina seleccionados y no seleccionados 2da etapa"/>
    <m/>
    <m/>
    <m/>
    <m/>
    <m/>
    <m/>
    <m/>
  </r>
  <r>
    <x v="0"/>
    <x v="29"/>
    <x v="5"/>
    <s v="Fondecyt de Postdoctorado 2021"/>
    <s v="16-Rayentue  "/>
    <s v="Determination of root traits of durum wheat (Triticum turgidum L. spp. Durum) released from 1915 to 2015 to improve wheat grain yield in the Mediterranean dry land environments."/>
    <s v="Producción  Vegetal"/>
    <x v="16"/>
    <s v="INIA"/>
    <x v="1"/>
    <n v="67"/>
    <d v="2020-09-24T00:00:00"/>
    <n v="81324000"/>
    <n v="0"/>
    <n v="0"/>
    <n v="0"/>
    <n v="15000000"/>
    <n v="96324000"/>
    <n v="0"/>
    <n v="0"/>
    <n v="36"/>
    <s v="No adjudicado"/>
    <s v="N/A"/>
    <d v="2021-01-22T00:00:00"/>
    <m/>
    <s v="Nomina adjudicados"/>
    <m/>
    <m/>
    <m/>
    <m/>
    <m/>
    <m/>
    <m/>
  </r>
  <r>
    <x v="0"/>
    <x v="30"/>
    <x v="3"/>
    <s v="FIC- Región del Maule"/>
    <s v="16-Rayentue, 20-Quilamapu"/>
    <s v="Manejo del cáncer bacterial en huertos de cerezo de la Región del Maule a través de un control ecológicamente sustentable"/>
    <s v="Producción  Vegetal"/>
    <x v="0"/>
    <s v="INIA"/>
    <x v="1"/>
    <n v="42"/>
    <d v="2020-08-25T00:00:00"/>
    <n v="196528000"/>
    <n v="20000000"/>
    <n v="7500000"/>
    <n v="0"/>
    <n v="80066715"/>
    <n v="304094715"/>
    <n v="9800000"/>
    <n v="0"/>
    <n v="36"/>
    <s v="No adjudicado"/>
    <s v="N/A"/>
    <d v="2020-09-07T00:00:00"/>
    <s v="FF no da justificación, solo presenta listado de los aprobados para presentar a los CORES"/>
    <s v="N/A"/>
    <m/>
    <m/>
    <m/>
    <m/>
    <m/>
    <m/>
    <m/>
  </r>
  <r>
    <x v="0"/>
    <x v="31"/>
    <x v="5"/>
    <s v="FONDECYT Regular 2021"/>
    <s v="16-Rayentue  "/>
    <s v="HYDRAULIC MECHANISMS AND CARBON METABOLISM IN THE ADAPTATION OF DURUM WHEAT TO CONDITIONS OF CLIMATE CHANGE"/>
    <s v="Producción Vegetal"/>
    <x v="16"/>
    <s v="UCH"/>
    <x v="1"/>
    <n v="12"/>
    <d v="2020-07-07T00:00:00"/>
    <n v="6265000"/>
    <n v="0"/>
    <n v="0"/>
    <n v="0"/>
    <n v="25000000"/>
    <n v="31265000"/>
    <n v="6265000"/>
    <n v="0"/>
    <n v="48"/>
    <s v="No adjudicado"/>
    <s v="N/A"/>
    <d v="2021-01-22T00:00:00"/>
    <m/>
    <s v="Nomina adjudicados"/>
    <m/>
    <m/>
    <m/>
    <m/>
    <m/>
    <m/>
    <m/>
  </r>
  <r>
    <x v="0"/>
    <x v="31"/>
    <x v="5"/>
    <s v="FONDECYT Regular 2021"/>
    <s v="16-Rayentue  "/>
    <s v="Identification and development of molecular markers associated with genes responsible for the determination of sex in maqui (A. chilensis) and its location at chromosomal level."/>
    <s v="Producción Vegetal"/>
    <x v="6"/>
    <s v="U. Autonoma Ch"/>
    <x v="1"/>
    <m/>
    <d v="2020-07-07T00:00:00"/>
    <n v="15200000"/>
    <n v="0"/>
    <n v="0"/>
    <n v="0"/>
    <n v="38635000"/>
    <n v="53835000"/>
    <n v="15200000"/>
    <n v="0"/>
    <n v="48"/>
    <s v="No adjudicado"/>
    <s v="N/A"/>
    <d v="2021-01-22T00:00:00"/>
    <m/>
    <s v="Nomina adjudicados"/>
    <m/>
    <m/>
    <m/>
    <m/>
    <m/>
    <m/>
    <m/>
  </r>
  <r>
    <x v="0"/>
    <x v="31"/>
    <x v="5"/>
    <s v="FONDECYT Regular 2021"/>
    <s v="16-Rayentue  "/>
    <s v="Identificación de factores genéticos y moleculares asociados a respuesta diferencial al cáncer bacterial en cerezos (Prunus avium L.) en grupos de variedades con resistencia contrastante"/>
    <s v="Producción Vegetal"/>
    <x v="6"/>
    <s v="INIA"/>
    <x v="3"/>
    <m/>
    <d v="2020-07-07T00:00:00"/>
    <n v="265600000"/>
    <n v="0"/>
    <n v="0"/>
    <n v="0"/>
    <n v="146310000"/>
    <n v="411910000"/>
    <n v="37600000"/>
    <n v="0"/>
    <n v="48"/>
    <s v="RECHAZADO"/>
    <s v="N/A"/>
    <d v="2021-01-29T00:00:00"/>
    <s v="fuera de bases por tener un informe pendiente de difusión en el proyecto Fondecyt 2018 cod. 502410."/>
    <s v="Res. Ex. N°1590"/>
    <n v="1212020"/>
    <s v="el investigador realizo una apelación"/>
    <m/>
    <m/>
    <m/>
    <m/>
    <m/>
  </r>
  <r>
    <x v="4"/>
    <x v="32"/>
    <x v="3"/>
    <s v="FIC O'Higgins 2020"/>
    <s v="16-Rayentue  "/>
    <s v="Ag Tech Invest Lab Innovation"/>
    <s v="Agrosistemas Sustentables"/>
    <x v="15"/>
    <s v="INIA"/>
    <x v="2"/>
    <n v="23"/>
    <d v="2020-06-30T00:00:00"/>
    <n v="212000000"/>
    <n v="12000000"/>
    <n v="0"/>
    <n v="0"/>
    <n v="18000000"/>
    <n v="242000000"/>
    <n v="10000000"/>
    <n v="0"/>
    <n v="30"/>
    <d v="2020-10-16T00:00:00"/>
    <m/>
    <s v="N/A"/>
    <s v="N/A"/>
    <s v="Publicación Acuerdo CORE N°6.514"/>
    <m/>
    <m/>
    <n v="240000000"/>
    <n v="15000000"/>
    <n v="18000000"/>
    <n v="0"/>
    <n v="273000000"/>
  </r>
  <r>
    <x v="4"/>
    <x v="32"/>
    <x v="3"/>
    <s v="FIC O'Higgins 2020"/>
    <s v="16-Rayentue  "/>
    <s v="Transferencia hongos de la madera en frutales de carozo: situación actual y estrategias de control en la Región de O´Higgins."/>
    <s v="Producción  Vegetal"/>
    <x v="17"/>
    <s v="INIA"/>
    <x v="2"/>
    <n v="22"/>
    <d v="2020-06-30T00:00:00"/>
    <n v="200000000"/>
    <n v="12050000"/>
    <n v="0"/>
    <n v="0"/>
    <n v="27811000"/>
    <n v="239861000"/>
    <n v="9650000"/>
    <n v="0"/>
    <n v="36"/>
    <d v="2020-10-16T00:00:00"/>
    <m/>
    <s v="N/A"/>
    <s v="N/A"/>
    <s v="Publicación Acuerdo CORE N°6.514"/>
    <m/>
    <m/>
    <n v="200000000"/>
    <n v="24275000"/>
    <n v="15536000"/>
    <m/>
    <n v="239811000"/>
  </r>
  <r>
    <x v="0"/>
    <x v="32"/>
    <x v="3"/>
    <s v="FIC O'Higgins 2020"/>
    <s v="16-Rayentue  "/>
    <s v="Transferencia Manejo hídrico eficiente en frutales para nueva zona de riego"/>
    <s v="Producción  Vegetal"/>
    <x v="0"/>
    <s v="INIA"/>
    <x v="1"/>
    <n v="21"/>
    <d v="2020-06-30T00:00:00"/>
    <n v="202780000"/>
    <n v="15000000"/>
    <n v="0"/>
    <n v="2433360"/>
    <n v="30283000"/>
    <n v="250496360"/>
    <n v="10000000"/>
    <n v="0"/>
    <n v="36"/>
    <s v="No adjudicado"/>
    <s v="N/A"/>
    <d v="2020-10-16T00:00:00"/>
    <s v="no se da justificación"/>
    <s v="Publicación Acuerdo CORE N°6.514"/>
    <m/>
    <m/>
    <m/>
    <m/>
    <m/>
    <m/>
    <m/>
  </r>
  <r>
    <x v="5"/>
    <x v="33"/>
    <x v="9"/>
    <s v="X Concurso de Equipamiento Científico y Tecnológico-FONDEQUIP, Región de O’Higgins, año 2019"/>
    <s v="16-Rayentue, 20-Quilamapu, 13-La Cruz  "/>
    <s v="Desarrollo de una plataforma de análisis de fragmentos y secuencias de ADN para fortalecer el desarrollo científico y tecnológico de la Región de O'Higgins"/>
    <s v="Producción Vegetal"/>
    <x v="6"/>
    <s v="INIA"/>
    <x v="2"/>
    <s v="Sin Información"/>
    <d v="2019-11-07T00:00:00"/>
    <n v="90000000"/>
    <n v="3700000"/>
    <n v="0"/>
    <n v="4500000"/>
    <n v="22427400"/>
    <n v="120627400"/>
    <n v="0"/>
    <n v="0"/>
    <n v="18"/>
    <d v="2020-12-09T00:00:00"/>
    <m/>
    <s v="N/A"/>
    <s v="N/A"/>
    <s v="Res. Exento N°12525/2020"/>
    <s v="EQUR190005"/>
    <m/>
    <n v="90000000"/>
    <n v="1500000"/>
    <n v="26927400"/>
    <n v="0"/>
    <n v="118427400"/>
  </r>
  <r>
    <x v="5"/>
    <x v="33"/>
    <x v="10"/>
    <s v="Anillos de Investigación en Ciencia Y tecnología para la Región de O´Higgins 2019"/>
    <s v="16-Rayentué"/>
    <s v="Deep insight in the cherry plant defense responses to bacterial canker disease in a scenario of water restriction"/>
    <s v="Producción Vegetal"/>
    <x v="6"/>
    <s v="UOH"/>
    <x v="2"/>
    <s v="Sin Información"/>
    <d v="2019-11-07T00:00:00"/>
    <n v="112500000"/>
    <n v="0"/>
    <n v="0"/>
    <n v="0"/>
    <n v="57780300"/>
    <n v="170280300"/>
    <n v="0"/>
    <n v="0"/>
    <n v="36"/>
    <d v="2020-09-22T00:00:00"/>
    <m/>
    <s v="N/A"/>
    <s v="N/A"/>
    <s v="Res. Exenta N°10451/2020"/>
    <m/>
    <m/>
    <n v="32697647"/>
    <n v="0"/>
    <n v="57780349"/>
    <n v="0"/>
    <n v="90477996"/>
  </r>
  <r>
    <x v="0"/>
    <x v="34"/>
    <x v="2"/>
    <s v="VIII Concurso de Investigación Tecnológica 2019-IDeA  "/>
    <s v="16-Rayentue  "/>
    <s v="Validación de la tecnología de nanoburbujas en distintos niveles de la cadena de producción de fruta fresca  "/>
    <s v="Producción  Vegetal"/>
    <x v="0"/>
    <s v="INIA"/>
    <x v="3"/>
    <s v="Sin Información"/>
    <d v="2019-10-17T00:00:00"/>
    <n v="188241000"/>
    <n v="60000000"/>
    <n v="0"/>
    <n v="0"/>
    <n v="39556000"/>
    <n v="287797000"/>
    <n v="21850000"/>
    <n v="0"/>
    <n v="24"/>
    <s v="RECHAZADO"/>
    <s v="N/A"/>
    <d v="2020-01-17T00:00:00"/>
    <s v="Nota 2,6"/>
    <s v="Informe de Evaluación  recibido por mail"/>
    <m/>
    <m/>
    <m/>
    <m/>
    <m/>
    <m/>
    <m/>
  </r>
  <r>
    <x v="0"/>
    <x v="34"/>
    <x v="2"/>
    <s v="VIII Concurso de Investigación Tecnológica 2019-IDeA  "/>
    <s v="10-La Platina, 16-Rayentue, 20-Quilamapu, 30-Carillanca  "/>
    <s v="Nuevas herramientas de monitoreo de poblaciones de Pseudomonas syringae agente causal del cáncer bacterial en cerezos para apoyar sistemas integrados de control y reducir contaminación con Cu+2.  "/>
    <s v="Producción Vegetal"/>
    <x v="6"/>
    <s v="INIA"/>
    <x v="3"/>
    <m/>
    <d v="2019-10-17T00:00:00"/>
    <n v="229993000"/>
    <n v="3240000"/>
    <n v="94800000"/>
    <n v="0"/>
    <n v="107555000"/>
    <n v="435588000"/>
    <n v="26550000"/>
    <n v="0"/>
    <n v="24"/>
    <s v="RECHAZADO"/>
    <s v="N/A"/>
    <d v="2020-01-17T00:00:00"/>
    <s v=" Impacto Potencial Económico Social Y sustentabilidad"/>
    <s v="Informe de Evaluación  recibido por mail"/>
    <m/>
    <m/>
    <m/>
    <m/>
    <m/>
    <m/>
    <m/>
  </r>
  <r>
    <x v="5"/>
    <x v="35"/>
    <x v="1"/>
    <s v="FONDECYT DE POSTDOCTORADO 2020  "/>
    <s v="16-Rayentue, 15-Hidango, 20-Quilamapu, 14-Los Tilos  "/>
    <s v="DETERMINACIÓN DE LAS BASES FISIOLÓGICAS DE LA ADAPTACIÓN DE GENOTIPOS DE TRIGO CANDEAL DE INIA A CONDICIONES DE SEQUÍA EN EL SECANO MEDITERRÁNEO DE CHILE  "/>
    <s v="Producción Vegetal"/>
    <x v="16"/>
    <s v="INIA"/>
    <x v="2"/>
    <s v="Sin Información"/>
    <d v="2019-09-24T00:00:00"/>
    <n v="0"/>
    <n v="0"/>
    <n v="0"/>
    <n v="0"/>
    <n v="13262000"/>
    <m/>
    <n v="0"/>
    <n v="0"/>
    <n v="36"/>
    <d v="2020-03-12T00:00:00"/>
    <m/>
    <s v="N/A"/>
    <s v="N/A"/>
    <s v="Carta N°018/FONDECYT/UGC/189"/>
    <n v="3200742"/>
    <m/>
    <n v="0"/>
    <n v="0"/>
    <n v="13262000"/>
    <n v="0"/>
    <n v="13262000"/>
  </r>
  <r>
    <x v="0"/>
    <x v="36"/>
    <x v="0"/>
    <s v="Convocatoria Nacional Proyectos de Innovación 2019 FIA"/>
    <s v="16-RAYENTUE"/>
    <s v="Bioinmunizador microbiano endófito para el manejo agroecológico de la cebolla como estrategia para disminuir el uso de agroquímicos en el cultivo."/>
    <s v="Agrosistemas Sustentables"/>
    <x v="8"/>
    <s v="INIA"/>
    <x v="3"/>
    <m/>
    <d v="2019-09-23T00:00:00"/>
    <n v="120700000"/>
    <n v="2500000"/>
    <n v="0"/>
    <n v="0"/>
    <n v="68521024"/>
    <n v="191721024"/>
    <m/>
    <n v="0"/>
    <n v="48"/>
    <s v="RECHAZADO"/>
    <s v="N/A"/>
    <d v="2020-03-24T00:00:00"/>
    <s v="Solución planteada insuficiente"/>
    <s v="correo"/>
    <m/>
    <m/>
    <m/>
    <m/>
    <m/>
    <m/>
    <m/>
  </r>
  <r>
    <x v="0"/>
    <x v="37"/>
    <x v="11"/>
    <s v="Bienes Públicos 2019- Temática &quot;Adaptación al Cambio Climático&quot;  "/>
    <s v="16-RAYENTUE"/>
    <s v="Adaptación al manejo agronómico del cultivo de cerezo desarrollado bajo cubiertas plásticas"/>
    <s v="Producción  Vegetal"/>
    <x v="0"/>
    <s v="INIA"/>
    <x v="3"/>
    <s v="Sin Información"/>
    <d v="2019-08-30T00:00:00"/>
    <n v="100202000"/>
    <n v="15990000"/>
    <n v="0"/>
    <n v="5100000"/>
    <n v="17755000"/>
    <n v="139047000"/>
    <n v="121292000"/>
    <n v="0"/>
    <n v="36"/>
    <s v="RECHAZADO"/>
    <s v="N/A"/>
    <d v="2019-10-03T00:00:00"/>
    <s v="No es pertinente"/>
    <s v="Oficio N°02804"/>
    <s v="19BP-117383"/>
    <s v=" numeral 12.2 de las bases, se concluyó que su proyecto no cumplió_x000a_con todos los requisitos de dicho análisis y, por lo tanto, es no pertinente"/>
    <m/>
    <m/>
    <m/>
    <m/>
    <m/>
  </r>
  <r>
    <x v="0"/>
    <x v="38"/>
    <x v="12"/>
    <s v="Fondos 2020"/>
    <s v="16-RAYENTUE"/>
    <s v="Diseño Ampliación edificio INIA"/>
    <s v="No aplica"/>
    <x v="18"/>
    <s v="INIA"/>
    <x v="4"/>
    <s v="Sin Información"/>
    <d v="2019-08-05T00:00:00"/>
    <n v="12285000"/>
    <n v="0"/>
    <n v="0"/>
    <n v="0"/>
    <n v="0"/>
    <n v="12285000"/>
    <m/>
    <m/>
    <n v="10"/>
    <s v="NO SE SIGUIO CON LOS PROCESOS MOP, CORES, INTENDENTE"/>
    <s v="RS"/>
    <m/>
    <m/>
    <m/>
    <s v="Código BIP : 40013817"/>
    <m/>
    <m/>
    <m/>
    <m/>
    <m/>
    <n v="0"/>
  </r>
  <r>
    <x v="0"/>
    <x v="39"/>
    <x v="10"/>
    <s v="XXIII Concurso Nacional de Proyectos Explora para elaboración de productos de divulgación de las ciencias y la tecnología 2019 2020"/>
    <s v="16-RAYENTUE, 15-HIDANGO  "/>
    <s v="NATIVOAPP 2 0 Plataforma móvil y web para mapear e identificarflora nativa en Chile"/>
    <s v="Producción Vegetal"/>
    <x v="6"/>
    <s v="INIA"/>
    <x v="3"/>
    <m/>
    <d v="2019-06-26T00:00:00"/>
    <n v="30000000"/>
    <n v="0"/>
    <n v="0"/>
    <n v="0"/>
    <n v="7500000"/>
    <n v="37500000"/>
    <n v="30000000"/>
    <n v="0"/>
    <n v="12"/>
    <s v="RECHAZADO"/>
    <s v="N/A"/>
    <d v="2019-10-16T00:00:00"/>
    <s v="nota 4,09 no supera puntaje de corte 4,38"/>
    <s v="Oficio N°350"/>
    <m/>
    <m/>
    <m/>
    <m/>
    <m/>
    <m/>
    <m/>
  </r>
  <r>
    <x v="0"/>
    <x v="40"/>
    <x v="10"/>
    <s v="Concurso Regular Fondecyt 2020"/>
    <s v="14-LOS TILOS, 16-RAYENTUE, 10-LA PLATINA, 05-INTIHUASI  "/>
    <s v="Disentangling the epigenetic influence on fruit development and ripening in three stone fruits Prunus species"/>
    <s v="Producción  Vegetal"/>
    <x v="12"/>
    <s v="UCH"/>
    <x v="3"/>
    <s v="Sin Información"/>
    <d v="2019-06-04T00:00:00"/>
    <n v="3664000"/>
    <n v="0"/>
    <n v="0"/>
    <n v="0"/>
    <n v="9650000"/>
    <n v="13314000"/>
    <n v="0"/>
    <n v="0"/>
    <n v="48"/>
    <s v=" 21-12-2019"/>
    <m/>
    <s v="N/A"/>
    <s v="N/A"/>
    <s v="Respuesta enviada a UCH"/>
    <m/>
    <m/>
    <n v="3664000"/>
    <n v="0"/>
    <n v="9650000"/>
    <n v="0"/>
    <n v="13314000"/>
  </r>
  <r>
    <x v="0"/>
    <x v="41"/>
    <x v="10"/>
    <s v="PCI ECOS CONICYT Concurso de proyectos de intercambio Chile Francia 2019"/>
    <s v="14-LOS TILOS, 10-LA PLATINA, 16-RAYENTUE  "/>
    <s v="Collaborative counter season research efforts between France and Chile analysis of traits affected by climate change in sweet cherry in order to create new varieties adapted to future environmental conditions"/>
    <s v="Producción  Vegetal"/>
    <x v="12"/>
    <s v="INIA"/>
    <x v="3"/>
    <s v="Sin Información"/>
    <d v="2019-05-31T00:00:00"/>
    <n v="12900000"/>
    <n v="0"/>
    <n v="0"/>
    <n v="0"/>
    <n v="250000"/>
    <n v="15550000"/>
    <m/>
    <m/>
    <n v="36"/>
    <s v="RECHAZADO"/>
    <s v="N/A"/>
    <d v="2020-04-15T00:00:00"/>
    <m/>
    <m/>
    <m/>
    <m/>
    <m/>
    <m/>
    <m/>
    <m/>
    <m/>
  </r>
  <r>
    <x v="0"/>
    <x v="42"/>
    <x v="2"/>
    <s v="CONCURSO IDEA I+D 2019"/>
    <s v="16-RAYENTUE, 20-QUILAMAPU  "/>
    <s v="Plataforma de Información Epidemiologica para facilitar el control del Cáncer Bacterial en Cerezos"/>
    <s v="Producción Vegetal"/>
    <x v="6"/>
    <s v="INIA"/>
    <x v="3"/>
    <m/>
    <d v="2019-03-28T00:00:00"/>
    <n v="200000000"/>
    <n v="0"/>
    <n v="51600000"/>
    <n v="0"/>
    <n v="86400000"/>
    <n v="338000000"/>
    <m/>
    <m/>
    <n v="24"/>
    <s v="RECHAZADO"/>
    <s v="N/A"/>
    <d v="2019-06-28T00:00:00"/>
    <s v="Nota 2,6"/>
    <s v="Informe de Evaluación  recibido por mail"/>
    <s v="ID 19110375"/>
    <m/>
    <m/>
    <m/>
    <m/>
    <m/>
    <m/>
  </r>
  <r>
    <x v="0"/>
    <x v="43"/>
    <x v="10"/>
    <s v="Concurso Postdoctorado 2019"/>
    <s v="16-RAYENTUE"/>
    <s v="INTERACCIÓN G X E DE CARACTERES MORFO-FISIOLÓGICOS DE ADAPTACIÓN A CONDICIONES DE SEQUÍA Y SU EFECTO EN LA DETERMINACIÓN DEL RENDIMIENTO EN TRIGO CANDEAL._x000a_Marcela Opazo - opazo.marcela@gmail.com"/>
    <s v="Producción  Vegetal"/>
    <x v="16"/>
    <s v="INIA"/>
    <x v="3"/>
    <s v="Sin Información"/>
    <d v="2018-10-23T00:00:00"/>
    <n v="0"/>
    <m/>
    <n v="17000000"/>
    <n v="17000000"/>
    <n v="0"/>
    <m/>
    <m/>
    <m/>
    <n v="36"/>
    <s v="RECHAZADO"/>
    <s v="CARTA DIRIGIDA A MARCELA OPAZO, INVESTIGADORA PPAL."/>
    <d v="2019-03-11T00:00:00"/>
    <s v="QUEDARON ABAJO DEL PUNTAJE DE CORTE"/>
    <m/>
    <m/>
    <m/>
    <m/>
    <m/>
    <m/>
    <m/>
    <m/>
  </r>
  <r>
    <x v="0"/>
    <x v="44"/>
    <x v="1"/>
    <s v="Concurso Regular Fondecyt 2019"/>
    <s v="16-RAYENTUE"/>
    <s v="HYDRAULIC MECHANISMS AND CARBON METABOLISM IN THE ADAPTATION OF WHEAT TO CONDITIONS OF CLIMATE CHANGE IN SEVERE DROUGHT MEDITERRANEAN ENVIRONMENTS/ MECANISMOS HIDRAULICOS Y DE METABOLISMO DEL CARBONO EN LA ADAPTACION DEL CULTIVO DE TRIGO A CONDICIONES DE CAMBIO CLIMÁTICO EN AMBIENTES DE SEQUIA SEVERA DE TIPO MEDITERRANEO"/>
    <s v="Producción Vegetal"/>
    <x v="16"/>
    <s v="U. Chile"/>
    <x v="3"/>
    <s v="Sin Información"/>
    <d v="2018-09-04T00:00:00"/>
    <n v="25400000"/>
    <m/>
    <n v="10000000"/>
    <n v="35400000"/>
    <m/>
    <m/>
    <m/>
    <m/>
    <n v="48"/>
    <s v="RECHAZADO"/>
    <s v="carta N°018/Fondecyt/22"/>
    <d v="2019-03-19T00:00:00"/>
    <s v="puntaje"/>
    <m/>
    <m/>
    <m/>
    <m/>
    <m/>
    <m/>
    <m/>
    <m/>
  </r>
  <r>
    <x v="0"/>
    <x v="45"/>
    <x v="0"/>
    <s v="Convocatoria Nacional Giras Nacionales para la Innovación de la Pequeña Agricultura 2018"/>
    <s v="16-RAYENTUE"/>
    <s v="Adquisición de conocimientos en el control biológico de plagas y enfermedades en las principales hortalizas de la región de O´higgins."/>
    <s v="Agrosistemas Sustentables"/>
    <x v="8"/>
    <s v="INIA"/>
    <x v="3"/>
    <m/>
    <d v="2018-08-08T00:00:00"/>
    <n v="2325000"/>
    <m/>
    <n v="1053324"/>
    <n v="3578324"/>
    <n v="0"/>
    <m/>
    <m/>
    <m/>
    <m/>
    <s v="RECHAZADO"/>
    <s v="Carta FIA 2701"/>
    <d v="2018-09-12T00:00:00"/>
    <s v="FF DECIDIO NO APROBAR"/>
    <m/>
    <m/>
    <m/>
    <m/>
    <m/>
    <m/>
    <m/>
    <m/>
  </r>
  <r>
    <x v="6"/>
    <x v="46"/>
    <x v="13"/>
    <s v="Fondos 2019"/>
    <s v="16-Rayentué"/>
    <s v="Tranferencia Control Mostaza negra -El Loa"/>
    <s v="Agrosistemas Sustentables"/>
    <x v="8"/>
    <s v="INIA"/>
    <x v="2"/>
    <s v="Sin Información"/>
    <d v="2018-07-10T00:00:00"/>
    <n v="1028356000"/>
    <n v="0"/>
    <n v="29540000"/>
    <n v="0"/>
    <n v="70754000"/>
    <n v="1128650000"/>
    <n v="48969000"/>
    <m/>
    <n v="36"/>
    <s v=" 17-09-2019"/>
    <m/>
    <s v="N/A"/>
    <s v="N/A"/>
    <s v="Acuerdo CORE 15352-19"/>
    <s v="Cod. BIP. 40002794-0"/>
    <m/>
    <n v="1028356000"/>
    <n v="29540000"/>
    <n v="70754000"/>
    <n v="0"/>
    <n v="1128650000"/>
  </r>
  <r>
    <x v="0"/>
    <x v="47"/>
    <x v="1"/>
    <s v="Otros Concursos de alcance nacional o regional 2018  "/>
    <s v="16-RAYENTUE"/>
    <s v="Identificación de marcadores moleculares asociados a la determinación del sexo en maqui A chilensis y su ubicación a nivel cromosómico"/>
    <s v="Producción Vegetal"/>
    <x v="6"/>
    <s v="UNIVERSIDAD AUTONOMA"/>
    <x v="3"/>
    <m/>
    <m/>
    <n v="41400000"/>
    <m/>
    <n v="33900000"/>
    <n v="76692000"/>
    <n v="0"/>
    <m/>
    <m/>
    <m/>
    <n v="48"/>
    <s v="RECHAZADO"/>
    <s v="CARTA RECIBIDA POR EL INVESTIGADOR PPAL"/>
    <d v="2019-01-04T00:00:00"/>
    <s v="POR C.V. DE LOS PROFESIONALES"/>
    <m/>
    <m/>
    <m/>
    <m/>
    <m/>
    <m/>
    <m/>
    <m/>
  </r>
  <r>
    <x v="0"/>
    <x v="47"/>
    <x v="0"/>
    <s v="Otros Concursos de alcance nacional o regional 2018  "/>
    <s v="16-RAYENTUE"/>
    <s v="Captura de conocimientos y experiencias en el manejo sustentable del cultivo del tomate"/>
    <s v="Agrosistemas Sustentables"/>
    <x v="8"/>
    <s v="INIA"/>
    <x v="3"/>
    <m/>
    <m/>
    <n v="4987260"/>
    <m/>
    <n v="1672024"/>
    <n v="6659284"/>
    <n v="0"/>
    <m/>
    <m/>
    <m/>
    <m/>
    <s v="RECHAZADO"/>
    <s v="N/A"/>
    <d v="2018-09-10T00:00:00"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  <r>
    <x v="0"/>
    <x v="48"/>
    <x v="14"/>
    <m/>
    <m/>
    <m/>
    <m/>
    <x v="19"/>
    <m/>
    <x v="5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">
  <r>
    <x v="0"/>
    <s v="FIA Asignacion Directa"/>
    <s v="16-Rayentue  "/>
    <s v="Desarrollo de soluciones técnicas de manejo sustentable de suelos, agua y cultivos, para mejorar la situación post incendios forestales en predios de agricultores del área de secano de la región de O`Higgins y mitigar la problemática del cambio climático"/>
    <s v="Agrosistemas Sustentables"/>
    <x v="0"/>
    <s v="INIA"/>
    <x v="0"/>
    <x v="0"/>
    <s v="SI"/>
    <s v="Si"/>
    <m/>
  </r>
  <r>
    <x v="1"/>
    <s v="FONTAGRO"/>
    <s v="16-Rayentue  "/>
    <s v="Agtechmetro"/>
    <s v="Agrosistemas Sustentables"/>
    <x v="1"/>
    <s v="U. AUSTRAL"/>
    <x v="0"/>
    <x v="1"/>
    <s v="SI"/>
    <s v="RECHAZADO"/>
    <m/>
  </r>
  <r>
    <x v="2"/>
    <s v="Súmate a Innovar - INNOVA-CORFO "/>
    <s v="16-Rayentue  "/>
    <s v="Efecto de la humidificación durante la cosecha de paltas para mejorar la condición de la fruta post-frío  "/>
    <s v="Producción  Vegetal"/>
    <x v="2"/>
    <s v="INIA"/>
    <x v="0"/>
    <x v="2"/>
    <s v="NO"/>
    <s v="NO APLICA"/>
    <s v="No se realiza postulación porque la empresa interesada no puede realizar el aporte por la situación económica causada por COVID-19"/>
  </r>
  <r>
    <x v="3"/>
    <s v="Anillos de Investigacion en Ciencia Y tecnolog a para la Regi n de O Higgins 2019"/>
    <s v="16-RAYENTUE, 20-QUILAMAPU, 13-LA CRUZ "/>
    <s v="Deep insight in the cherry plant defense responses tobacterial canker disease in a scenario of water restriction"/>
    <s v="Producción  Vegetal"/>
    <x v="3"/>
    <s v="UOH"/>
    <x v="0"/>
    <x v="2"/>
    <s v="SI"/>
    <s v="NO APLICA"/>
    <m/>
  </r>
  <r>
    <x v="3"/>
    <s v="X Concurso de Equipamiento Cientifico y Tecnologico FONDEQUIP Regi n de O Higgins a o 2019"/>
    <s v="16-RAYENTUE, 20-QUILAMAPU, 13-LA CRUZ "/>
    <s v="Desarrollo de una plataforma de análisis de fragmentos y secuencias de ADN para fortalecer el desarrollo científico y tecnológico de la Región de O Higgins"/>
    <s v="Producción  Vegetal"/>
    <x v="3"/>
    <s v="INIA"/>
    <x v="0"/>
    <x v="3"/>
    <s v="SI"/>
    <s v="NO APLICA"/>
    <m/>
  </r>
  <r>
    <x v="4"/>
    <s v="X Concurso de Equipamiento Cient fico y Tecnol gico FONDEQUIP Regi n de O Higgins a o 2019"/>
    <s v="16-Rayentue  "/>
    <s v="Fortalecimiento y ampliación de un laboratorio de física de suelos y riego para su consolidación en la investigación y servicios en la región de O Higgins"/>
    <s v="Agrosistemas Sustentables"/>
    <x v="0"/>
    <s v="INIA"/>
    <x v="0"/>
    <x v="4"/>
    <s v="NO"/>
    <s v="NO APLICA"/>
    <m/>
  </r>
  <r>
    <x v="5"/>
    <s v="Convocatoria Nacional Proyectos de Innovación 2019 FIA"/>
    <s v="10-La Platina, 16-Rayentue, 20-Quilamapu, 30-Carillanca  "/>
    <s v="Conociendo la dinámica poblacional de Pseudomonas syringae para un control mas efectivo y sustentable del cáncer bacterial en Cerezos en Chile"/>
    <s v="Producción  Vegetal"/>
    <x v="3"/>
    <s v="INIA"/>
    <x v="0"/>
    <x v="3"/>
    <s v="NO"/>
    <s v="NO APLICA"/>
    <m/>
  </r>
  <r>
    <x v="5"/>
    <s v="Convocatoria Nacional Proyectos de Innovación 2019 FIA"/>
    <s v="16-Rayentue, 20-Quilamapu  "/>
    <s v="Bioinmunizador microbiano endófito para el manejo agroecológico de la cebolla como estrategia para disminuir el uso de agroquímicos en el cultivo."/>
    <s v="Agrosistemas Sustentables"/>
    <x v="4"/>
    <s v="INIA"/>
    <x v="0"/>
    <x v="2"/>
    <s v="SI"/>
    <s v="RECHAZADO"/>
    <s v="NO APARECE EN LA LISTA DE PROYECTOS QUE PASARON LA 1° ETAPA"/>
  </r>
  <r>
    <x v="6"/>
    <s v="Convocatoria Nacional Proyectos de Innovación 2019 FIA"/>
    <s v="16-Rayentue  "/>
    <s v="Manejos sustentables para enfrentar un escenario de sequía en huertos frutales"/>
    <s v="Producción  Vegetal"/>
    <x v="2"/>
    <s v="INIA"/>
    <x v="0"/>
    <x v="3"/>
    <s v="NO"/>
    <s v="NO APLICA"/>
    <m/>
  </r>
  <r>
    <x v="7"/>
    <s v="FONDECYT DE POSTDOCTORADO 2020"/>
    <s v="16-Rayentue, 15-Hidango, 20-Quilamapu, 14-Los Tilos  "/>
    <s v="DETERMINACIÓN DE LAS BASES FISIOLÓGICAS DE LA ADAPTACIÓN DE GENOTIPOS DE TRIGO CANDEAL DE INIA A CONDICIONES DE SEQUÍA EN EL SECANO MEDITERRÁNEO DE CHILE"/>
    <s v="Producción  Vegetal"/>
    <x v="5"/>
    <s v="INIA"/>
    <x v="0"/>
    <x v="2"/>
    <s v="SI"/>
    <s v="NO APLICA"/>
    <m/>
  </r>
  <r>
    <x v="7"/>
    <s v="VIII Concurso de Investigación Tecnológica 2019-IDeA"/>
    <s v="16-Rayentue "/>
    <s v="Validación de la tecnología de nanoburbujas en distintos niveles de la cadena de producción de fruta fresca"/>
    <s v="Producción  Vegetal"/>
    <x v="2"/>
    <s v="INIA"/>
    <x v="0"/>
    <x v="2"/>
    <s v="SI"/>
    <s v="NO APLICA"/>
    <m/>
  </r>
  <r>
    <x v="7"/>
    <s v="VIII Concurso de Investigación Tecnológica 2019-IDeA"/>
    <s v="10-La Platina, 16-Rayentue, 20-Quilamapu, 30-Carillanca  "/>
    <s v="Nuevas herramientas de monitoreo de poblaciones de Pseudomonas syringae agente causal del cáncer bacterial en cerezos para apoyar sistemas integrados de control y reducir contaminación con Cu+2."/>
    <s v="Producción  Vegetal"/>
    <x v="3"/>
    <s v="INIA"/>
    <x v="0"/>
    <x v="2"/>
    <s v="SI"/>
    <s v="NO APLICA"/>
    <m/>
  </r>
  <r>
    <x v="8"/>
    <s v="Bienes Públicos 2019- Temática &quot;Adaptación al Cambio Climático&quot;"/>
    <s v="16-Rayentue  "/>
    <s v="Adaptación al manejo agronómico del cultivo de cerezo desarrollado bajo cubiertas plásticas"/>
    <s v="Producción  Vegetal"/>
    <x v="2"/>
    <s v="INIA"/>
    <x v="0"/>
    <x v="2"/>
    <s v="SI"/>
    <s v="NO APLICA"/>
    <s v="No es pertinente "/>
  </r>
  <r>
    <x v="9"/>
    <s v="Bienes Públicos 2019- Temática &quot;Adaptación al Cambio Climático&quot;"/>
    <s v="16-Rayentue  "/>
    <s v="Manejo de frutales ante un escenario de sequía en la región de O’Higgins"/>
    <s v="Producción  Vegetal"/>
    <x v="2"/>
    <s v="INIA"/>
    <x v="0"/>
    <x v="4"/>
    <s v="NO"/>
    <s v="NO APLICA"/>
    <m/>
  </r>
  <r>
    <x v="10"/>
    <s v="Bienes Públicos 2019- Temática &quot;Adaptación al Cambio Climático&quot;"/>
    <s v="16-Rayentue  "/>
    <s v="Generación de una línea base para el establecimiento frutal en el valle de Nilahue con disponibilidad de agua de riego a través del embalse Convento Viejo."/>
    <s v="Producción  Vegetal"/>
    <x v="2"/>
    <s v="INIA"/>
    <x v="0"/>
    <x v="4"/>
    <s v="NO"/>
    <s v="NO APLICA"/>
    <m/>
  </r>
  <r>
    <x v="11"/>
    <s v="Concurso Postdoctorado 2019"/>
    <s v="Rayentué"/>
    <s v="INTERACCIÓN G X E DE CARACTERES DE ADAPTACIÓN A CONDICIONES DE ESTRÉS HÍDRICO EN Y SU EFECTO SOBRE LA DETERMINACIÓN DEL RENDIMIENTO EN TRIGO CANDEAL"/>
    <s v="Producción  Vegetal"/>
    <x v="5"/>
    <s v="INIA"/>
    <x v="0"/>
    <x v="2"/>
    <s v="SI"/>
    <s v="RECHAZADO"/>
    <m/>
  </r>
  <r>
    <x v="11"/>
    <s v="Concurso Regular Fondecyt 2019"/>
    <s v="Rayentué"/>
    <s v="MECANISMOS HIDRAULICOS Y DE METABOLISMO DEL CARBONO EN LA ADAPTACION DEL CULTIVO DE TRIGO A CONDICIONES DE CAMBIO CLIMÁTICO EN AMBIENTES DE SEQUIA SEVERA DE TIPO MEDITERRANEO"/>
    <s v="Producción  Vegetal"/>
    <x v="5"/>
    <s v="INIA"/>
    <x v="0"/>
    <x v="2"/>
    <s v="NO"/>
    <s v="NO APLICA"/>
    <m/>
  </r>
  <r>
    <x v="12"/>
    <s v="XXIII Concurso Nacional de Proyectos Explora para elaboración de productos de divulgación de las ciencias y la tecnología 2019 2020"/>
    <s v="16-RAYENTUE, 15-HIDANGO  "/>
    <s v="NATIVOAPP 2 0 Plataforma móvil y web para mapear e identificarflora nativa en Chile"/>
    <s v="Producción  Vegetal"/>
    <x v="3"/>
    <s v="INIA"/>
    <x v="0"/>
    <x v="5"/>
    <s v="SI"/>
    <s v="RECHAZADO"/>
    <s v="no adjudicar la propuesta, debido a que la solución no está debidamente identiﬁcada"/>
  </r>
  <r>
    <x v="13"/>
    <s v="IX Concurso de Vinculación Ciencia Empresa"/>
    <s v="16-RAYENTUE, 01-DIRECCIÓN NACIONAL  "/>
    <s v="Vinculación Ciencia Empresa Una Plataforma Científico Técnica para enfrentar los desafíos ante el aumento de cobertura de riego del ECV Embalse Convento Viejo en la comuna de Marchigue"/>
    <s v="Producción  Vegetal"/>
    <x v="3"/>
    <s v="INIA"/>
    <x v="0"/>
    <x v="5"/>
    <s v="NO"/>
    <s v="NO APLICA"/>
    <s v="No alcanzo a presentarlo a la FF"/>
  </r>
  <r>
    <x v="14"/>
    <s v="Concurso Regular Fondecyt 2020"/>
    <s v="14-LOS TILOS, 16-RAYENTUE, 10-LA PLATINA, 05-INTIHUASI  "/>
    <s v="Disentangling the epigenetic influence on fruit development and ripening in three stone fruits Prunus species"/>
    <s v="Producción  Vegetal"/>
    <x v="6"/>
    <s v="U. de Chile"/>
    <x v="0"/>
    <x v="5"/>
    <s v="SI"/>
    <s v="APROBADO"/>
    <m/>
  </r>
  <r>
    <x v="15"/>
    <s v="PCI ECOS CONICYT Concurso de proyectos de intercambio Chile Francia 2019"/>
    <s v="14-LOS TILOS, 10-LA PLATINA, 16-RAYENTUE  "/>
    <s v="Collaborative counter season research efforts between France and Chile analysis of traits affected by climate change in sweet cherry in order to create new varieties adapted to future environmental conditions"/>
    <s v="Producción  Vegetal"/>
    <x v="6"/>
    <s v="INIA"/>
    <x v="0"/>
    <x v="5"/>
    <s v="SI"/>
    <s v="RECHAZADO"/>
    <m/>
  </r>
  <r>
    <x v="16"/>
    <s v="CONCURSO IDEA I+D 2019"/>
    <s v="16-Rayentue, 20-Quilamapu  "/>
    <s v="Plataforma de Información Epidemiologica para facilitar el control del Cáncer Bacterial en Cerezos"/>
    <s v="Producción  Vegetal"/>
    <x v="3"/>
    <s v="INIA"/>
    <x v="0"/>
    <x v="5"/>
    <s v="SI"/>
    <s v="RECHAZADO"/>
    <m/>
  </r>
  <r>
    <x v="17"/>
    <s v="Septimo Concurso de Investigaci n Tecnol gica 2018 IDeA"/>
    <s v="Rayentué"/>
    <s v="Plataforma de Información Epidemiologica para facilitar el control del Cáncer Bacterial en Cerezos"/>
    <s v="Producción  Vegetal"/>
    <x v="3"/>
    <s v="INIA"/>
    <x v="0"/>
    <x v="2"/>
    <s v="NO"/>
    <s v="NO APLICA"/>
    <s v="NO SE ALCANZO A POSTULAR"/>
  </r>
  <r>
    <x v="17"/>
    <s v="Otros Concursos de alcance nacional o regional 2018"/>
    <s v="Rayentué"/>
    <s v="Identificación de marcadores moleculares asociados a la determinación del sexo en maqui A chilensis y su ubicación a nivel cromosómico"/>
    <s v="Producción  Vegetal"/>
    <x v="3"/>
    <s v="INIA"/>
    <x v="0"/>
    <x v="4"/>
    <s v="SI"/>
    <s v="RECHAZADO"/>
    <m/>
  </r>
  <r>
    <x v="17"/>
    <s v="Otros Concursos de alcance nacional o regional 2018"/>
    <s v="Rayentué"/>
    <s v="Plataforma de Información Epidemiologica para facilitar el control del Cáncer Bacterial en Cerezos"/>
    <s v="Producción  Vegetal"/>
    <x v="3"/>
    <s v="INIA"/>
    <x v="0"/>
    <x v="4"/>
    <s v="NO"/>
    <s v="NO APLICA"/>
    <s v="NO SE ALCANZO A POSTULAR"/>
  </r>
  <r>
    <x v="17"/>
    <s v="FIA-Convocatoria Nacional Giras Nacionales para la Innovaci n de la Peque a Agricultura 2018"/>
    <s v="Rayentué"/>
    <s v="Adquisición de conocimientos en el control biológico de plagas y enfermedades en las principales hortalizas de la región de O higgins"/>
    <s v="Agrosistemas Sustentables"/>
    <x v="4"/>
    <s v="INIA"/>
    <x v="0"/>
    <x v="2"/>
    <s v="SI"/>
    <s v="RECHAZADO"/>
    <m/>
  </r>
  <r>
    <x v="17"/>
    <s v="Otros Concursos de alcance nacional o regional 2018"/>
    <s v="Rayentué"/>
    <s v="Captura de conocimientos y experiencias en el manejo sustentable del cultivo del tomate"/>
    <s v="Agrosistemas Sustentables"/>
    <x v="4"/>
    <s v="INIA"/>
    <x v="0"/>
    <x v="6"/>
    <s v="SI"/>
    <s v="RECHAZADO"/>
    <m/>
  </r>
  <r>
    <x v="18"/>
    <s v="Viraliza Eventos 2025"/>
    <s v="Rayentué"/>
    <s v="Viraliza Agro Tech O’Higgins (Viraliza Eventos 2025)"/>
    <s v="Programa Nacional de Agrosistemas Sustentables"/>
    <x v="7"/>
    <s v="UOH - Universidad de O'Higgins"/>
    <x v="1"/>
    <x v="7"/>
    <s v="SI"/>
    <m/>
    <s v="En concurso"/>
  </r>
  <r>
    <x v="19"/>
    <s v="Consultorías Regionales para la Innovación 2025"/>
    <s v="Rayentué"/>
    <s v="Gestión eficiente del agua de riego de Convento Viejo 2: diagnóstico de suelos, riego y cultivos en las comunas de Lolol, Pumanque y Marchigue"/>
    <s v="Programa Nacional de Agrosistemas Sustentables"/>
    <x v="8"/>
    <s v="INIA"/>
    <x v="2"/>
    <x v="7"/>
    <s v="SI"/>
    <m/>
    <s v="En concurso"/>
  </r>
  <r>
    <x v="19"/>
    <s v="Giras nacionales de innovación para Mujeres Agroinnovadoras 2025"/>
    <s v="Rayentué"/>
    <s v="Raíces femeninas: Gira agroecológica de mujeres transformadoras"/>
    <s v="Programa Nacional de Agrosistemas Sustentables"/>
    <x v="4"/>
    <s v="INIA"/>
    <x v="3"/>
    <x v="7"/>
    <s v="SI"/>
    <m/>
    <s v="En concurso"/>
  </r>
  <r>
    <x v="20"/>
    <s v="Startup Ciencia 2026"/>
    <s v="Rayentué"/>
    <s v="Optiriego Plus: Aceleramiento del desarrollo tecnológico y comercial del sensor Optiriego para optimizar el manejo del riego en uva vinífera (Startup Ciencia 2026)"/>
    <s v="Programa Nacional de Producción Vegetal"/>
    <x v="9"/>
    <s v="YUMMY TECH LIMITADA"/>
    <x v="4"/>
    <x v="7"/>
    <s v="SI"/>
    <m/>
    <s v="En concurso"/>
  </r>
  <r>
    <x v="21"/>
    <s v="IDeA I+D 2026"/>
    <s v="Rayentué"/>
    <s v="Desarrollo y validación de modelos de predicción genómica en cerezo para una selección anticipada y precisa de nuevas variedades"/>
    <s v="Programa Nacional de Producción Vegetal"/>
    <x v="6"/>
    <s v="UCHILE - Universidad de Chile"/>
    <x v="5"/>
    <x v="7"/>
    <s v="SI"/>
    <m/>
    <s v="En concurso"/>
  </r>
  <r>
    <x v="22"/>
    <s v="Convocatoria Nacional Proyectos de Innovación para el Agro 2025-2026 FIA-Propuesta completa"/>
    <s v="Rayentué"/>
    <s v="Herramienta digital para la inspección de pulverizadores hidroneumáticos utilizados en huertos frutales"/>
    <s v="Programa Nacional de Producción Vegetal"/>
    <x v="10"/>
    <s v="INIA"/>
    <x v="6"/>
    <x v="7"/>
    <s v="SI"/>
    <s v="NO APLICA"/>
    <s v="En concurso"/>
  </r>
  <r>
    <x v="22"/>
    <s v="Convocatoria Nacional Proyectos de Innovación para el Agro 2025-2026 FIA-Propuesta completa"/>
    <s v="Rayentué"/>
    <s v="Cuaderno de campo digital para chequeo de inspecciones y regulaciones de pulverizadores hidroneumáticos utilizado en frutales"/>
    <s v="Programa Nacional de Producción Vegetal"/>
    <x v="11"/>
    <s v="INIA"/>
    <x v="7"/>
    <x v="8"/>
    <s v="NO"/>
    <s v="NO APLICA"/>
    <s v="Perfil ingresado por error"/>
  </r>
  <r>
    <x v="22"/>
    <s v="Convocatoria Nacional Proyectos de Innovación para el Agro 2025-2026 FIA-Propuesta completa"/>
    <s v="Rayentué"/>
    <s v="Gestión sostenible del rendimiento y calidad del trigo en el secano interior de sequía severa en la Región de O'Higgins, aumentando la EUA y EUN."/>
    <s v="Programa Nacional de Producción Vegetal"/>
    <x v="12"/>
    <s v="UCHILE - Universidad de Chile"/>
    <x v="8"/>
    <x v="7"/>
    <s v="SI"/>
    <s v="NO APLICA"/>
    <s v="En concurso"/>
  </r>
  <r>
    <x v="22"/>
    <s v="Convocatoria Nacional Proyectos de Innovación para el Agro 2025-2026 FIA-Propuesta completa"/>
    <s v="Rayentué"/>
    <s v="Optimización del manejo y diseño de invernaderos hortícolas mediante una plataforma de monitoreo ambiental en la Región de O’Higgins"/>
    <s v="Programa Nacional de Producción Vegetal"/>
    <x v="9"/>
    <s v="INIA"/>
    <x v="9"/>
    <x v="7"/>
    <s v="SI"/>
    <s v="NO APLICA"/>
    <s v="En concurso"/>
  </r>
  <r>
    <x v="22"/>
    <s v="Convocatoria Nacional Proyectos de Innovación para el Agro 2025-2026 FIA-Propuesta completa"/>
    <s v="Rayentué"/>
    <s v="Estrategias para mitigar el daño por piel de lagarto en cerezas de exportación"/>
    <s v="Programa Nacional de Producción Vegetal"/>
    <x v="6"/>
    <s v="INIA"/>
    <x v="10"/>
    <x v="7"/>
    <s v="SI"/>
    <s v="NO APLICA"/>
    <s v="En concurso"/>
  </r>
  <r>
    <x v="22"/>
    <s v="Convocatoria Nacional Proyectos de Innovación para el Agro 2025-2026 FIA-Propuesta completa"/>
    <s v="Rayentué"/>
    <s v="Validación de un modelo de alerta preventiva contra los principales hongos de madera que afectan al cultivo del cerezo para mantener los estándares de calidad y competitividad en el mercado"/>
    <s v="Programa Nacional de Producción Vegetal"/>
    <x v="2"/>
    <s v="INIA"/>
    <x v="11"/>
    <x v="7"/>
    <s v="SI"/>
    <s v="NO APLICA"/>
    <s v="En concurso"/>
  </r>
  <r>
    <x v="23"/>
    <s v="Fondecyt Regular 2026"/>
    <s v="Rayentué"/>
    <s v="Disentangling the epigenetic influence on differentiation of fruit development between early and late varieties in sweet cherry (Prunus avium)"/>
    <s v="Programa Nacional de Producción Vegetal"/>
    <x v="6"/>
    <s v="UCHILE - Universidad de Chile"/>
    <x v="12"/>
    <x v="7"/>
    <s v="SI"/>
    <s v="NO APLICA"/>
    <s v="En concurso"/>
  </r>
  <r>
    <x v="23"/>
    <s v="Fondecyt Regular 2026"/>
    <s v="Rayentué"/>
    <s v="Improving salinity tolerance in ‘Old Limachino Tomato’ through grafting onto two clonal rootstocks derived from reciprocal interspecific crosses between cultivated and wild tomato genotypes"/>
    <s v="Programa Nacional de Producción Vegetal"/>
    <x v="9"/>
    <s v="INIA"/>
    <x v="13"/>
    <x v="7"/>
    <s v="SI"/>
    <s v="NO APLICA"/>
    <s v="En concurso"/>
  </r>
  <r>
    <x v="24"/>
    <s v="Crea y Valida 2025"/>
    <s v="Rayentué"/>
    <s v="Sensor Optiriego: Mejoras de un prototipo comercial de sensor portátil para la toma de decisiones del riego en tomate y uva vinífera mediante el monitoreo de variables fisiológicas de la planta y ambiente."/>
    <s v="Programa Nacional de Producción Vegetal"/>
    <x v="9"/>
    <s v="YUMMY TECH LIMITADA"/>
    <x v="14"/>
    <x v="9"/>
    <s v="NO"/>
    <m/>
    <s v="Empresa desiste de la postulación"/>
  </r>
  <r>
    <x v="25"/>
    <s v="Fondecyt de Iniciación en Investigación 2026"/>
    <s v="16-Rayentué"/>
    <s v="Identification of stable and heritable physiological traits for the selection of drought-tolerant quinoa (Chenopodium quinoa Willd.) genotypes under drought environments"/>
    <s v="Producción Vegetal"/>
    <x v="13"/>
    <s v="INIA"/>
    <x v="15"/>
    <x v="7"/>
    <s v="SI"/>
    <m/>
    <s v="En evaluación CNE"/>
  </r>
  <r>
    <x v="26"/>
    <s v="Concurso de Investigación Tecnológica IDeA 2025"/>
    <s v="16-Rayentué"/>
    <s v="GENERANDO INFORMACIÓN CLAVE PARA EL DESARROLLO DE ESTRATEGIAS SUSTENTABLES DE CONTROL DEL CANCER BACTERIAL EN CEREZOS: BASADOS EN LAS CARACTERÍSTICAS DE LA POBLACIÓN DEL AGENTE CAUSAL"/>
    <s v="Producción Vegetal"/>
    <x v="3"/>
    <s v="INIA"/>
    <x v="16"/>
    <x v="10"/>
    <s v="Si "/>
    <m/>
    <m/>
  </r>
  <r>
    <x v="27"/>
    <s v="Convocatoria Nacional Proyectos de Innovación para el agro con Énfasis Regional 2024-2025 FIA"/>
    <s v="16-Rayentué"/>
    <s v="Desarrollo de estrategias de riego deficitario controlado en diferentes variedades de cerezos y zonas agroclimáticas de Chile con baja disponibilidad hídrica."/>
    <s v="Programa Nacional de Agrosistemas Sustentables"/>
    <x v="8"/>
    <s v="INIA"/>
    <x v="17"/>
    <x v="10"/>
    <s v="SI"/>
    <s v="No"/>
    <m/>
  </r>
  <r>
    <x v="27"/>
    <s v="Convocatoria Nacional Proyectos de Innovación para el agro con Énfasis Regional 2024-2025 FIA"/>
    <s v="16-Rayentué"/>
    <s v="Empaquetamiento técnico y comercial de la primera variedad de cereza chilena para un mercado de alta exigencia en calidad"/>
    <s v="Producción Vegetal"/>
    <x v="2"/>
    <s v="INIA"/>
    <x v="18"/>
    <x v="0"/>
    <s v="SI"/>
    <m/>
    <m/>
  </r>
  <r>
    <x v="28"/>
    <s v="Fondo Regional para la Productividad y el Desarrollo (FRPD)- Región de O'Higgins 2024"/>
    <s v="16-Rayentué"/>
    <s v="Desarrollo de la agricultura urbana y periurbana como alternativa de desarrollo sostenible para la producción de alimentos en la Región de O`Higgins."/>
    <s v="Programa Nacional de Agrosistemas Sustentables"/>
    <x v="12"/>
    <s v="INIA"/>
    <x v="19"/>
    <x v="0"/>
    <s v="SI"/>
    <m/>
    <m/>
  </r>
  <r>
    <x v="28"/>
    <s v="Fondo Regional para la Productividad y el Desarrollo (FRPD)- Región de O'Higgins 2024"/>
    <s v="16-Rayentué"/>
    <s v="OptiVol: Una plataforma digital para la optimización de la pulverización hidroneumática utilizada en frutales de hoja caduca"/>
    <s v="Programa Nacional de Agrosistemas Sustentables"/>
    <x v="10"/>
    <s v="INIA"/>
    <x v="20"/>
    <x v="9"/>
    <s v="NO"/>
    <m/>
    <m/>
  </r>
  <r>
    <x v="28"/>
    <s v="Fondo Regional para la Productividad y el Desarrollo (FRPD)- Región de O'Higgins 2024"/>
    <s v="16-Rayentué"/>
    <s v="Transferencia de un paquete tecnológico para el control de ataques de depredadores en ovinos del secano costero de O’Higgins."/>
    <s v="Programa Nacional de Producción Animal"/>
    <x v="14"/>
    <s v="INIA"/>
    <x v="21"/>
    <x v="0"/>
    <s v="SI"/>
    <m/>
    <m/>
  </r>
  <r>
    <x v="29"/>
    <s v="Fondo Regional para la Productividad y el Desarrollo (FRPD)- Región de O'Higgins 2024"/>
    <s v="16-Rayentué"/>
    <s v="Transferencia del diagnóstico y manejo integrado de enfermedades del almendro: estrategias innovadoras para aumentar la competitividad del cultivo en la región de ohiggins"/>
    <s v="Programa Nacional de Agrosistemas Sustentables"/>
    <x v="15"/>
    <s v="INIA"/>
    <x v="22"/>
    <x v="0"/>
    <m/>
    <m/>
    <m/>
  </r>
  <r>
    <x v="29"/>
    <s v="Fondo Regional para la Productividad y el Desarrollo (FRPD)- Región de O'Higgins 2024"/>
    <s v="16-Rayentué"/>
    <s v="Biofábricas en la región de O´Higgins, una alternativa a la producción de agroinsumos con visión agroecológica"/>
    <s v="Programa Nacional de Agrosistemas Sustentables"/>
    <x v="4"/>
    <s v="INIA"/>
    <x v="23"/>
    <x v="10"/>
    <s v="SI"/>
    <m/>
    <m/>
  </r>
  <r>
    <x v="29"/>
    <s v="Fondo Regional para la Productividad y el Desarrollo (FRPD)- Región de O'Higgins 2024"/>
    <s v="16-Rayentué"/>
    <s v="Sistema de detección y alerta en tiempo real para el control preventivo y oportuno de las principales enfermedades de madera  que afectan a los frutales de carozo"/>
    <s v="Programa Nacional de Agrosistemas Sustentables"/>
    <x v="16"/>
    <s v="INIA"/>
    <x v="24"/>
    <x v="0"/>
    <s v="SI"/>
    <m/>
    <s v="En concurso"/>
  </r>
  <r>
    <x v="30"/>
    <s v="Red de Fomento Sostenible-1º Convocatoria 2024-Sector Agricultura"/>
    <s v="16-Rayentué"/>
    <s v="“RedFrutiT: Red de innovación tecnológica para una fruticultura sustentable y resiliente en Chile” (Red de Fomento Sostenible-1º Convocatoria 2024-Sector Agricultura)"/>
    <s v="Producción Vegetal"/>
    <x v="2"/>
    <s v="UC DAVIS CHILE - FUNDACION UC DAVIS CHILE LIFE SCIENCES INNOVATION CENTER"/>
    <x v="25"/>
    <x v="10"/>
    <s v="SI"/>
    <s v="No"/>
    <s v="Se ha solicitado por correo los papeles a la ejecutora principal para cerrar el proceso ya que se sabe que no fue adjudicado"/>
  </r>
  <r>
    <x v="31"/>
    <s v="IDeA I+D 2025"/>
    <s v="16-Rayentué"/>
    <s v="Desarrollo de un sistema de producción de plantas de tomate injertadas sobre portainjertos clonales originados por cruzamientos interespecíficos (S. lycopersicum x S. chilense) para mejorar la productividad y calidad de tomate fresco."/>
    <s v="Producción Vegetal"/>
    <x v="9"/>
    <s v="INIA"/>
    <x v="26"/>
    <x v="7"/>
    <s v="SI"/>
    <m/>
    <m/>
  </r>
  <r>
    <x v="32"/>
    <s v="Fondecyt Regular 2025"/>
    <s v="16-Rayentué"/>
    <s v="Improving salt tolerance of “Old Limachino Tomato” by using two clonal rootstocks issued from interspecific reciprocal crosses between wild and cultivated tomato, with different level of salt tolerance."/>
    <s v="Producción Vegetal"/>
    <x v="9"/>
    <s v="INIA"/>
    <x v="27"/>
    <x v="10"/>
    <s v="SI"/>
    <s v="No"/>
    <m/>
  </r>
  <r>
    <x v="33"/>
    <s v="Fondecyt Regular 2025"/>
    <s v="16-Rayentué"/>
    <s v="Disentangling the epigenetic influence on differentiation of fruit development between early and late varieties in sweet cherry (Prunus avium) (FONDECYT REGULAR)"/>
    <s v="Producción Vegetal"/>
    <x v="6"/>
    <s v="INIA"/>
    <x v="28"/>
    <x v="10"/>
    <s v="SI"/>
    <s v="No"/>
    <m/>
  </r>
  <r>
    <x v="34"/>
    <s v="Fondecyt Regular 2025"/>
    <s v="16-Rayentué"/>
    <s v="Understanding the genetics related to orange peel disorder in sweet cherry (Prunus avium L.)"/>
    <s v="Producción Vegetal"/>
    <x v="6"/>
    <s v="INIA"/>
    <x v="29"/>
    <x v="10"/>
    <s v="SI"/>
    <s v="No"/>
    <m/>
  </r>
  <r>
    <x v="35"/>
    <s v="Convocatoria Nacional Proyectos de Innovación-Interés Privado o Bienes Públicos- para el Agro 2024 (Propuesta completa)"/>
    <s v="16-Rayentué"/>
    <s v="Desarrollo de un paquete agronómico para una línea avanzada de cerezo adaptada al cambio climático: la primera variedad de la especie creada 100% en Chile"/>
    <s v="Producción Vegetal"/>
    <x v="6"/>
    <s v="INIA"/>
    <x v="30"/>
    <x v="11"/>
    <s v="NO"/>
    <m/>
    <m/>
  </r>
  <r>
    <x v="36"/>
    <s v="Fondecyt de Iniciación en Investigación 2025"/>
    <s v="16-Rayentué"/>
    <s v="A comprehensive analysis of the phenotypic plasticity of key traits for selecting quinoa genotypes (Chenopodium quinoa Willd.) under contrasting environments"/>
    <s v="Producción Vegetal"/>
    <x v="13"/>
    <s v="INIA"/>
    <x v="31"/>
    <x v="10"/>
    <s v="SI"/>
    <s v="No"/>
    <m/>
  </r>
  <r>
    <x v="37"/>
    <s v="Instrumentos Complementarios FIA: Giras Nacionales para la Innovación 2024"/>
    <s v="16-Rayentué"/>
    <s v="Visita a experiencias de cooperativas exitosas en la Región de Los Lagos, con productores ovinos del secano costero de la Región de O'Higgins."/>
    <s v="Programa Nacional de Producción Animal"/>
    <x v="14"/>
    <s v="INIA"/>
    <x v="32"/>
    <x v="10"/>
    <s v="SI"/>
    <s v="No"/>
    <m/>
  </r>
  <r>
    <x v="38"/>
    <s v="Crea y Valida Foco en Sostenibilidad 2023"/>
    <s v="16-Rayentué"/>
    <s v="Desarrollo de un agente antifúngico a partir de saponinas presentes en líneas avanzadas de quínoas chilenas"/>
    <s v="Producción Vegetal"/>
    <x v="13"/>
    <s v="TECNOLOGIA EN FENOMICA DE PLANTAS LIMITADA"/>
    <x v="33"/>
    <x v="11"/>
    <s v="NO"/>
    <m/>
    <m/>
  </r>
  <r>
    <x v="39"/>
    <s v="Concurso Startup Ciencia 2024 (2º llamado 2023)"/>
    <s v="16-Rayentué"/>
    <s v="Desarrollo de un sensor portátil (Optiriego) que optimiza el manejo de riego en tomates y uva vinífera"/>
    <s v="Producción Vegetal"/>
    <x v="9"/>
    <s v="YUMMY FRUIT SPA"/>
    <x v="34"/>
    <x v="0"/>
    <s v="SI"/>
    <s v="Si"/>
    <m/>
  </r>
  <r>
    <x v="40"/>
    <s v="Convocatoria Nacional FIA 2023-2024 &quot;Proyectos de Innovación en Sistemas Alimentarios Sostenibles&quot;"/>
    <s v="16-Rayentué"/>
    <s v="Diversificación floral con especies nativas y cultivos tradicionales con riego tecnificado, mejorando la disponibilidad de alimento en Apis melífera."/>
    <s v="Agrosistemas Sustentables"/>
    <x v="8"/>
    <s v="INIA"/>
    <x v="35"/>
    <x v="10"/>
    <s v="SI"/>
    <s v="No"/>
    <s v="Comunicación no pertinente 09-11-2023"/>
  </r>
  <r>
    <x v="41"/>
    <s v="FIC O'Higgins 2023"/>
    <s v="16-Rayentué"/>
    <s v="Desarrollo de soluciones técnicas para la recuperación de suelos y cultivos en terrenos afectados por desborde de ríos e inundaciones, en la pequeña y mediana agricultura en las comunas de Coltauco y San Vicente, Región de O’Higgins"/>
    <s v="Agrosistemas Sustentables"/>
    <x v="0"/>
    <s v="INIA"/>
    <x v="36"/>
    <x v="10"/>
    <s v="SI"/>
    <s v="No"/>
    <s v="No admitido por bases (faltó documentación)"/>
  </r>
  <r>
    <x v="41"/>
    <s v="FIC O'Higgins 2023"/>
    <s v="16-Rayentué"/>
    <s v="Transferencia tecnológica y revalorización de vides criollas y productos derivados con tradición patrimonial campesina para la Región de O'Higgins"/>
    <s v="Producción Vegetal"/>
    <x v="3"/>
    <s v="INIA"/>
    <x v="37"/>
    <x v="0"/>
    <s v="SI"/>
    <s v="Si"/>
    <s v="Comunicación de adjudicación 14-11-2023"/>
  </r>
  <r>
    <x v="41"/>
    <s v="FIC O'Higgins 2023"/>
    <s v="16-Rayentué"/>
    <s v="Semillero colaborativo regional de variedades tradicionales INIA, en la comuna de San Vicente"/>
    <s v="Producción Vegetal"/>
    <x v="4"/>
    <s v="INIA"/>
    <x v="38"/>
    <x v="10"/>
    <s v="SI"/>
    <s v="No"/>
    <m/>
  </r>
  <r>
    <x v="41"/>
    <s v="FIC O'Higgins 2023"/>
    <s v="16-Rayentué"/>
    <s v="Biofiltros domiciliarios para la utilización de aguas grises con riego tecnificado para la pequeña agricultura en las comunas de Pumanque, Navidad y Pichilemu"/>
    <s v="Agrosistemas Sustentables"/>
    <x v="8"/>
    <s v="INIA"/>
    <x v="39"/>
    <x v="10"/>
    <s v="SI"/>
    <s v="No"/>
    <s v="No admitido por bases (faltó documentación)"/>
  </r>
  <r>
    <x v="41"/>
    <s v="FONTAGRO 2023"/>
    <s v="16-Rayentué"/>
    <s v="Diversificación de productos funcionales de quinua para contribuir a la seguridad alimentaria"/>
    <s v="Producción Vegetal"/>
    <x v="13"/>
    <s v="UNAL - Universidad Nacional de Colombia- Colombia"/>
    <x v="40"/>
    <x v="10"/>
    <s v="SI"/>
    <s v="No"/>
    <m/>
  </r>
  <r>
    <x v="41"/>
    <s v="FIA"/>
    <s v="16-Rayentué"/>
    <s v="Desarrollo de un potencial agente antifúngico a partir de saponinas presentes en líneas avanzadas de quínoa"/>
    <s v="Producción Vegetal"/>
    <x v="13"/>
    <s v="Tecnofen"/>
    <x v="41"/>
    <x v="10"/>
    <s v="SI"/>
    <s v="No"/>
    <m/>
  </r>
  <r>
    <x v="42"/>
    <s v="FONDECYT 2024"/>
    <s v="16-Rayentué"/>
    <s v="Disentangling the epigenetic influence on differentiation of fruit development between early and late varieties in sweet cherry (Prunus avium)"/>
    <s v="Producción Vegetal"/>
    <x v="6"/>
    <s v="Universidad de Chile"/>
    <x v="42"/>
    <x v="10"/>
    <s v="SI"/>
    <s v="No"/>
    <m/>
  </r>
  <r>
    <x v="43"/>
    <s v="Anillos de Investigación en Áreas Temáticas Específicas 2023"/>
    <s v="16-Rayentué"/>
    <s v="Plant Abiotic Stress tolerance for a Sustainable Agriculture (PASSA): Molecular Strategies for improving Plant Tolerance to drought and salinity"/>
    <s v="Producción Vegetal"/>
    <x v="9"/>
    <s v="Universidad de Chile"/>
    <x v="43"/>
    <x v="10"/>
    <s v="SI"/>
    <s v="No"/>
    <m/>
  </r>
  <r>
    <x v="44"/>
    <s v="Concurso de Investigación Tecnológica IDeA 2023 (apertura 2022)"/>
    <s v="16-Rayentué"/>
    <s v="Validación en huertos comerciales de selecciones avanzadas de cerezos de distintos programas de mejoramiento genético de Chile y del extranjero"/>
    <s v="Producción Vegetal"/>
    <x v="6"/>
    <s v="Universidad de Talca"/>
    <x v="44"/>
    <x v="11"/>
    <s v="NO"/>
    <s v="No"/>
    <m/>
  </r>
  <r>
    <x v="45"/>
    <s v="FONDECYT Iniciación 2024"/>
    <s v="16-Rayentué"/>
    <s v="A comprehensive characterization of physiological and agronomic traits for detecting keystones to select quinoa (Chenopodium quinoa Willd.) genotypes under adverse environments"/>
    <s v="Producción Vegetal"/>
    <x v="13"/>
    <s v="INIA"/>
    <x v="45"/>
    <x v="10"/>
    <s v="SI"/>
    <s v="No"/>
    <m/>
  </r>
  <r>
    <x v="46"/>
    <s v="FIA 2022-2023"/>
    <s v="16-Rayentué"/>
    <s v="Plataforma interactiva para el desarrollo de mejoras en el control de plagas en cultivo de cítricos a través de la pulverización hidroneumática"/>
    <s v="Agrosistemas Sustentables"/>
    <x v="10"/>
    <s v="INIA"/>
    <x v="46"/>
    <x v="0"/>
    <s v="SI"/>
    <s v="Si"/>
    <s v="Aprobado"/>
  </r>
  <r>
    <x v="46"/>
    <s v="FIA 2022-2023"/>
    <s v="16-Rayentué"/>
    <s v="Caracterización y evaluación de suelos de predios de la pequeña agricultura para su incorporación a la producción de rubros de mayor rentabilidad como la fruticultura y horticultura"/>
    <s v="Agrosistemas Sustentables"/>
    <x v="0"/>
    <s v="INIA"/>
    <x v="47"/>
    <x v="3"/>
    <s v="NO"/>
    <m/>
    <m/>
  </r>
  <r>
    <x v="46"/>
    <s v="FIA 2022-2023"/>
    <s v="16-Rayentué"/>
    <s v="Control y prevención de los incendios forestales con ovinos para mitigar los efectos del cambio climático."/>
    <s v="Producción Animal"/>
    <x v="14"/>
    <s v="INIA"/>
    <x v="48"/>
    <x v="3"/>
    <s v="NO"/>
    <m/>
    <m/>
  </r>
  <r>
    <x v="46"/>
    <s v="FIA 2022-2023"/>
    <s v="16-Rayentué"/>
    <s v="Nuevas estrategias de riego para el cultivo del nogal injertado sobre portainjertos clonales"/>
    <s v="Producción Vegetal"/>
    <x v="2"/>
    <s v="INIA"/>
    <x v="49"/>
    <x v="0"/>
    <s v="SI"/>
    <s v="Si"/>
    <s v="Aprobado"/>
  </r>
  <r>
    <x v="47"/>
    <s v="FIC"/>
    <s v="16-Rayentué"/>
    <s v="Transferencia de la caracterización y evaluación de suelos de predios de la pequeña agricultura para su incorporación a la producción de rubros de mayor rentabilidad como la fruticultura y horticultura"/>
    <s v="Agrosistemas Sustentables"/>
    <x v="0"/>
    <s v="INIA"/>
    <x v="50"/>
    <x v="12"/>
    <s v="NO"/>
    <m/>
    <s v="No postulado por imposibilidad de gestionar recursos pecuniarios de contrapartida en el monto que haga viable la propuesta."/>
  </r>
  <r>
    <x v="47"/>
    <s v="FIC"/>
    <s v="16-Rayentué"/>
    <s v="Optimización de la aplicación de biocontroladores de origen microbiano a través de diferentes técnicas de pulverización en cultivos agrícolas de importancia para la Región de O'Higgins"/>
    <s v="Producción Vegetal"/>
    <x v="10"/>
    <s v="INIA"/>
    <x v="51"/>
    <x v="0"/>
    <s v="SI"/>
    <s v="Si"/>
    <s v="Aprobado"/>
  </r>
  <r>
    <x v="47"/>
    <s v="FIC"/>
    <s v="16-Rayentué"/>
    <s v="Transferencia bioinmunizador endófito para el control de plagas y enfermedades en cucurbitáceas"/>
    <s v="Agrosistemas Sustentables"/>
    <x v="4"/>
    <s v="INIA"/>
    <x v="52"/>
    <x v="0"/>
    <s v="SI"/>
    <s v="Si"/>
    <s v="Aprobado"/>
  </r>
  <r>
    <x v="48"/>
    <s v="FONDECYT Regular"/>
    <s v="16-Rayentué"/>
    <s v="Caracterización e identificación de los factores genéticos de la resistencia al cáncer bacterial en cerezos (Prunus avium L.) presentes en cv Santina"/>
    <s v="Producción Vegetal"/>
    <x v="3"/>
    <s v="INIA"/>
    <x v="53"/>
    <x v="0"/>
    <s v="SI"/>
    <s v="Si"/>
    <m/>
  </r>
  <r>
    <x v="49"/>
    <s v="ANID Idea I&amp;D"/>
    <s v="16-Rayentué"/>
    <s v="Herramientas para determinar las características de la población del agente causal del cáncer bacterial en cerezos: Generando información clave para el desarrollo de estrategias sustentables de control"/>
    <s v="Producción Vegetal"/>
    <x v="3"/>
    <s v="INIA"/>
    <x v="54"/>
    <x v="0"/>
    <s v="SI"/>
    <s v="Si"/>
    <m/>
  </r>
  <r>
    <x v="50"/>
    <s v="FONDECYT Iniciación 2024"/>
    <s v="16-Rayentué"/>
    <s v="Effect of drought on the plasticity of physiological and agronomic traits in Lactuca sativa L. cultivars, under the context of climate change of southern Chile"/>
    <s v="Producción Vegetal"/>
    <x v="13"/>
    <s v="INIA"/>
    <x v="55"/>
    <x v="10"/>
    <s v="SI"/>
    <s v="No"/>
    <m/>
  </r>
  <r>
    <x v="51"/>
    <s v="FIA Asignacion Directa"/>
    <s v="16-Rayentue  "/>
    <s v="Programa de innovación en el uso eficiente del recurso hídrico para la pequeña agricultura de la región de O'Higgins"/>
    <s v="Agrosistemas Sustentables"/>
    <x v="1"/>
    <s v="INIA"/>
    <x v="56"/>
    <x v="0"/>
    <s v="SI"/>
    <s v="Si"/>
    <m/>
  </r>
  <r>
    <x v="52"/>
    <s v="Fondecyt Regular 2022"/>
    <s v="16-Rayentue  "/>
    <s v="FLOWERING IN A WARM CLIMATE: EFFECT(S) OF HIGH TEMPERATURE ON FLORAL BUD DEVELOPMENT IN SWEET CHERRY TREES (Prunus avium L.)"/>
    <s v="Producción Vegetal"/>
    <x v="3"/>
    <s v="CEAF"/>
    <x v="57"/>
    <x v="10"/>
    <s v="SI"/>
    <s v="No"/>
    <m/>
  </r>
  <r>
    <x v="52"/>
    <s v="Fondecyt Regular 2022"/>
    <s v="16-Rayentue  "/>
    <s v="Identification of QTLs and candidate genes associated with differential susceptibilty/resistance to bacterial canker in segragating progenies of sweet cherry (Prunus avium L.)."/>
    <s v="Producción Vegetal"/>
    <x v="3"/>
    <s v="INIA"/>
    <x v="58"/>
    <x v="10"/>
    <s v="SI"/>
    <s v="No"/>
    <m/>
  </r>
  <r>
    <x v="53"/>
    <s v="Proyectos de Innovación Región de O'Higgins 2021"/>
    <s v="16-Rayentue  "/>
    <s v="Manejo sustentable de agua, suelos y cultivos, para enfrentar la escasez hídrica, erosión, y consecuencias de los incendios forestales, por efecto del cambio climático, en las comunas de Pumanque, Paredones, Litueche y La Estrella. Región de O`Higgins"/>
    <s v="Agrosistemas Sustentables"/>
    <x v="0"/>
    <s v="INIA"/>
    <x v="59"/>
    <x v="9"/>
    <s v="NO"/>
    <s v="NO APLICA"/>
    <s v="No alcanzo a presentar el proyecto "/>
  </r>
  <r>
    <x v="53"/>
    <s v="Proyectos de Innovación Región de O'Higgins 2021"/>
    <s v="16-Rayentue  "/>
    <s v="Desarrollo de una aplicación online para la optimización del uso de plaguicidas en cítricos como adaptación al cambio climático para la región de O’Higgins"/>
    <s v="Producción  Vegetal"/>
    <x v="10"/>
    <s v="INIA"/>
    <x v="60"/>
    <x v="10"/>
    <s v="SI"/>
    <s v="No"/>
    <m/>
  </r>
  <r>
    <x v="54"/>
    <s v="Concurso IDeA I+D 2021"/>
    <s v="16-Rayentue, 20-Quilamapu"/>
    <s v="Celdas Solares Flexibles a base de Silica Biogénica y Grafeno (FlexSiGraf)"/>
    <s v="Producción Vegetal"/>
    <x v="3"/>
    <s v="UA - Universidad Autónoma de Chile; UDEC - Universidad de Concepción"/>
    <x v="61"/>
    <x v="10"/>
    <s v="SI"/>
    <s v="N"/>
    <m/>
  </r>
  <r>
    <x v="55"/>
    <s v="Concurso IDeA I+D 2021"/>
    <s v="16-Rayentue, 20-Quilamapu"/>
    <s v="Desarrollo y validación de una herramienta molecular para monitorear las poblaciones epifitas de Pseudomonas syringae pv syringae para optimizar el control del cáncer bacterial en cerezos "/>
    <s v="Producción Vegetal"/>
    <x v="3"/>
    <s v="INIA"/>
    <x v="62"/>
    <x v="3"/>
    <s v="NO"/>
    <s v="RECHAZADO"/>
    <m/>
  </r>
  <r>
    <x v="56"/>
    <s v="IV Concurso Nacional de Financiamiento Basal para Centros Científicos y Tecnológicos"/>
    <s v="16-Rayentue  "/>
    <s v="Center on Smart Agriculture for a One Health Future"/>
    <s v="Producción Vegetal"/>
    <x v="3"/>
    <s v="UOH - Universidad de O'Higgins"/>
    <x v="63"/>
    <x v="3"/>
    <s v="NO"/>
    <s v="RECHAZADO"/>
    <m/>
  </r>
  <r>
    <x v="57"/>
    <s v="I Concurso Nodos para la Aceleración de Impacto Territorial de la CTCI año 2020"/>
    <s v="16-Rayentue, 20-Quilamapu"/>
    <s v="Economía Circular y Sostenibilidad en los Procesos Industriales de la Macrozona Centro-Sur: Aseguramiento Agroalimentario"/>
    <s v="Producción Vegetal"/>
    <x v="3"/>
    <s v="U. Autonoma"/>
    <x v="64"/>
    <x v="10"/>
    <s v="SI"/>
    <s v="No"/>
    <m/>
  </r>
  <r>
    <x v="58"/>
    <s v="Convocatoria Nacional de Proyectos 2020-2021 FIA"/>
    <s v="16-Rayentue, 20-Quilamapu"/>
    <s v="Potenciamiento del cultivo de Quínoa como una alternativa productiva sustentable en la Región del Maule y valoración de la calidad nutricional de los granos"/>
    <s v="Producción Vegetal"/>
    <x v="5"/>
    <s v="U Talca"/>
    <x v="65"/>
    <x v="8"/>
    <s v="NO"/>
    <s v="NO APLICA"/>
    <m/>
  </r>
  <r>
    <x v="58"/>
    <s v="Convocatoria Nacional de Proyectos 2020-2021 FIA"/>
    <s v="16-Rayentue  "/>
    <s v="Plataforma virtual para el ajuste de parámetros operativos en pulverizadores agrícolas para la aplicación eficiente de plaguicidas en cítricos"/>
    <s v="Producción  Vegetal"/>
    <x v="10"/>
    <s v="INIA"/>
    <x v="66"/>
    <x v="3"/>
    <s v="NO"/>
    <s v="NO APLICA"/>
    <m/>
  </r>
  <r>
    <x v="58"/>
    <s v="Convocatoria Nacional de Proyectos 2020-2021 FIA"/>
    <s v="16-Rayentue  "/>
    <s v="Elaboración y utilización de pellet a partir de lana ovina de descarte, para optimizar los recursos hídricos y mitigar el efecto del cambio climático."/>
    <s v="Agrosistemas Sustentables"/>
    <x v="7"/>
    <s v="INIA"/>
    <x v="67"/>
    <x v="3"/>
    <s v="NO"/>
    <s v="NO APLICA"/>
    <m/>
  </r>
  <r>
    <x v="59"/>
    <s v="Fondecyt de Postdoctorado 2021"/>
    <s v="16-Rayentue  "/>
    <s v="Determination of root traits of durum wheat (Triticum turgidum L. spp. Durum) released from 1915 to 2015 to improve wheat grain yield in the Mediterranean dry land environments."/>
    <s v="Producción  Vegetal"/>
    <x v="5"/>
    <s v="INIA"/>
    <x v="68"/>
    <x v="10"/>
    <s v="SI"/>
    <s v="No"/>
    <m/>
  </r>
  <r>
    <x v="58"/>
    <s v="Convocatoria Nacional de Proyectos 2020-2021 FIA"/>
    <s v="16-Rayentue  "/>
    <s v="Desarrollo y validación de un sistema automatizado de humidificación de alta presión como una herramienta multipropósito para el cultivo del cerezo bajo macrotúneles"/>
    <s v="Producción  Vegetal"/>
    <x v="2"/>
    <s v="INIA"/>
    <x v="69"/>
    <x v="10"/>
    <s v="SI"/>
    <s v="No"/>
    <s v="Paso Admisibilidad pero no paso a 2° etapa"/>
  </r>
  <r>
    <x v="60"/>
    <s v="FIC- Región del Maule"/>
    <s v="16-Rayentue, 20-Quilamapu, 21-Raihuen"/>
    <s v="Transferencia en la incorporación de técnicas y tecnologías para la aplicación de fitosanitarios en cultivos de berries"/>
    <s v="Producción  Vegetal"/>
    <x v="10"/>
    <s v="INIA"/>
    <x v="70"/>
    <x v="13"/>
    <s v="NO"/>
    <s v="NO APLICA"/>
    <s v="No realizo las correcciones a las observaciones "/>
  </r>
  <r>
    <x v="60"/>
    <s v="FIC- Región del Maule"/>
    <s v="16-Rayentue, 20-Quilamapu"/>
    <s v="Manejo del cáncer bacterial en huertos de cerezo de la Región del Maule a través de un control ecológicamente sustentable"/>
    <s v="Producción  Vegetal"/>
    <x v="2"/>
    <s v="INIA"/>
    <x v="71"/>
    <x v="10"/>
    <s v="SI"/>
    <s v="No"/>
    <m/>
  </r>
  <r>
    <x v="61"/>
    <s v="FIC O'Higgins 2020"/>
    <s v="16-Rayentue  "/>
    <s v="Ag Tech Invest Lab Innovation"/>
    <s v="Agrosistemas Sustentables"/>
    <x v="1"/>
    <s v="INIA"/>
    <x v="72"/>
    <x v="0"/>
    <s v="SI"/>
    <s v="Si"/>
    <m/>
  </r>
  <r>
    <x v="62"/>
    <s v="FIC O'Higgins 2020"/>
    <s v="16-Rayentue  "/>
    <s v="Transferencia hongos de la madera en frutales de carozo: situación actual y estrategias de control en la Región de O´Higgins."/>
    <s v="Producción  Vegetal"/>
    <x v="17"/>
    <s v="INIA"/>
    <x v="73"/>
    <x v="0"/>
    <s v="SI"/>
    <s v="Si"/>
    <m/>
  </r>
  <r>
    <x v="63"/>
    <s v="FIC O'Higgins 2020"/>
    <s v="16-Rayentue  "/>
    <s v="Transferencia Manejo hídrico eficiente en frutales para nueva zona de riego"/>
    <s v="Producción  Vegetal"/>
    <x v="2"/>
    <s v="INIA"/>
    <x v="74"/>
    <x v="10"/>
    <s v="SI"/>
    <s v="No"/>
    <m/>
  </r>
  <r>
    <x v="64"/>
    <s v="FONDECYT Regular 2021"/>
    <s v="16-Rayentue  "/>
    <s v="Identification and development of molecular markers associated with genes responsible for the determination of sex in maqui (A. chilensis) and its location at chromosomal level."/>
    <s v="Producción Vegetal"/>
    <x v="3"/>
    <s v="U. Autonoma Ch"/>
    <x v="75"/>
    <x v="10"/>
    <s v="SI"/>
    <s v="No"/>
    <m/>
  </r>
  <r>
    <x v="65"/>
    <s v="FONDECYT Regular 2021"/>
    <s v="16-Rayentue  "/>
    <s v="Identificación de factores genéticos y moleculares asociados a respuesta diferencial al cáncer bacterial en cerezos (Prunus avium L.) en grupos de variedades con resistencia contrastante"/>
    <s v="Producción Vegetal"/>
    <x v="3"/>
    <s v="INIA"/>
    <x v="76"/>
    <x v="10"/>
    <s v="SI"/>
    <s v="No"/>
    <m/>
  </r>
  <r>
    <x v="66"/>
    <s v="FONDECYT Regular 2021"/>
    <s v="16-Rayentue  "/>
    <s v="HYDRAULIC MECHANISMS AND CARBON METABOLISM IN THE ADAPTATION OF DURUM WHEAT TO CONDITIONS OF CLIMATE CHANGE"/>
    <s v="Producción Vegetal"/>
    <x v="5"/>
    <s v="UCH"/>
    <x v="77"/>
    <x v="10"/>
    <s v="SI"/>
    <s v="No"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  <r>
    <x v="67"/>
    <m/>
    <m/>
    <m/>
    <m/>
    <x v="18"/>
    <m/>
    <x v="78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73:E90" firstHeaderRow="1" firstDataRow="3" firstDataCol="1" rowPageCount="1" colPageCount="1"/>
  <pivotFields count="33">
    <pivotField showAll="0" defaultSubtotal="0"/>
    <pivotField axis="axisPage" multipleItemSelectionAllowed="1" showAll="0" defaultSubtotal="0">
      <items count="50">
        <item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x="23"/>
        <item x="22"/>
        <item x="21"/>
        <item x="20"/>
        <item x="19"/>
        <item x="18"/>
        <item x="17"/>
        <item x="16"/>
        <item x="15"/>
        <item x="14"/>
        <item x="13"/>
        <item m="1" x="49"/>
        <item x="12"/>
        <item x="11"/>
        <item x="10"/>
        <item x="9"/>
        <item x="8"/>
        <item x="7"/>
        <item x="6"/>
        <item x="5"/>
        <item x="4"/>
        <item x="3"/>
        <item x="2"/>
        <item h="1" x="0"/>
        <item h="1" x="1"/>
        <item h="1" x="48"/>
      </items>
    </pivotField>
    <pivotField axis="axisRow" showAll="0">
      <items count="25">
        <item x="5"/>
        <item m="1" x="21"/>
        <item x="10"/>
        <item x="7"/>
        <item x="6"/>
        <item x="0"/>
        <item x="3"/>
        <item m="1" x="18"/>
        <item m="1" x="16"/>
        <item x="13"/>
        <item x="12"/>
        <item x="1"/>
        <item m="1" x="15"/>
        <item m="1" x="23"/>
        <item m="1" x="17"/>
        <item m="1" x="22"/>
        <item x="2"/>
        <item x="9"/>
        <item x="8"/>
        <item x="4"/>
        <item m="1" x="19"/>
        <item x="11"/>
        <item m="1" x="20"/>
        <item x="14"/>
        <item t="default"/>
      </items>
    </pivotField>
    <pivotField showAll="0"/>
    <pivotField showAll="0"/>
    <pivotField dataField="1" showAll="0"/>
    <pivotField showAll="0"/>
    <pivotField axis="axisRow" showAll="0">
      <items count="29">
        <item x="4"/>
        <item x="16"/>
        <item m="1" x="23"/>
        <item x="10"/>
        <item m="1" x="21"/>
        <item x="18"/>
        <item x="7"/>
        <item x="14"/>
        <item x="12"/>
        <item x="5"/>
        <item x="13"/>
        <item x="15"/>
        <item m="1" x="20"/>
        <item m="1" x="26"/>
        <item x="17"/>
        <item x="2"/>
        <item x="0"/>
        <item m="1" x="25"/>
        <item m="1" x="24"/>
        <item m="1" x="27"/>
        <item x="9"/>
        <item m="1" x="22"/>
        <item x="11"/>
        <item x="3"/>
        <item x="6"/>
        <item x="8"/>
        <item x="1"/>
        <item x="19"/>
        <item t="default"/>
      </items>
    </pivotField>
    <pivotField showAll="0"/>
    <pivotField axis="axisCol" showAll="0">
      <items count="7">
        <item h="1" x="2"/>
        <item x="0"/>
        <item h="1" x="1"/>
        <item h="1" x="4"/>
        <item h="1" x="3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7"/>
  </rowFields>
  <rowItems count="15">
    <i>
      <x/>
    </i>
    <i r="1">
      <x v="15"/>
    </i>
    <i>
      <x v="5"/>
    </i>
    <i r="1">
      <x v="16"/>
    </i>
    <i>
      <x v="11"/>
    </i>
    <i r="1">
      <x v="9"/>
    </i>
    <i>
      <x v="16"/>
    </i>
    <i r="1">
      <x v="24"/>
    </i>
    <i>
      <x v="19"/>
    </i>
    <i r="1">
      <x v="3"/>
    </i>
    <i r="1">
      <x v="20"/>
    </i>
    <i r="1">
      <x v="22"/>
    </i>
    <i r="1">
      <x v="23"/>
    </i>
    <i r="1">
      <x v="25"/>
    </i>
    <i t="grand">
      <x/>
    </i>
  </rowItems>
  <colFields count="2">
    <field x="9"/>
    <field x="-2"/>
  </colFields>
  <colItems count="4">
    <i>
      <x v="1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Cuenta de Titulo Proyecto" fld="5" subtotal="count" baseField="0" baseItem="0"/>
    <dataField name="Suma de Monto solicitado" fld="12" baseField="1" baseItem="9"/>
  </dataFields>
  <formats count="16">
    <format dxfId="34">
      <pivotArea dataOnly="0" outline="0" fieldPosition="0">
        <references count="1">
          <reference field="4294967294" count="1">
            <x v="1"/>
          </reference>
        </references>
      </pivotArea>
    </format>
    <format dxfId="33">
      <pivotArea dataOnly="0" outline="0" fieldPosition="0">
        <references count="1">
          <reference field="4294967294" count="1">
            <x v="1"/>
          </reference>
        </references>
      </pivotArea>
    </format>
    <format dxfId="32">
      <pivotArea dataOnly="0" outline="0" fieldPosition="0">
        <references count="1">
          <reference field="4294967294" count="1">
            <x v="1"/>
          </reference>
        </references>
      </pivotArea>
    </format>
    <format dxfId="31">
      <pivotArea dataOnly="0" labelOnly="1" fieldPosition="0">
        <references count="1">
          <reference field="9" count="1">
            <x v="2"/>
          </reference>
        </references>
      </pivotArea>
    </format>
    <format dxfId="30">
      <pivotArea outline="0" collapsedLevelsAreSubtotals="1" fieldPosition="0">
        <references count="2">
          <reference field="4294967294" count="2" selected="0">
            <x v="0"/>
            <x v="1"/>
          </reference>
          <reference field="9" count="1" selected="0">
            <x v="2"/>
          </reference>
        </references>
      </pivotArea>
    </format>
    <format dxfId="29">
      <pivotArea dataOnly="0" labelOnly="1" fieldPosition="0">
        <references count="1">
          <reference field="9" count="1">
            <x v="2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2"/>
          </reference>
        </references>
      </pivotArea>
    </format>
    <format dxfId="27">
      <pivotArea outline="0" collapsedLevelsAreSubtotals="1" fieldPosition="0">
        <references count="2">
          <reference field="4294967294" count="2" selected="0">
            <x v="0"/>
            <x v="1"/>
          </reference>
          <reference field="9" count="1" selected="0">
            <x v="1"/>
          </reference>
        </references>
      </pivotArea>
    </format>
    <format dxfId="26">
      <pivotArea dataOnly="0" labelOnly="1" fieldPosition="0">
        <references count="1">
          <reference field="9" count="1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1"/>
          </reference>
        </references>
      </pivotArea>
    </format>
    <format dxfId="24">
      <pivotArea field="9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field="9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9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outline="0" collapsedLevelsAreSubtotals="1" fieldPosition="0">
        <references count="2">
          <reference field="4294967294" count="2" selected="0">
            <x v="0"/>
            <x v="1"/>
          </reference>
          <reference field="9" count="1" selected="0">
            <x v="0"/>
          </reference>
        </references>
      </pivotArea>
    </format>
    <format dxfId="20">
      <pivotArea dataOnly="0" labelOnly="1" fieldPosition="0">
        <references count="1">
          <reference field="9" count="1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5:H70" firstHeaderRow="1" firstDataRow="2" firstDataCol="1" rowPageCount="1" colPageCount="1"/>
  <pivotFields count="33">
    <pivotField axis="axisPage" showAll="0" defaultSubtotal="0">
      <items count="7">
        <item x="6"/>
        <item x="5"/>
        <item x="4"/>
        <item x="3"/>
        <item x="2"/>
        <item x="1"/>
        <item x="0"/>
      </items>
    </pivotField>
    <pivotField showAll="0" defaultSubtotal="0"/>
    <pivotField axis="axisRow" showAll="0">
      <items count="25">
        <item x="5"/>
        <item m="1" x="21"/>
        <item x="10"/>
        <item x="7"/>
        <item x="6"/>
        <item x="0"/>
        <item x="3"/>
        <item m="1" x="18"/>
        <item m="1" x="16"/>
        <item x="13"/>
        <item x="12"/>
        <item x="1"/>
        <item m="1" x="15"/>
        <item m="1" x="23"/>
        <item m="1" x="17"/>
        <item m="1" x="22"/>
        <item x="2"/>
        <item x="9"/>
        <item x="4"/>
        <item m="1" x="19"/>
        <item x="11"/>
        <item m="1" x="20"/>
        <item x="8"/>
        <item x="14"/>
        <item t="default"/>
      </items>
    </pivotField>
    <pivotField showAll="0"/>
    <pivotField showAll="0"/>
    <pivotField showAll="0"/>
    <pivotField showAll="0"/>
    <pivotField axis="axisRow" showAll="0">
      <items count="29">
        <item x="4"/>
        <item x="16"/>
        <item m="1" x="23"/>
        <item m="1" x="21"/>
        <item x="18"/>
        <item x="7"/>
        <item x="14"/>
        <item x="12"/>
        <item x="5"/>
        <item x="13"/>
        <item x="15"/>
        <item m="1" x="20"/>
        <item m="1" x="26"/>
        <item x="17"/>
        <item x="2"/>
        <item x="0"/>
        <item m="1" x="25"/>
        <item m="1" x="24"/>
        <item m="1" x="27"/>
        <item x="9"/>
        <item m="1" x="22"/>
        <item x="3"/>
        <item x="6"/>
        <item x="8"/>
        <item x="10"/>
        <item x="11"/>
        <item x="1"/>
        <item x="19"/>
        <item t="default"/>
      </items>
    </pivotField>
    <pivotField showAll="0"/>
    <pivotField axis="axisCol" multipleItemSelectionAllowed="1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7"/>
  </rowFields>
  <rowItems count="65">
    <i>
      <x/>
    </i>
    <i r="1">
      <x v="1"/>
    </i>
    <i r="1">
      <x v="14"/>
    </i>
    <i r="1">
      <x v="22"/>
    </i>
    <i>
      <x v="2"/>
    </i>
    <i r="1">
      <x v="1"/>
    </i>
    <i r="1">
      <x v="7"/>
    </i>
    <i r="1">
      <x v="22"/>
    </i>
    <i>
      <x v="3"/>
    </i>
    <i r="1">
      <x v="9"/>
    </i>
    <i r="1">
      <x v="10"/>
    </i>
    <i>
      <x v="4"/>
    </i>
    <i r="1">
      <x v="15"/>
    </i>
    <i>
      <x v="5"/>
    </i>
    <i r="1">
      <x/>
    </i>
    <i r="1">
      <x v="5"/>
    </i>
    <i r="1">
      <x v="6"/>
    </i>
    <i r="1">
      <x v="9"/>
    </i>
    <i r="1">
      <x v="10"/>
    </i>
    <i r="1">
      <x v="14"/>
    </i>
    <i r="1">
      <x v="15"/>
    </i>
    <i r="1">
      <x v="19"/>
    </i>
    <i r="1">
      <x v="21"/>
    </i>
    <i r="1">
      <x v="22"/>
    </i>
    <i r="1">
      <x v="23"/>
    </i>
    <i r="1">
      <x v="26"/>
    </i>
    <i>
      <x v="6"/>
    </i>
    <i r="1">
      <x/>
    </i>
    <i r="1">
      <x v="5"/>
    </i>
    <i r="1">
      <x v="6"/>
    </i>
    <i r="1">
      <x v="10"/>
    </i>
    <i r="1">
      <x v="13"/>
    </i>
    <i r="1">
      <x v="15"/>
    </i>
    <i r="1">
      <x v="22"/>
    </i>
    <i r="1">
      <x v="23"/>
    </i>
    <i>
      <x v="9"/>
    </i>
    <i r="1">
      <x v="23"/>
    </i>
    <i>
      <x v="10"/>
    </i>
    <i r="1">
      <x v="4"/>
    </i>
    <i>
      <x v="11"/>
    </i>
    <i r="1">
      <x v="1"/>
    </i>
    <i r="1">
      <x v="7"/>
    </i>
    <i r="1">
      <x v="8"/>
    </i>
    <i r="1">
      <x v="9"/>
    </i>
    <i r="1">
      <x v="14"/>
    </i>
    <i r="1">
      <x v="22"/>
    </i>
    <i r="1">
      <x v="26"/>
    </i>
    <i>
      <x v="16"/>
    </i>
    <i r="1">
      <x v="15"/>
    </i>
    <i r="1">
      <x v="22"/>
    </i>
    <i>
      <x v="17"/>
    </i>
    <i r="1">
      <x v="22"/>
    </i>
    <i>
      <x v="18"/>
    </i>
    <i r="1">
      <x v="19"/>
    </i>
    <i r="1">
      <x v="21"/>
    </i>
    <i r="1">
      <x v="23"/>
    </i>
    <i r="1">
      <x v="24"/>
    </i>
    <i r="1">
      <x v="25"/>
    </i>
    <i>
      <x v="20"/>
    </i>
    <i r="1">
      <x v="15"/>
    </i>
    <i>
      <x v="22"/>
    </i>
    <i r="1">
      <x v="8"/>
    </i>
    <i>
      <x v="23"/>
    </i>
    <i r="1">
      <x v="27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-1"/>
  </pageFields>
  <dataFields count="1">
    <dataField name="Suma de Costo Total del Proyecto" fld="17" baseField="6" baseItem="14"/>
  </dataFields>
  <formats count="2">
    <format dxfId="36">
      <pivotArea dataOnly="0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3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5:F19" firstHeaderRow="1" firstDataRow="2" firstDataCol="1" rowPageCount="2" colPageCount="1"/>
  <pivotFields count="12">
    <pivotField axis="axisPage" multipleItemSelectionAllowed="1" showAll="0">
      <items count="70">
        <item m="1" x="68"/>
        <item h="1" x="16"/>
        <item h="1" x="15"/>
        <item h="1" x="14"/>
        <item h="1" x="13"/>
        <item h="1" x="12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1"/>
        <item h="1" x="0"/>
        <item h="1" x="51"/>
        <item h="1" x="50"/>
        <item h="1" x="49"/>
        <item h="1" x="48"/>
        <item h="1" x="47"/>
        <item h="1" x="46"/>
        <item h="1" x="44"/>
        <item h="1" x="45"/>
        <item h="1" x="43"/>
        <item h="1" x="42"/>
        <item h="1" x="41"/>
        <item h="1" x="40"/>
        <item h="1" x="39"/>
        <item h="1"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h="1" x="11"/>
        <item h="1" x="17"/>
        <item h="1" x="67"/>
        <item x="22"/>
        <item x="23"/>
        <item h="1" x="18"/>
        <item h="1" x="19"/>
        <item h="1" x="20"/>
        <item h="1" x="21"/>
        <item t="default"/>
      </items>
    </pivotField>
    <pivotField showAll="0"/>
    <pivotField showAll="0"/>
    <pivotField dataField="1" showAll="0"/>
    <pivotField showAll="0"/>
    <pivotField axis="axisRow" showAll="0">
      <items count="20">
        <item x="10"/>
        <item x="7"/>
        <item x="5"/>
        <item x="16"/>
        <item x="8"/>
        <item x="0"/>
        <item x="6"/>
        <item x="13"/>
        <item x="1"/>
        <item x="17"/>
        <item x="9"/>
        <item x="2"/>
        <item x="14"/>
        <item x="15"/>
        <item x="12"/>
        <item x="3"/>
        <item x="4"/>
        <item x="18"/>
        <item x="11"/>
        <item t="default"/>
      </items>
    </pivotField>
    <pivotField showAll="0"/>
    <pivotField axis="axisPage" showAll="0">
      <items count="80"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0"/>
        <item x="78"/>
        <item x="37"/>
        <item x="11"/>
        <item x="10"/>
        <item x="9"/>
        <item x="8"/>
        <item x="6"/>
        <item x="7"/>
        <item x="13"/>
        <item x="12"/>
        <item x="1"/>
        <item x="2"/>
        <item x="3"/>
        <item x="4"/>
        <item x="5"/>
        <item t="default"/>
      </items>
    </pivotField>
    <pivotField axis="axisCol" multipleItemSelectionAllowed="1" showAll="0">
      <items count="18">
        <item x="0"/>
        <item h="1" x="5"/>
        <item h="1" x="6"/>
        <item h="1" x="4"/>
        <item h="1" x="1"/>
        <item x="10"/>
        <item x="9"/>
        <item h="1" x="11"/>
        <item h="1" x="3"/>
        <item h="1" x="2"/>
        <item h="1" x="13"/>
        <item x="7"/>
        <item h="1" x="8"/>
        <item h="1" x="12"/>
        <item h="1" m="1" x="16"/>
        <item h="1" m="1" x="15"/>
        <item h="1" x="14"/>
        <item t="default"/>
      </items>
    </pivotField>
    <pivotField showAll="0"/>
    <pivotField showAll="0"/>
    <pivotField showAll="0"/>
  </pivotFields>
  <rowFields count="1">
    <field x="5"/>
  </rowFields>
  <rowItems count="13">
    <i>
      <x/>
    </i>
    <i>
      <x v="3"/>
    </i>
    <i>
      <x v="4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5">
    <i>
      <x/>
    </i>
    <i>
      <x v="5"/>
    </i>
    <i>
      <x v="6"/>
    </i>
    <i>
      <x v="11"/>
    </i>
    <i t="grand">
      <x/>
    </i>
  </colItems>
  <pageFields count="2">
    <pageField fld="0" hier="-1"/>
    <pageField fld="7" hier="-1"/>
  </pageFields>
  <dataFields count="1">
    <dataField name="Cuenta de TÍTULO" fld="3" subtotal="count" baseField="0" baseItem="0"/>
  </dataFields>
  <formats count="3">
    <format dxfId="18">
      <pivotArea dataOnly="0" outline="0" fieldPosition="0">
        <references count="1">
          <reference field="8" count="1">
            <x v="0"/>
          </reference>
        </references>
      </pivotArea>
    </format>
    <format dxfId="17">
      <pivotArea dataOnly="0" outline="0" fieldPosition="0">
        <references count="1">
          <reference field="8" count="1">
            <x v="5"/>
          </reference>
        </references>
      </pivotArea>
    </format>
    <format dxfId="16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a3" displayName="Tabla3" ref="B8:M125" totalsRowShown="0" headerRowDxfId="88" dataDxfId="86" headerRowBorderDxfId="87" tableBorderDxfId="85">
  <autoFilter ref="B8:M125">
    <filterColumn colId="0">
      <filters blank="1">
        <dateGroupItem year="2025" dateTimeGrouping="year"/>
        <dateGroupItem year="2024" dateTimeGrouping="year"/>
      </filters>
    </filterColumn>
  </autoFilter>
  <sortState ref="B36:M125">
    <sortCondition descending="1" ref="I8:I125"/>
  </sortState>
  <tableColumns count="12">
    <tableColumn id="1" name="AÑO" dataDxfId="84"/>
    <tableColumn id="2" name="CONCURSO O LINEA" dataDxfId="83"/>
    <tableColumn id="3" name="CRI" dataDxfId="82"/>
    <tableColumn id="4" name="TÍTULO" dataDxfId="81"/>
    <tableColumn id="5" name="Programas Nacionales" dataDxfId="80"/>
    <tableColumn id="6" name="Investigador/a Encargado/a" dataDxfId="79"/>
    <tableColumn id="7" name="Ejecutor Principal " dataDxfId="78"/>
    <tableColumn id="8" name="ID- Perfil" dataDxfId="77"/>
    <tableColumn id="9" name="Estado Perfil" dataDxfId="76"/>
    <tableColumn id="10" name="Postulado " dataDxfId="75"/>
    <tableColumn id="11" name="Adjudicado" dataDxfId="74"/>
    <tableColumn id="12" name="Comentarios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C13:AI112" totalsRowShown="0" headerRowDxfId="72" dataDxfId="71" tableBorderDxfId="70">
  <autoFilter ref="C13:AI112">
    <filterColumn colId="1">
      <filters>
        <dateGroupItem year="2026" dateTimeGrouping="year"/>
        <dateGroupItem year="2025" dateTimeGrouping="year"/>
      </filters>
    </filterColumn>
  </autoFilter>
  <sortState ref="C14:AI112">
    <sortCondition descending="1" ref="M13:M112"/>
  </sortState>
  <tableColumns count="33">
    <tableColumn id="1" name="Añode adjudicación" dataDxfId="69"/>
    <tableColumn id="33" name="Año Postulación2" dataDxfId="68"/>
    <tableColumn id="2" name="Fuente Financiamiento" dataDxfId="67"/>
    <tableColumn id="3" name="Concurso o Linea" dataDxfId="66"/>
    <tableColumn id="4" name="CRI" dataDxfId="65"/>
    <tableColumn id="5" name="Titulo Proyecto" dataDxfId="64"/>
    <tableColumn id="6" name="Programas Nacionales" dataDxfId="63"/>
    <tableColumn id="7" name="Investigador/a     Encargado/a" dataDxfId="62"/>
    <tableColumn id="8" name="Ejecutor Principal" dataDxfId="61"/>
    <tableColumn id="9" name="Estado" dataDxfId="60"/>
    <tableColumn id="32" name="ID- PERFIL" dataDxfId="59"/>
    <tableColumn id="10" name="Fecha de Postulación" dataDxfId="58"/>
    <tableColumn id="11" name="Monto solicitado" dataDxfId="57" dataCellStyle="Moneda [0]"/>
    <tableColumn id="12" name="Asociado Pecuniario" dataDxfId="56" dataCellStyle="Moneda [0]"/>
    <tableColumn id="13" name="Asociado No Pecuniario" dataDxfId="55" dataCellStyle="Moneda [0]"/>
    <tableColumn id="14" name="Inia Pecuniario" dataDxfId="54" dataCellStyle="Moneda [0]"/>
    <tableColumn id="15" name="Inia No Pecuniario" dataDxfId="53" dataCellStyle="Moneda [0]"/>
    <tableColumn id="16" name="Costo Total del Proyecto" dataDxfId="52" dataCellStyle="Moneda [0]">
      <calculatedColumnFormula>SUM(O14:S14)</calculatedColumnFormula>
    </tableColumn>
    <tableColumn id="17" name="Rendible a la FF" dataDxfId="51" dataCellStyle="Moneda [0]"/>
    <tableColumn id="18" name="Libre disposición (overhead)" dataDxfId="50"/>
    <tableColumn id="19" name="Duración (meses)" dataDxfId="49"/>
    <tableColumn id="20" name="Fecha de Aprobación" dataDxfId="48"/>
    <tableColumn id="21" name="Condiciones de aprobación" dataDxfId="47"/>
    <tableColumn id="22" name="Fecha de Rechazo" dataDxfId="46"/>
    <tableColumn id="23" name="Motivos rechazo" dataDxfId="45"/>
    <tableColumn id="24" name="Fuente de Información (Acta resolución)" dataDxfId="44"/>
    <tableColumn id="25" name="Codigo Proyecto Fuente financ." dataDxfId="43"/>
    <tableColumn id="26" name="Observaciones" dataDxfId="42"/>
    <tableColumn id="27" name="Monto adjudicado" dataDxfId="41"/>
    <tableColumn id="28" name="Monto contrapartida" dataDxfId="40"/>
    <tableColumn id="29" name="Monto aporte INIA" dataDxfId="39"/>
    <tableColumn id="30" name="Monto capturado po INIA" dataDxfId="38"/>
    <tableColumn id="31" name="Costo Total del proyecto4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B3:L90" totalsRowShown="0" headerRowDxfId="15" dataDxfId="13" headerRowBorderDxfId="14" tableBorderDxfId="12" totalsRowBorderDxfId="11">
  <autoFilter ref="B3:L90">
    <filterColumn colId="7">
      <filters>
        <filter val="Adjudicado"/>
        <filter val="N/A"/>
        <filter val="No Adjudicado"/>
        <filter val="Rechazado"/>
      </filters>
    </filterColumn>
  </autoFilter>
  <tableColumns count="11">
    <tableColumn id="1" name="AÑO" dataDxfId="10"/>
    <tableColumn id="2" name="CONCURSO O LINEA" dataDxfId="9"/>
    <tableColumn id="3" name="CRI" dataDxfId="8"/>
    <tableColumn id="4" name="TÍTULO" dataDxfId="7"/>
    <tableColumn id="5" name="Programas Nacionales" dataDxfId="6"/>
    <tableColumn id="6" name="Investigador/a Encargado/a" dataDxfId="5"/>
    <tableColumn id="7" name="Ejecutor Principal " dataDxfId="4"/>
    <tableColumn id="8" name="Estado Perfil" dataDxfId="3"/>
    <tableColumn id="9" name="Postulado " dataDxfId="2"/>
    <tableColumn id="10" name="Adjudicado" dataDxfId="1"/>
    <tableColumn id="11" name="Comentari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ia.a0-raptor.app/issues/USUARIO-53" TargetMode="External"/><Relationship Id="rId13" Type="http://schemas.openxmlformats.org/officeDocument/2006/relationships/hyperlink" Target="https://inia.a0-raptor.app/issues/USUARIO-53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inia.a0-raptor.app/issues/USUARIO-53" TargetMode="External"/><Relationship Id="rId7" Type="http://schemas.openxmlformats.org/officeDocument/2006/relationships/hyperlink" Target="https://inia.a0-raptor.app/issues/USUARIO-53" TargetMode="External"/><Relationship Id="rId12" Type="http://schemas.openxmlformats.org/officeDocument/2006/relationships/hyperlink" Target="https://inia.a0-raptor.app/issues/USUARIO-53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inia.a0-raptor.app/issues/CONCURSO-5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nia.a0-raptor.app/issues/CONCURSO-50" TargetMode="External"/><Relationship Id="rId6" Type="http://schemas.openxmlformats.org/officeDocument/2006/relationships/hyperlink" Target="https://inia.a0-raptor.app/issues/USUARIO-53" TargetMode="External"/><Relationship Id="rId11" Type="http://schemas.openxmlformats.org/officeDocument/2006/relationships/hyperlink" Target="https://inia.a0-raptor.app/issues/USUARIO-53" TargetMode="External"/><Relationship Id="rId5" Type="http://schemas.openxmlformats.org/officeDocument/2006/relationships/hyperlink" Target="https://inia.a0-raptor.app/issues/USUARIO-53" TargetMode="External"/><Relationship Id="rId15" Type="http://schemas.openxmlformats.org/officeDocument/2006/relationships/hyperlink" Target="https://inia.a0-raptor.app/issues/USUARIO-53" TargetMode="External"/><Relationship Id="rId10" Type="http://schemas.openxmlformats.org/officeDocument/2006/relationships/hyperlink" Target="https://inia.a0-raptor.app/issues/USUARIO-53" TargetMode="External"/><Relationship Id="rId4" Type="http://schemas.openxmlformats.org/officeDocument/2006/relationships/hyperlink" Target="https://inia.a0-raptor.app/issues/USUARIO-53" TargetMode="External"/><Relationship Id="rId9" Type="http://schemas.openxmlformats.org/officeDocument/2006/relationships/hyperlink" Target="https://inia.a0-raptor.app/issues/USUARIO-53" TargetMode="External"/><Relationship Id="rId14" Type="http://schemas.openxmlformats.org/officeDocument/2006/relationships/hyperlink" Target="https://inia.a0-raptor.app/issues/USUARIO-5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inia.a0-raptor.app/issues/USUARIO-53" TargetMode="External"/><Relationship Id="rId2" Type="http://schemas.openxmlformats.org/officeDocument/2006/relationships/hyperlink" Target="https://inia.a0-raptor.app/issues/CONCURSO-50" TargetMode="External"/><Relationship Id="rId1" Type="http://schemas.openxmlformats.org/officeDocument/2006/relationships/hyperlink" Target="https://inia.a0-raptor.app/issues/CONCURSO-50" TargetMode="External"/><Relationship Id="rId6" Type="http://schemas.openxmlformats.org/officeDocument/2006/relationships/table" Target="../tables/table3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inia.a0-raptor.app/issues/USUARIO-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5"/>
  <sheetViews>
    <sheetView showGridLines="0" showRowColHeaders="0" tabSelected="1" zoomScale="60" zoomScaleNormal="60" workbookViewId="0">
      <pane ySplit="8" topLeftCell="A9" activePane="bottomLeft" state="frozen"/>
      <selection pane="bottomLeft" activeCell="H42" sqref="H42"/>
    </sheetView>
  </sheetViews>
  <sheetFormatPr baseColWidth="10" defaultColWidth="11.42578125" defaultRowHeight="18.75" x14ac:dyDescent="0.25"/>
  <cols>
    <col min="1" max="1" width="6.140625" style="1" customWidth="1"/>
    <col min="2" max="2" width="15.28515625" style="25" bestFit="1" customWidth="1"/>
    <col min="3" max="3" width="30.42578125" style="25" customWidth="1"/>
    <col min="4" max="4" width="20" style="25" bestFit="1" customWidth="1"/>
    <col min="5" max="5" width="51.140625" style="25" customWidth="1"/>
    <col min="6" max="6" width="23.85546875" style="46" customWidth="1"/>
    <col min="7" max="7" width="34.7109375" style="24" customWidth="1"/>
    <col min="8" max="8" width="26.7109375" style="25" customWidth="1"/>
    <col min="9" max="9" width="26.7109375" style="70" customWidth="1"/>
    <col min="10" max="10" width="17.7109375" style="25" customWidth="1"/>
    <col min="11" max="11" width="15.5703125" style="25" customWidth="1"/>
    <col min="12" max="12" width="16.28515625" style="25" customWidth="1"/>
    <col min="13" max="13" width="29" style="25" customWidth="1"/>
    <col min="14" max="16384" width="11.42578125" style="1"/>
  </cols>
  <sheetData>
    <row r="1" spans="1:13" ht="19.5" thickBot="1" x14ac:dyDescent="0.3"/>
    <row r="2" spans="1:13" ht="19.5" customHeight="1" x14ac:dyDescent="0.25">
      <c r="B2" s="86"/>
      <c r="C2" s="249" t="s">
        <v>491</v>
      </c>
      <c r="D2" s="249"/>
      <c r="E2" s="250"/>
      <c r="F2" s="85"/>
      <c r="G2" s="85"/>
    </row>
    <row r="3" spans="1:13" ht="18.75" customHeight="1" thickBot="1" x14ac:dyDescent="0.3">
      <c r="B3" s="87"/>
      <c r="C3" s="251"/>
      <c r="D3" s="251"/>
      <c r="E3" s="252"/>
      <c r="F3" s="85"/>
      <c r="G3" s="85"/>
    </row>
    <row r="4" spans="1:13" hidden="1" x14ac:dyDescent="0.25">
      <c r="B4" s="87"/>
      <c r="C4" s="90" t="s">
        <v>29</v>
      </c>
      <c r="D4" s="91">
        <v>45199</v>
      </c>
      <c r="E4" s="92"/>
    </row>
    <row r="5" spans="1:13" x14ac:dyDescent="0.25">
      <c r="B5" s="87"/>
      <c r="C5" s="93"/>
      <c r="D5" s="94"/>
      <c r="E5" s="92"/>
    </row>
    <row r="6" spans="1:13" x14ac:dyDescent="0.25">
      <c r="B6" s="87"/>
      <c r="C6" s="93"/>
      <c r="D6" s="94"/>
      <c r="E6" s="92"/>
    </row>
    <row r="7" spans="1:13" ht="19.5" thickBot="1" x14ac:dyDescent="0.3">
      <c r="B7" s="88"/>
      <c r="C7" s="89" t="s">
        <v>30</v>
      </c>
      <c r="D7" s="247" t="s">
        <v>495</v>
      </c>
      <c r="E7" s="248"/>
    </row>
    <row r="8" spans="1:13" ht="15" x14ac:dyDescent="0.25">
      <c r="B8" s="98" t="s">
        <v>5</v>
      </c>
      <c r="C8" s="99" t="s">
        <v>11</v>
      </c>
      <c r="D8" s="100" t="s">
        <v>0</v>
      </c>
      <c r="E8" s="101" t="s">
        <v>1</v>
      </c>
      <c r="F8" s="99" t="s">
        <v>2</v>
      </c>
      <c r="G8" s="102" t="s">
        <v>3</v>
      </c>
      <c r="H8" s="103" t="s">
        <v>4</v>
      </c>
      <c r="I8" s="104" t="s">
        <v>464</v>
      </c>
      <c r="J8" s="103" t="s">
        <v>6</v>
      </c>
      <c r="K8" s="103" t="s">
        <v>7</v>
      </c>
      <c r="L8" s="103" t="s">
        <v>8</v>
      </c>
      <c r="M8" s="105" t="s">
        <v>9</v>
      </c>
    </row>
    <row r="9" spans="1:13" ht="63.75" hidden="1" x14ac:dyDescent="0.25">
      <c r="B9" s="178">
        <v>44428</v>
      </c>
      <c r="C9" s="145" t="s">
        <v>280</v>
      </c>
      <c r="D9" s="154" t="s">
        <v>80</v>
      </c>
      <c r="E9" s="145" t="s">
        <v>283</v>
      </c>
      <c r="F9" s="146" t="s">
        <v>277</v>
      </c>
      <c r="G9" s="145" t="s">
        <v>139</v>
      </c>
      <c r="H9" s="145" t="s">
        <v>10</v>
      </c>
      <c r="I9" s="149" t="s">
        <v>471</v>
      </c>
      <c r="J9" s="157" t="s">
        <v>8</v>
      </c>
      <c r="K9" s="145" t="s">
        <v>51</v>
      </c>
      <c r="L9" s="145" t="s">
        <v>301</v>
      </c>
      <c r="M9" s="180"/>
    </row>
    <row r="10" spans="1:13" ht="25.5" hidden="1" x14ac:dyDescent="0.25">
      <c r="B10" s="178">
        <v>44414</v>
      </c>
      <c r="C10" s="145" t="s">
        <v>279</v>
      </c>
      <c r="D10" s="154" t="s">
        <v>80</v>
      </c>
      <c r="E10" s="145" t="s">
        <v>281</v>
      </c>
      <c r="F10" s="146" t="s">
        <v>277</v>
      </c>
      <c r="G10" s="145" t="s">
        <v>165</v>
      </c>
      <c r="H10" s="145" t="s">
        <v>282</v>
      </c>
      <c r="I10" s="149" t="s">
        <v>471</v>
      </c>
      <c r="J10" s="157" t="s">
        <v>66</v>
      </c>
      <c r="K10" s="145" t="s">
        <v>51</v>
      </c>
      <c r="L10" s="145" t="s">
        <v>144</v>
      </c>
      <c r="M10" s="180"/>
    </row>
    <row r="11" spans="1:13" ht="63.75" hidden="1" x14ac:dyDescent="0.25">
      <c r="B11" s="178">
        <v>43924</v>
      </c>
      <c r="C11" s="145" t="s">
        <v>147</v>
      </c>
      <c r="D11" s="154" t="s">
        <v>80</v>
      </c>
      <c r="E11" s="145" t="s">
        <v>148</v>
      </c>
      <c r="F11" s="146" t="s">
        <v>278</v>
      </c>
      <c r="G11" s="154" t="s">
        <v>100</v>
      </c>
      <c r="H11" s="145" t="s">
        <v>10</v>
      </c>
      <c r="I11" s="149" t="s">
        <v>471</v>
      </c>
      <c r="J11" s="157" t="s">
        <v>94</v>
      </c>
      <c r="K11" s="145" t="s">
        <v>65</v>
      </c>
      <c r="L11" s="145" t="s">
        <v>216</v>
      </c>
      <c r="M11" s="180" t="s">
        <v>149</v>
      </c>
    </row>
    <row r="12" spans="1:13" ht="38.25" hidden="1" x14ac:dyDescent="0.25">
      <c r="B12" s="178">
        <v>43776</v>
      </c>
      <c r="C12" s="145" t="s">
        <v>211</v>
      </c>
      <c r="D12" s="154" t="s">
        <v>141</v>
      </c>
      <c r="E12" s="145" t="s">
        <v>142</v>
      </c>
      <c r="F12" s="146" t="s">
        <v>278</v>
      </c>
      <c r="G12" s="145" t="s">
        <v>96</v>
      </c>
      <c r="H12" s="145" t="s">
        <v>135</v>
      </c>
      <c r="I12" s="149" t="s">
        <v>471</v>
      </c>
      <c r="J12" s="157" t="s">
        <v>94</v>
      </c>
      <c r="K12" s="145" t="s">
        <v>51</v>
      </c>
      <c r="L12" s="145" t="s">
        <v>216</v>
      </c>
      <c r="M12" s="180"/>
    </row>
    <row r="13" spans="1:13" ht="51" hidden="1" x14ac:dyDescent="0.25">
      <c r="B13" s="178">
        <v>43776</v>
      </c>
      <c r="C13" s="145" t="s">
        <v>150</v>
      </c>
      <c r="D13" s="154" t="s">
        <v>141</v>
      </c>
      <c r="E13" s="145" t="s">
        <v>140</v>
      </c>
      <c r="F13" s="146" t="s">
        <v>278</v>
      </c>
      <c r="G13" s="145" t="s">
        <v>96</v>
      </c>
      <c r="H13" s="145" t="s">
        <v>10</v>
      </c>
      <c r="I13" s="149" t="s">
        <v>471</v>
      </c>
      <c r="J13" s="157" t="s">
        <v>97</v>
      </c>
      <c r="K13" s="145" t="s">
        <v>51</v>
      </c>
      <c r="L13" s="145" t="s">
        <v>216</v>
      </c>
      <c r="M13" s="180"/>
    </row>
    <row r="14" spans="1:13" s="126" customFormat="1" ht="51" hidden="1" x14ac:dyDescent="0.25">
      <c r="A14" s="126">
        <v>1</v>
      </c>
      <c r="B14" s="178">
        <v>43775</v>
      </c>
      <c r="C14" s="145" t="s">
        <v>137</v>
      </c>
      <c r="D14" s="154" t="s">
        <v>80</v>
      </c>
      <c r="E14" s="145" t="s">
        <v>138</v>
      </c>
      <c r="F14" s="146" t="s">
        <v>277</v>
      </c>
      <c r="G14" s="145" t="s">
        <v>139</v>
      </c>
      <c r="H14" s="145" t="s">
        <v>10</v>
      </c>
      <c r="I14" s="149" t="s">
        <v>471</v>
      </c>
      <c r="J14" s="157" t="s">
        <v>109</v>
      </c>
      <c r="K14" s="145" t="s">
        <v>65</v>
      </c>
      <c r="L14" s="145" t="s">
        <v>216</v>
      </c>
      <c r="M14" s="180"/>
    </row>
    <row r="15" spans="1:13" s="126" customFormat="1" ht="51" hidden="1" x14ac:dyDescent="0.25">
      <c r="B15" s="178">
        <v>43731</v>
      </c>
      <c r="C15" s="145" t="s">
        <v>112</v>
      </c>
      <c r="D15" s="154" t="s">
        <v>78</v>
      </c>
      <c r="E15" s="145" t="s">
        <v>95</v>
      </c>
      <c r="F15" s="146" t="s">
        <v>278</v>
      </c>
      <c r="G15" s="145" t="s">
        <v>96</v>
      </c>
      <c r="H15" s="145" t="s">
        <v>10</v>
      </c>
      <c r="I15" s="149" t="s">
        <v>471</v>
      </c>
      <c r="J15" s="157" t="s">
        <v>97</v>
      </c>
      <c r="K15" s="145" t="s">
        <v>65</v>
      </c>
      <c r="L15" s="145" t="s">
        <v>216</v>
      </c>
      <c r="M15" s="180"/>
    </row>
    <row r="16" spans="1:13" s="126" customFormat="1" ht="38.25" hidden="1" x14ac:dyDescent="0.25">
      <c r="A16" s="126">
        <v>1</v>
      </c>
      <c r="B16" s="178">
        <v>43731</v>
      </c>
      <c r="C16" s="145" t="s">
        <v>112</v>
      </c>
      <c r="D16" s="154" t="s">
        <v>111</v>
      </c>
      <c r="E16" s="145" t="s">
        <v>92</v>
      </c>
      <c r="F16" s="146" t="s">
        <v>277</v>
      </c>
      <c r="G16" s="154" t="s">
        <v>93</v>
      </c>
      <c r="H16" s="145" t="s">
        <v>10</v>
      </c>
      <c r="I16" s="149" t="s">
        <v>471</v>
      </c>
      <c r="J16" s="157" t="s">
        <v>94</v>
      </c>
      <c r="K16" s="145" t="s">
        <v>51</v>
      </c>
      <c r="L16" s="145" t="s">
        <v>144</v>
      </c>
      <c r="M16" s="180" t="s">
        <v>143</v>
      </c>
    </row>
    <row r="17" spans="1:13" s="126" customFormat="1" ht="25.5" hidden="1" x14ac:dyDescent="0.25">
      <c r="A17" s="126">
        <v>2</v>
      </c>
      <c r="B17" s="178">
        <v>43724</v>
      </c>
      <c r="C17" s="145" t="s">
        <v>112</v>
      </c>
      <c r="D17" s="154" t="s">
        <v>80</v>
      </c>
      <c r="E17" s="145" t="s">
        <v>98</v>
      </c>
      <c r="F17" s="146" t="s">
        <v>278</v>
      </c>
      <c r="G17" s="154" t="s">
        <v>100</v>
      </c>
      <c r="H17" s="145" t="s">
        <v>10</v>
      </c>
      <c r="I17" s="149" t="s">
        <v>471</v>
      </c>
      <c r="J17" s="157" t="s">
        <v>97</v>
      </c>
      <c r="K17" s="145" t="s">
        <v>65</v>
      </c>
      <c r="L17" s="145" t="s">
        <v>216</v>
      </c>
      <c r="M17" s="180"/>
    </row>
    <row r="18" spans="1:13" s="126" customFormat="1" ht="51" hidden="1" x14ac:dyDescent="0.25">
      <c r="A18" s="126">
        <v>3</v>
      </c>
      <c r="B18" s="178">
        <v>43711</v>
      </c>
      <c r="C18" s="145" t="s">
        <v>106</v>
      </c>
      <c r="D18" s="154" t="s">
        <v>74</v>
      </c>
      <c r="E18" s="145" t="s">
        <v>104</v>
      </c>
      <c r="F18" s="146" t="s">
        <v>278</v>
      </c>
      <c r="G18" s="145" t="s">
        <v>105</v>
      </c>
      <c r="H18" s="145" t="s">
        <v>10</v>
      </c>
      <c r="I18" s="149" t="s">
        <v>471</v>
      </c>
      <c r="J18" s="157" t="s">
        <v>94</v>
      </c>
      <c r="K18" s="145" t="s">
        <v>51</v>
      </c>
      <c r="L18" s="145" t="s">
        <v>216</v>
      </c>
      <c r="M18" s="180"/>
    </row>
    <row r="19" spans="1:13" s="126" customFormat="1" ht="25.5" hidden="1" x14ac:dyDescent="0.25">
      <c r="A19" s="126">
        <v>4</v>
      </c>
      <c r="B19" s="178">
        <v>43711</v>
      </c>
      <c r="C19" s="145" t="s">
        <v>102</v>
      </c>
      <c r="D19" s="154" t="s">
        <v>113</v>
      </c>
      <c r="E19" s="145" t="s">
        <v>101</v>
      </c>
      <c r="F19" s="146" t="s">
        <v>278</v>
      </c>
      <c r="G19" s="154" t="s">
        <v>100</v>
      </c>
      <c r="H19" s="145" t="s">
        <v>10</v>
      </c>
      <c r="I19" s="236" t="s">
        <v>471</v>
      </c>
      <c r="J19" s="157" t="s">
        <v>94</v>
      </c>
      <c r="K19" s="145" t="s">
        <v>51</v>
      </c>
      <c r="L19" s="145" t="s">
        <v>216</v>
      </c>
      <c r="M19" s="180"/>
    </row>
    <row r="20" spans="1:13" s="126" customFormat="1" ht="51" hidden="1" x14ac:dyDescent="0.25">
      <c r="A20" s="126">
        <v>5</v>
      </c>
      <c r="B20" s="178">
        <v>43711</v>
      </c>
      <c r="C20" s="145" t="s">
        <v>102</v>
      </c>
      <c r="D20" s="154" t="s">
        <v>78</v>
      </c>
      <c r="E20" s="145" t="s">
        <v>103</v>
      </c>
      <c r="F20" s="146" t="s">
        <v>278</v>
      </c>
      <c r="G20" s="145" t="s">
        <v>96</v>
      </c>
      <c r="H20" s="145" t="s">
        <v>10</v>
      </c>
      <c r="I20" s="149" t="s">
        <v>471</v>
      </c>
      <c r="J20" s="157" t="s">
        <v>94</v>
      </c>
      <c r="K20" s="145" t="s">
        <v>51</v>
      </c>
      <c r="L20" s="145" t="s">
        <v>216</v>
      </c>
      <c r="M20" s="180"/>
    </row>
    <row r="21" spans="1:13" s="126" customFormat="1" ht="25.5" hidden="1" x14ac:dyDescent="0.25">
      <c r="A21" s="126">
        <v>6</v>
      </c>
      <c r="B21" s="178">
        <v>43685</v>
      </c>
      <c r="C21" s="145" t="s">
        <v>107</v>
      </c>
      <c r="D21" s="154" t="s">
        <v>80</v>
      </c>
      <c r="E21" s="145" t="s">
        <v>72</v>
      </c>
      <c r="F21" s="146" t="s">
        <v>278</v>
      </c>
      <c r="G21" s="154" t="s">
        <v>100</v>
      </c>
      <c r="H21" s="145" t="s">
        <v>10</v>
      </c>
      <c r="I21" s="149" t="s">
        <v>471</v>
      </c>
      <c r="J21" s="157" t="s">
        <v>94</v>
      </c>
      <c r="K21" s="145" t="s">
        <v>51</v>
      </c>
      <c r="L21" s="145" t="s">
        <v>216</v>
      </c>
      <c r="M21" s="180" t="s">
        <v>115</v>
      </c>
    </row>
    <row r="22" spans="1:13" s="126" customFormat="1" ht="38.25" hidden="1" x14ac:dyDescent="0.25">
      <c r="A22" s="126">
        <v>7</v>
      </c>
      <c r="B22" s="178">
        <v>43681</v>
      </c>
      <c r="C22" s="145" t="s">
        <v>107</v>
      </c>
      <c r="D22" s="154" t="s">
        <v>80</v>
      </c>
      <c r="E22" s="145" t="s">
        <v>108</v>
      </c>
      <c r="F22" s="146" t="s">
        <v>278</v>
      </c>
      <c r="G22" s="154" t="s">
        <v>100</v>
      </c>
      <c r="H22" s="145" t="s">
        <v>10</v>
      </c>
      <c r="I22" s="149" t="s">
        <v>471</v>
      </c>
      <c r="J22" s="157" t="s">
        <v>109</v>
      </c>
      <c r="K22" s="145" t="s">
        <v>65</v>
      </c>
      <c r="L22" s="145" t="s">
        <v>216</v>
      </c>
      <c r="M22" s="180"/>
    </row>
    <row r="23" spans="1:13" s="126" customFormat="1" ht="38.25" hidden="1" x14ac:dyDescent="0.25">
      <c r="A23" s="126">
        <v>8</v>
      </c>
      <c r="B23" s="178">
        <v>43677</v>
      </c>
      <c r="C23" s="145" t="s">
        <v>107</v>
      </c>
      <c r="D23" s="154" t="s">
        <v>80</v>
      </c>
      <c r="E23" s="145" t="s">
        <v>110</v>
      </c>
      <c r="F23" s="146" t="s">
        <v>278</v>
      </c>
      <c r="G23" s="154" t="s">
        <v>100</v>
      </c>
      <c r="H23" s="145" t="s">
        <v>10</v>
      </c>
      <c r="I23" s="149" t="s">
        <v>471</v>
      </c>
      <c r="J23" s="157" t="s">
        <v>109</v>
      </c>
      <c r="K23" s="145" t="s">
        <v>65</v>
      </c>
      <c r="L23" s="145" t="s">
        <v>216</v>
      </c>
      <c r="M23" s="180"/>
    </row>
    <row r="24" spans="1:13" s="126" customFormat="1" ht="51" hidden="1" x14ac:dyDescent="0.25">
      <c r="A24" s="126">
        <v>9</v>
      </c>
      <c r="B24" s="178">
        <v>43656</v>
      </c>
      <c r="C24" s="145" t="s">
        <v>168</v>
      </c>
      <c r="D24" s="154" t="s">
        <v>169</v>
      </c>
      <c r="E24" s="145" t="s">
        <v>170</v>
      </c>
      <c r="F24" s="146" t="s">
        <v>278</v>
      </c>
      <c r="G24" s="145" t="s">
        <v>105</v>
      </c>
      <c r="H24" s="145" t="s">
        <v>10</v>
      </c>
      <c r="I24" s="149" t="s">
        <v>471</v>
      </c>
      <c r="J24" s="157" t="s">
        <v>94</v>
      </c>
      <c r="K24" s="145" t="s">
        <v>51</v>
      </c>
      <c r="L24" s="145" t="s">
        <v>144</v>
      </c>
      <c r="M24" s="180"/>
    </row>
    <row r="25" spans="1:13" s="126" customFormat="1" ht="63.75" hidden="1" x14ac:dyDescent="0.25">
      <c r="A25" s="126">
        <v>10</v>
      </c>
      <c r="B25" s="178">
        <v>43656</v>
      </c>
      <c r="C25" s="145" t="s">
        <v>172</v>
      </c>
      <c r="D25" s="154" t="s">
        <v>169</v>
      </c>
      <c r="E25" s="145" t="s">
        <v>173</v>
      </c>
      <c r="F25" s="146" t="s">
        <v>278</v>
      </c>
      <c r="G25" s="145" t="s">
        <v>105</v>
      </c>
      <c r="H25" s="145" t="s">
        <v>10</v>
      </c>
      <c r="I25" s="149" t="s">
        <v>471</v>
      </c>
      <c r="J25" s="157" t="s">
        <v>94</v>
      </c>
      <c r="K25" s="145" t="s">
        <v>65</v>
      </c>
      <c r="L25" s="145" t="s">
        <v>216</v>
      </c>
      <c r="M25" s="180"/>
    </row>
    <row r="26" spans="1:13" s="126" customFormat="1" ht="63.75" hidden="1" x14ac:dyDescent="0.25">
      <c r="A26" s="126">
        <v>11</v>
      </c>
      <c r="B26" s="178">
        <v>43642</v>
      </c>
      <c r="C26" s="145" t="s">
        <v>59</v>
      </c>
      <c r="D26" s="154" t="s">
        <v>60</v>
      </c>
      <c r="E26" s="145" t="s">
        <v>61</v>
      </c>
      <c r="F26" s="146" t="s">
        <v>278</v>
      </c>
      <c r="G26" s="145" t="s">
        <v>96</v>
      </c>
      <c r="H26" s="145" t="s">
        <v>10</v>
      </c>
      <c r="I26" s="149" t="s">
        <v>471</v>
      </c>
      <c r="J26" s="157" t="s">
        <v>50</v>
      </c>
      <c r="K26" s="145" t="s">
        <v>51</v>
      </c>
      <c r="L26" s="145" t="s">
        <v>144</v>
      </c>
      <c r="M26" s="180" t="s">
        <v>146</v>
      </c>
    </row>
    <row r="27" spans="1:13" s="126" customFormat="1" ht="51" hidden="1" x14ac:dyDescent="0.25">
      <c r="A27" s="126">
        <v>12</v>
      </c>
      <c r="B27" s="178">
        <v>43628</v>
      </c>
      <c r="C27" s="145" t="s">
        <v>62</v>
      </c>
      <c r="D27" s="154" t="s">
        <v>63</v>
      </c>
      <c r="E27" s="145" t="s">
        <v>64</v>
      </c>
      <c r="F27" s="146" t="s">
        <v>278</v>
      </c>
      <c r="G27" s="145" t="s">
        <v>96</v>
      </c>
      <c r="H27" s="145" t="s">
        <v>10</v>
      </c>
      <c r="I27" s="149" t="s">
        <v>471</v>
      </c>
      <c r="J27" s="157" t="s">
        <v>50</v>
      </c>
      <c r="K27" s="145" t="s">
        <v>65</v>
      </c>
      <c r="L27" s="145" t="s">
        <v>216</v>
      </c>
      <c r="M27" s="180" t="s">
        <v>67</v>
      </c>
    </row>
    <row r="28" spans="1:13" s="126" customFormat="1" ht="51" hidden="1" x14ac:dyDescent="0.25">
      <c r="A28" s="126">
        <v>13</v>
      </c>
      <c r="B28" s="178">
        <v>43620</v>
      </c>
      <c r="C28" s="145" t="s">
        <v>56</v>
      </c>
      <c r="D28" s="154" t="s">
        <v>57</v>
      </c>
      <c r="E28" s="145" t="s">
        <v>58</v>
      </c>
      <c r="F28" s="146" t="s">
        <v>278</v>
      </c>
      <c r="G28" s="154" t="s">
        <v>413</v>
      </c>
      <c r="H28" s="145" t="s">
        <v>114</v>
      </c>
      <c r="I28" s="149" t="s">
        <v>471</v>
      </c>
      <c r="J28" s="157" t="s">
        <v>50</v>
      </c>
      <c r="K28" s="145" t="s">
        <v>51</v>
      </c>
      <c r="L28" s="145" t="s">
        <v>50</v>
      </c>
      <c r="M28" s="180"/>
    </row>
    <row r="29" spans="1:13" s="126" customFormat="1" ht="51" hidden="1" x14ac:dyDescent="0.25">
      <c r="A29" s="126">
        <v>14</v>
      </c>
      <c r="B29" s="178">
        <v>43616</v>
      </c>
      <c r="C29" s="145" t="s">
        <v>52</v>
      </c>
      <c r="D29" s="154" t="s">
        <v>53</v>
      </c>
      <c r="E29" s="145" t="s">
        <v>54</v>
      </c>
      <c r="F29" s="146" t="s">
        <v>278</v>
      </c>
      <c r="G29" s="154" t="s">
        <v>413</v>
      </c>
      <c r="H29" s="145" t="s">
        <v>10</v>
      </c>
      <c r="I29" s="149" t="s">
        <v>471</v>
      </c>
      <c r="J29" s="157" t="s">
        <v>50</v>
      </c>
      <c r="K29" s="145" t="s">
        <v>51</v>
      </c>
      <c r="L29" s="145" t="s">
        <v>144</v>
      </c>
      <c r="M29" s="180"/>
    </row>
    <row r="30" spans="1:13" s="126" customFormat="1" ht="25.5" hidden="1" x14ac:dyDescent="0.25">
      <c r="A30" s="126">
        <v>1</v>
      </c>
      <c r="B30" s="178">
        <v>43493</v>
      </c>
      <c r="C30" s="145" t="s">
        <v>46</v>
      </c>
      <c r="D30" s="154" t="s">
        <v>47</v>
      </c>
      <c r="E30" s="145" t="s">
        <v>48</v>
      </c>
      <c r="F30" s="146" t="s">
        <v>278</v>
      </c>
      <c r="G30" s="145" t="s">
        <v>96</v>
      </c>
      <c r="H30" s="145" t="s">
        <v>10</v>
      </c>
      <c r="I30" s="149" t="s">
        <v>471</v>
      </c>
      <c r="J30" s="157" t="s">
        <v>50</v>
      </c>
      <c r="K30" s="145" t="s">
        <v>51</v>
      </c>
      <c r="L30" s="145" t="s">
        <v>144</v>
      </c>
      <c r="M30" s="180"/>
    </row>
    <row r="31" spans="1:13" s="126" customFormat="1" ht="25.5" hidden="1" x14ac:dyDescent="0.25">
      <c r="A31" s="126">
        <v>2</v>
      </c>
      <c r="B31" s="178">
        <v>43291</v>
      </c>
      <c r="C31" s="145" t="s">
        <v>174</v>
      </c>
      <c r="D31" s="154" t="s">
        <v>169</v>
      </c>
      <c r="E31" s="145" t="s">
        <v>48</v>
      </c>
      <c r="F31" s="146" t="s">
        <v>278</v>
      </c>
      <c r="G31" s="145" t="s">
        <v>96</v>
      </c>
      <c r="H31" s="145" t="s">
        <v>10</v>
      </c>
      <c r="I31" s="149" t="s">
        <v>471</v>
      </c>
      <c r="J31" s="157" t="s">
        <v>94</v>
      </c>
      <c r="K31" s="145" t="s">
        <v>65</v>
      </c>
      <c r="L31" s="145" t="s">
        <v>216</v>
      </c>
      <c r="M31" s="180" t="s">
        <v>175</v>
      </c>
    </row>
    <row r="32" spans="1:13" s="126" customFormat="1" ht="38.25" hidden="1" x14ac:dyDescent="0.25">
      <c r="A32" s="126">
        <v>3</v>
      </c>
      <c r="B32" s="178">
        <v>43291</v>
      </c>
      <c r="C32" s="145" t="s">
        <v>176</v>
      </c>
      <c r="D32" s="154" t="s">
        <v>169</v>
      </c>
      <c r="E32" s="145" t="s">
        <v>177</v>
      </c>
      <c r="F32" s="146" t="s">
        <v>278</v>
      </c>
      <c r="G32" s="145" t="s">
        <v>96</v>
      </c>
      <c r="H32" s="145" t="s">
        <v>10</v>
      </c>
      <c r="I32" s="149" t="s">
        <v>471</v>
      </c>
      <c r="J32" s="157" t="s">
        <v>109</v>
      </c>
      <c r="K32" s="145" t="s">
        <v>51</v>
      </c>
      <c r="L32" s="145" t="s">
        <v>144</v>
      </c>
      <c r="M32" s="180"/>
    </row>
    <row r="33" spans="1:13" s="126" customFormat="1" ht="38.25" hidden="1" x14ac:dyDescent="0.25">
      <c r="A33" s="126">
        <v>4</v>
      </c>
      <c r="B33" s="178">
        <v>43291</v>
      </c>
      <c r="C33" s="145" t="s">
        <v>176</v>
      </c>
      <c r="D33" s="154" t="s">
        <v>169</v>
      </c>
      <c r="E33" s="145" t="s">
        <v>48</v>
      </c>
      <c r="F33" s="146" t="s">
        <v>278</v>
      </c>
      <c r="G33" s="145" t="s">
        <v>96</v>
      </c>
      <c r="H33" s="145" t="s">
        <v>10</v>
      </c>
      <c r="I33" s="149" t="s">
        <v>471</v>
      </c>
      <c r="J33" s="157" t="s">
        <v>109</v>
      </c>
      <c r="K33" s="145" t="s">
        <v>65</v>
      </c>
      <c r="L33" s="145" t="s">
        <v>216</v>
      </c>
      <c r="M33" s="180" t="s">
        <v>175</v>
      </c>
    </row>
    <row r="34" spans="1:13" s="126" customFormat="1" ht="38.25" hidden="1" x14ac:dyDescent="0.25">
      <c r="A34" s="126">
        <v>5</v>
      </c>
      <c r="B34" s="178">
        <v>43291</v>
      </c>
      <c r="C34" s="145" t="s">
        <v>178</v>
      </c>
      <c r="D34" s="154" t="s">
        <v>169</v>
      </c>
      <c r="E34" s="145" t="s">
        <v>179</v>
      </c>
      <c r="F34" s="146" t="s">
        <v>277</v>
      </c>
      <c r="G34" s="154" t="s">
        <v>93</v>
      </c>
      <c r="H34" s="145" t="s">
        <v>10</v>
      </c>
      <c r="I34" s="149" t="s">
        <v>471</v>
      </c>
      <c r="J34" s="157" t="s">
        <v>94</v>
      </c>
      <c r="K34" s="145" t="s">
        <v>51</v>
      </c>
      <c r="L34" s="145" t="s">
        <v>144</v>
      </c>
      <c r="M34" s="180"/>
    </row>
    <row r="35" spans="1:13" s="126" customFormat="1" ht="51" hidden="1" x14ac:dyDescent="0.25">
      <c r="A35" s="126">
        <v>6</v>
      </c>
      <c r="B35" s="178">
        <v>43291</v>
      </c>
      <c r="C35" s="145" t="s">
        <v>176</v>
      </c>
      <c r="D35" s="154" t="s">
        <v>169</v>
      </c>
      <c r="E35" s="145" t="s">
        <v>181</v>
      </c>
      <c r="F35" s="146" t="s">
        <v>277</v>
      </c>
      <c r="G35" s="154" t="s">
        <v>93</v>
      </c>
      <c r="H35" s="145" t="s">
        <v>10</v>
      </c>
      <c r="I35" s="149" t="s">
        <v>471</v>
      </c>
      <c r="J35" s="157" t="s">
        <v>182</v>
      </c>
      <c r="K35" s="145" t="s">
        <v>51</v>
      </c>
      <c r="L35" s="145" t="s">
        <v>144</v>
      </c>
      <c r="M35" s="180"/>
    </row>
    <row r="36" spans="1:13" s="126" customFormat="1" ht="25.5" x14ac:dyDescent="0.25">
      <c r="A36" s="126">
        <v>7</v>
      </c>
      <c r="B36" s="178">
        <v>46126</v>
      </c>
      <c r="C36" s="145" t="s">
        <v>537</v>
      </c>
      <c r="D36" s="154" t="s">
        <v>126</v>
      </c>
      <c r="E36" s="145" t="s">
        <v>540</v>
      </c>
      <c r="F36" s="146" t="s">
        <v>481</v>
      </c>
      <c r="G36" s="145" t="s">
        <v>395</v>
      </c>
      <c r="H36" s="145" t="s">
        <v>10</v>
      </c>
      <c r="I36" s="149">
        <v>1659</v>
      </c>
      <c r="J36" s="157" t="s">
        <v>396</v>
      </c>
      <c r="K36" s="145"/>
      <c r="L36" s="145"/>
      <c r="M36" s="180" t="s">
        <v>485</v>
      </c>
    </row>
    <row r="37" spans="1:13" s="126" customFormat="1" ht="38.25" x14ac:dyDescent="0.25">
      <c r="A37" s="126">
        <v>8</v>
      </c>
      <c r="B37" s="178">
        <v>46056</v>
      </c>
      <c r="C37" s="145" t="s">
        <v>538</v>
      </c>
      <c r="D37" s="154" t="s">
        <v>126</v>
      </c>
      <c r="E37" s="145" t="s">
        <v>541</v>
      </c>
      <c r="F37" s="146" t="s">
        <v>434</v>
      </c>
      <c r="G37" s="145" t="s">
        <v>441</v>
      </c>
      <c r="H37" s="145" t="s">
        <v>10</v>
      </c>
      <c r="I37" s="149">
        <v>1617</v>
      </c>
      <c r="J37" s="157" t="s">
        <v>426</v>
      </c>
      <c r="K37" s="145" t="s">
        <v>301</v>
      </c>
      <c r="L37" s="145"/>
      <c r="M37" s="180" t="s">
        <v>485</v>
      </c>
    </row>
    <row r="38" spans="1:13" s="126" customFormat="1" ht="51" x14ac:dyDescent="0.25">
      <c r="A38" s="126">
        <v>9</v>
      </c>
      <c r="B38" s="178">
        <v>46051</v>
      </c>
      <c r="C38" s="145" t="s">
        <v>539</v>
      </c>
      <c r="D38" s="154" t="s">
        <v>126</v>
      </c>
      <c r="E38" s="145" t="s">
        <v>542</v>
      </c>
      <c r="F38" s="146" t="s">
        <v>481</v>
      </c>
      <c r="G38" s="145" t="s">
        <v>96</v>
      </c>
      <c r="H38" s="145" t="s">
        <v>10</v>
      </c>
      <c r="I38" s="149">
        <v>1615</v>
      </c>
      <c r="J38" s="157" t="s">
        <v>426</v>
      </c>
      <c r="K38" s="145" t="s">
        <v>301</v>
      </c>
      <c r="L38" s="145"/>
      <c r="M38" s="180" t="s">
        <v>485</v>
      </c>
    </row>
    <row r="39" spans="1:13" s="126" customFormat="1" ht="38.25" x14ac:dyDescent="0.25">
      <c r="A39" s="126">
        <v>10</v>
      </c>
      <c r="B39" s="178">
        <v>45944</v>
      </c>
      <c r="C39" s="145" t="s">
        <v>530</v>
      </c>
      <c r="D39" s="154" t="s">
        <v>169</v>
      </c>
      <c r="E39" s="145" t="s">
        <v>525</v>
      </c>
      <c r="F39" s="146" t="s">
        <v>434</v>
      </c>
      <c r="G39" s="245" t="s">
        <v>219</v>
      </c>
      <c r="H39" s="245" t="s">
        <v>254</v>
      </c>
      <c r="I39" s="246">
        <v>1553</v>
      </c>
      <c r="J39" s="157" t="s">
        <v>426</v>
      </c>
      <c r="K39" s="245" t="s">
        <v>301</v>
      </c>
      <c r="L39" s="245" t="s">
        <v>301</v>
      </c>
      <c r="M39" s="180" t="s">
        <v>485</v>
      </c>
    </row>
    <row r="40" spans="1:13" s="126" customFormat="1" ht="38.25" x14ac:dyDescent="0.25">
      <c r="A40" s="126">
        <v>11</v>
      </c>
      <c r="B40" s="178">
        <v>45901</v>
      </c>
      <c r="C40" s="145" t="s">
        <v>531</v>
      </c>
      <c r="D40" s="154" t="s">
        <v>169</v>
      </c>
      <c r="E40" s="145" t="s">
        <v>526</v>
      </c>
      <c r="F40" s="146" t="s">
        <v>434</v>
      </c>
      <c r="G40" s="245" t="s">
        <v>441</v>
      </c>
      <c r="H40" s="245" t="s">
        <v>10</v>
      </c>
      <c r="I40" s="246">
        <v>1523</v>
      </c>
      <c r="J40" s="157" t="s">
        <v>426</v>
      </c>
      <c r="K40" s="245" t="s">
        <v>301</v>
      </c>
      <c r="L40" s="245" t="s">
        <v>301</v>
      </c>
      <c r="M40" s="180" t="s">
        <v>485</v>
      </c>
    </row>
    <row r="41" spans="1:13" s="126" customFormat="1" ht="38.25" x14ac:dyDescent="0.25">
      <c r="A41" s="126">
        <v>12</v>
      </c>
      <c r="B41" s="178">
        <v>45901</v>
      </c>
      <c r="C41" s="145" t="s">
        <v>532</v>
      </c>
      <c r="D41" s="154" t="s">
        <v>169</v>
      </c>
      <c r="E41" s="145" t="s">
        <v>527</v>
      </c>
      <c r="F41" s="146" t="s">
        <v>434</v>
      </c>
      <c r="G41" s="245" t="s">
        <v>93</v>
      </c>
      <c r="H41" s="245" t="s">
        <v>10</v>
      </c>
      <c r="I41" s="246">
        <v>1522</v>
      </c>
      <c r="J41" s="157" t="s">
        <v>426</v>
      </c>
      <c r="K41" s="245" t="s">
        <v>301</v>
      </c>
      <c r="L41" s="245" t="s">
        <v>309</v>
      </c>
      <c r="M41" s="180" t="s">
        <v>485</v>
      </c>
    </row>
    <row r="42" spans="1:13" s="126" customFormat="1" ht="38.25" x14ac:dyDescent="0.25">
      <c r="B42" s="178">
        <v>45886</v>
      </c>
      <c r="C42" s="145" t="s">
        <v>533</v>
      </c>
      <c r="D42" s="154" t="s">
        <v>169</v>
      </c>
      <c r="E42" s="145" t="s">
        <v>528</v>
      </c>
      <c r="F42" s="146" t="s">
        <v>481</v>
      </c>
      <c r="G42" s="145" t="s">
        <v>421</v>
      </c>
      <c r="H42" s="245" t="s">
        <v>535</v>
      </c>
      <c r="I42" s="246">
        <v>1472</v>
      </c>
      <c r="J42" s="157" t="s">
        <v>426</v>
      </c>
      <c r="K42" s="245" t="s">
        <v>301</v>
      </c>
      <c r="L42" s="245"/>
      <c r="M42" s="180" t="s">
        <v>485</v>
      </c>
    </row>
    <row r="43" spans="1:13" s="126" customFormat="1" ht="38.25" x14ac:dyDescent="0.25">
      <c r="B43" s="178">
        <v>45874</v>
      </c>
      <c r="C43" s="145" t="s">
        <v>534</v>
      </c>
      <c r="D43" s="154" t="s">
        <v>169</v>
      </c>
      <c r="E43" s="145" t="s">
        <v>529</v>
      </c>
      <c r="F43" s="146" t="s">
        <v>481</v>
      </c>
      <c r="G43" s="245" t="s">
        <v>413</v>
      </c>
      <c r="H43" s="245" t="s">
        <v>457</v>
      </c>
      <c r="I43" s="246">
        <v>1467</v>
      </c>
      <c r="J43" s="157" t="s">
        <v>426</v>
      </c>
      <c r="K43" s="245" t="s">
        <v>301</v>
      </c>
      <c r="L43" s="245"/>
      <c r="M43" s="180" t="s">
        <v>485</v>
      </c>
    </row>
    <row r="44" spans="1:13" s="126" customFormat="1" ht="38.25" x14ac:dyDescent="0.25">
      <c r="A44" s="126">
        <v>13</v>
      </c>
      <c r="B44" s="178">
        <v>45860</v>
      </c>
      <c r="C44" s="145" t="s">
        <v>515</v>
      </c>
      <c r="D44" s="154" t="s">
        <v>169</v>
      </c>
      <c r="E44" s="145" t="s">
        <v>520</v>
      </c>
      <c r="F44" s="146" t="s">
        <v>481</v>
      </c>
      <c r="G44" s="145" t="s">
        <v>212</v>
      </c>
      <c r="H44" s="145" t="s">
        <v>10</v>
      </c>
      <c r="I44" s="149">
        <v>1444</v>
      </c>
      <c r="J44" s="157" t="s">
        <v>426</v>
      </c>
      <c r="K44" s="145" t="s">
        <v>301</v>
      </c>
      <c r="L44" s="145" t="s">
        <v>309</v>
      </c>
      <c r="M44" s="180" t="s">
        <v>485</v>
      </c>
    </row>
    <row r="45" spans="1:13" s="163" customFormat="1" ht="57.6" customHeight="1" x14ac:dyDescent="0.25">
      <c r="A45" s="163">
        <v>1</v>
      </c>
      <c r="B45" s="178">
        <v>45860</v>
      </c>
      <c r="C45" s="145" t="s">
        <v>515</v>
      </c>
      <c r="D45" s="154" t="s">
        <v>169</v>
      </c>
      <c r="E45" s="145" t="s">
        <v>521</v>
      </c>
      <c r="F45" s="146" t="s">
        <v>481</v>
      </c>
      <c r="G45" s="145" t="s">
        <v>522</v>
      </c>
      <c r="H45" s="145" t="s">
        <v>10</v>
      </c>
      <c r="I45" s="149">
        <v>1443</v>
      </c>
      <c r="J45" s="157" t="s">
        <v>36</v>
      </c>
      <c r="K45" s="145" t="s">
        <v>309</v>
      </c>
      <c r="L45" s="145" t="s">
        <v>216</v>
      </c>
      <c r="M45" s="180" t="s">
        <v>523</v>
      </c>
    </row>
    <row r="46" spans="1:13" s="163" customFormat="1" ht="57.6" customHeight="1" x14ac:dyDescent="0.25">
      <c r="A46" s="163">
        <v>2</v>
      </c>
      <c r="B46" s="178">
        <v>45860</v>
      </c>
      <c r="C46" s="145" t="s">
        <v>515</v>
      </c>
      <c r="D46" s="154" t="s">
        <v>169</v>
      </c>
      <c r="E46" s="145" t="s">
        <v>519</v>
      </c>
      <c r="F46" s="146" t="s">
        <v>481</v>
      </c>
      <c r="G46" s="145" t="s">
        <v>437</v>
      </c>
      <c r="H46" s="145" t="s">
        <v>457</v>
      </c>
      <c r="I46" s="149">
        <v>1412</v>
      </c>
      <c r="J46" s="157" t="s">
        <v>426</v>
      </c>
      <c r="K46" s="145" t="s">
        <v>301</v>
      </c>
      <c r="L46" s="145" t="s">
        <v>309</v>
      </c>
      <c r="M46" s="180" t="s">
        <v>485</v>
      </c>
    </row>
    <row r="47" spans="1:13" s="163" customFormat="1" ht="57.6" customHeight="1" x14ac:dyDescent="0.25">
      <c r="A47" s="163">
        <v>3</v>
      </c>
      <c r="B47" s="178">
        <v>45860</v>
      </c>
      <c r="C47" s="145" t="s">
        <v>515</v>
      </c>
      <c r="D47" s="154" t="s">
        <v>169</v>
      </c>
      <c r="E47" s="145" t="s">
        <v>518</v>
      </c>
      <c r="F47" s="146" t="s">
        <v>481</v>
      </c>
      <c r="G47" s="145" t="s">
        <v>421</v>
      </c>
      <c r="H47" s="145" t="s">
        <v>10</v>
      </c>
      <c r="I47" s="149">
        <v>1395</v>
      </c>
      <c r="J47" s="157" t="s">
        <v>426</v>
      </c>
      <c r="K47" s="145" t="s">
        <v>301</v>
      </c>
      <c r="L47" s="145" t="s">
        <v>309</v>
      </c>
      <c r="M47" s="180" t="s">
        <v>485</v>
      </c>
    </row>
    <row r="48" spans="1:13" s="163" customFormat="1" ht="57.6" customHeight="1" x14ac:dyDescent="0.25">
      <c r="A48" s="163">
        <v>4</v>
      </c>
      <c r="B48" s="178">
        <v>45860</v>
      </c>
      <c r="C48" s="145" t="s">
        <v>515</v>
      </c>
      <c r="D48" s="154" t="s">
        <v>169</v>
      </c>
      <c r="E48" s="145" t="s">
        <v>517</v>
      </c>
      <c r="F48" s="146" t="s">
        <v>481</v>
      </c>
      <c r="G48" s="145" t="s">
        <v>413</v>
      </c>
      <c r="H48" s="145" t="s">
        <v>10</v>
      </c>
      <c r="I48" s="149">
        <v>1388</v>
      </c>
      <c r="J48" s="157" t="s">
        <v>426</v>
      </c>
      <c r="K48" s="145" t="s">
        <v>301</v>
      </c>
      <c r="L48" s="145" t="s">
        <v>301</v>
      </c>
      <c r="M48" s="180" t="s">
        <v>485</v>
      </c>
    </row>
    <row r="49" spans="1:16" s="163" customFormat="1" ht="57.6" customHeight="1" x14ac:dyDescent="0.25">
      <c r="A49" s="163">
        <v>5</v>
      </c>
      <c r="B49" s="178">
        <v>45860</v>
      </c>
      <c r="C49" s="145" t="s">
        <v>515</v>
      </c>
      <c r="D49" s="154" t="s">
        <v>169</v>
      </c>
      <c r="E49" s="145" t="s">
        <v>516</v>
      </c>
      <c r="F49" s="146" t="s">
        <v>481</v>
      </c>
      <c r="G49" s="145" t="s">
        <v>100</v>
      </c>
      <c r="H49" s="145" t="s">
        <v>10</v>
      </c>
      <c r="I49" s="149">
        <v>1387</v>
      </c>
      <c r="J49" s="157" t="s">
        <v>426</v>
      </c>
      <c r="K49" s="145" t="s">
        <v>301</v>
      </c>
      <c r="L49" s="145" t="s">
        <v>301</v>
      </c>
      <c r="M49" s="180" t="s">
        <v>485</v>
      </c>
    </row>
    <row r="50" spans="1:16" s="163" customFormat="1" ht="34.5" customHeight="1" x14ac:dyDescent="0.25">
      <c r="A50" s="163">
        <v>6</v>
      </c>
      <c r="B50" s="178">
        <v>45832</v>
      </c>
      <c r="C50" s="145" t="s">
        <v>513</v>
      </c>
      <c r="D50" s="154" t="s">
        <v>169</v>
      </c>
      <c r="E50" s="145" t="s">
        <v>359</v>
      </c>
      <c r="F50" s="146" t="s">
        <v>481</v>
      </c>
      <c r="G50" s="145" t="s">
        <v>413</v>
      </c>
      <c r="H50" s="145" t="s">
        <v>457</v>
      </c>
      <c r="I50" s="149">
        <v>1363</v>
      </c>
      <c r="J50" s="157" t="s">
        <v>426</v>
      </c>
      <c r="K50" s="145" t="s">
        <v>301</v>
      </c>
      <c r="L50" s="145" t="s">
        <v>216</v>
      </c>
      <c r="M50" s="180" t="s">
        <v>485</v>
      </c>
    </row>
    <row r="51" spans="1:16" s="163" customFormat="1" ht="61.15" customHeight="1" x14ac:dyDescent="0.25">
      <c r="A51" s="163">
        <v>7</v>
      </c>
      <c r="B51" s="178">
        <v>45832</v>
      </c>
      <c r="C51" s="145" t="s">
        <v>513</v>
      </c>
      <c r="D51" s="154" t="s">
        <v>169</v>
      </c>
      <c r="E51" s="145" t="s">
        <v>514</v>
      </c>
      <c r="F51" s="146" t="s">
        <v>481</v>
      </c>
      <c r="G51" s="145" t="s">
        <v>421</v>
      </c>
      <c r="H51" s="145" t="s">
        <v>10</v>
      </c>
      <c r="I51" s="149">
        <v>1362</v>
      </c>
      <c r="J51" s="157" t="s">
        <v>426</v>
      </c>
      <c r="K51" s="145" t="s">
        <v>301</v>
      </c>
      <c r="L51" s="145" t="s">
        <v>216</v>
      </c>
      <c r="M51" s="180" t="s">
        <v>485</v>
      </c>
    </row>
    <row r="52" spans="1:16" s="163" customFormat="1" ht="55.9" customHeight="1" x14ac:dyDescent="0.25">
      <c r="A52" s="163">
        <v>8</v>
      </c>
      <c r="B52" s="178">
        <v>45768</v>
      </c>
      <c r="C52" s="145" t="s">
        <v>479</v>
      </c>
      <c r="D52" s="154" t="s">
        <v>169</v>
      </c>
      <c r="E52" s="145" t="s">
        <v>480</v>
      </c>
      <c r="F52" s="146" t="s">
        <v>481</v>
      </c>
      <c r="G52" s="145" t="s">
        <v>421</v>
      </c>
      <c r="H52" s="145" t="s">
        <v>482</v>
      </c>
      <c r="I52" s="149">
        <v>1316</v>
      </c>
      <c r="J52" s="157" t="s">
        <v>393</v>
      </c>
      <c r="K52" s="145" t="s">
        <v>309</v>
      </c>
      <c r="L52" s="145"/>
      <c r="M52" s="180" t="s">
        <v>488</v>
      </c>
    </row>
    <row r="53" spans="1:16" s="163" customFormat="1" ht="55.9" customHeight="1" x14ac:dyDescent="0.25">
      <c r="A53" s="163">
        <v>9</v>
      </c>
      <c r="B53" s="178">
        <v>45749</v>
      </c>
      <c r="C53" s="145" t="s">
        <v>468</v>
      </c>
      <c r="D53" s="154" t="s">
        <v>126</v>
      </c>
      <c r="E53" s="145" t="s">
        <v>469</v>
      </c>
      <c r="F53" s="146" t="s">
        <v>155</v>
      </c>
      <c r="G53" s="154" t="s">
        <v>395</v>
      </c>
      <c r="H53" s="145" t="s">
        <v>10</v>
      </c>
      <c r="I53" s="146">
        <v>1303</v>
      </c>
      <c r="J53" s="157" t="s">
        <v>426</v>
      </c>
      <c r="K53" s="145" t="s">
        <v>301</v>
      </c>
      <c r="L53" s="145"/>
      <c r="M53" s="180" t="s">
        <v>470</v>
      </c>
    </row>
    <row r="54" spans="1:16" s="163" customFormat="1" ht="57" customHeight="1" x14ac:dyDescent="0.25">
      <c r="A54" s="163">
        <v>10</v>
      </c>
      <c r="B54" s="178">
        <v>45708</v>
      </c>
      <c r="C54" s="145" t="s">
        <v>444</v>
      </c>
      <c r="D54" s="154" t="s">
        <v>126</v>
      </c>
      <c r="E54" s="145" t="s">
        <v>445</v>
      </c>
      <c r="F54" s="146" t="s">
        <v>155</v>
      </c>
      <c r="G54" s="145" t="s">
        <v>96</v>
      </c>
      <c r="H54" s="145" t="s">
        <v>10</v>
      </c>
      <c r="I54" s="146">
        <v>1267</v>
      </c>
      <c r="J54" s="157" t="s">
        <v>392</v>
      </c>
      <c r="K54" s="145" t="s">
        <v>459</v>
      </c>
      <c r="L54" s="145"/>
      <c r="M54" s="180"/>
    </row>
    <row r="55" spans="1:16" s="163" customFormat="1" ht="57" customHeight="1" x14ac:dyDescent="0.25">
      <c r="A55" s="163">
        <v>1</v>
      </c>
      <c r="B55" s="178">
        <v>45606</v>
      </c>
      <c r="C55" s="145" t="s">
        <v>439</v>
      </c>
      <c r="D55" s="154" t="s">
        <v>126</v>
      </c>
      <c r="E55" s="145" t="s">
        <v>442</v>
      </c>
      <c r="F55" s="146" t="s">
        <v>434</v>
      </c>
      <c r="G55" s="154" t="s">
        <v>441</v>
      </c>
      <c r="H55" s="145" t="s">
        <v>10</v>
      </c>
      <c r="I55" s="179">
        <v>1213</v>
      </c>
      <c r="J55" s="157" t="s">
        <v>392</v>
      </c>
      <c r="K55" s="145" t="s">
        <v>301</v>
      </c>
      <c r="L55" s="145" t="s">
        <v>309</v>
      </c>
      <c r="M55" s="180"/>
    </row>
    <row r="56" spans="1:16" s="163" customFormat="1" ht="73.5" customHeight="1" x14ac:dyDescent="0.25">
      <c r="A56" s="163">
        <v>2</v>
      </c>
      <c r="B56" s="178">
        <v>45606</v>
      </c>
      <c r="C56" s="145" t="s">
        <v>439</v>
      </c>
      <c r="D56" s="154" t="s">
        <v>126</v>
      </c>
      <c r="E56" s="145" t="s">
        <v>440</v>
      </c>
      <c r="F56" s="146" t="s">
        <v>155</v>
      </c>
      <c r="G56" s="154" t="s">
        <v>100</v>
      </c>
      <c r="H56" s="145" t="s">
        <v>10</v>
      </c>
      <c r="I56" s="146">
        <v>1209</v>
      </c>
      <c r="J56" s="157" t="s">
        <v>8</v>
      </c>
      <c r="K56" s="145" t="s">
        <v>301</v>
      </c>
      <c r="L56" s="145"/>
      <c r="M56" s="180"/>
    </row>
    <row r="57" spans="1:16" s="163" customFormat="1" ht="34.5" customHeight="1" x14ac:dyDescent="0.25">
      <c r="A57" s="163">
        <v>3</v>
      </c>
      <c r="B57" s="178">
        <v>45581</v>
      </c>
      <c r="C57" s="145" t="s">
        <v>432</v>
      </c>
      <c r="D57" s="154" t="s">
        <v>126</v>
      </c>
      <c r="E57" s="145" t="s">
        <v>438</v>
      </c>
      <c r="F57" s="146" t="s">
        <v>434</v>
      </c>
      <c r="G57" s="154" t="s">
        <v>437</v>
      </c>
      <c r="H57" s="145" t="s">
        <v>10</v>
      </c>
      <c r="I57" s="146">
        <v>1165</v>
      </c>
      <c r="J57" s="157" t="s">
        <v>8</v>
      </c>
      <c r="K57" s="145" t="s">
        <v>301</v>
      </c>
      <c r="L57" s="145"/>
      <c r="M57" s="180" t="s">
        <v>536</v>
      </c>
    </row>
    <row r="58" spans="1:16" s="163" customFormat="1" ht="65.25" customHeight="1" x14ac:dyDescent="0.25">
      <c r="A58" s="163">
        <v>4</v>
      </c>
      <c r="B58" s="178">
        <v>45581</v>
      </c>
      <c r="C58" s="145" t="s">
        <v>432</v>
      </c>
      <c r="D58" s="154" t="s">
        <v>126</v>
      </c>
      <c r="E58" s="145" t="s">
        <v>436</v>
      </c>
      <c r="F58" s="146" t="s">
        <v>434</v>
      </c>
      <c r="G58" s="154" t="s">
        <v>212</v>
      </c>
      <c r="H58" s="145" t="s">
        <v>10</v>
      </c>
      <c r="I58" s="179">
        <v>1164</v>
      </c>
      <c r="J58" s="157" t="s">
        <v>393</v>
      </c>
      <c r="K58" s="145" t="s">
        <v>309</v>
      </c>
      <c r="L58" s="145"/>
      <c r="M58" s="180"/>
    </row>
    <row r="59" spans="1:16" s="163" customFormat="1" ht="57.75" customHeight="1" x14ac:dyDescent="0.25">
      <c r="A59" s="163">
        <v>5</v>
      </c>
      <c r="B59" s="178">
        <v>45581</v>
      </c>
      <c r="C59" s="145" t="s">
        <v>432</v>
      </c>
      <c r="D59" s="154" t="s">
        <v>126</v>
      </c>
      <c r="E59" s="145" t="s">
        <v>435</v>
      </c>
      <c r="F59" s="146" t="s">
        <v>407</v>
      </c>
      <c r="G59" s="154" t="s">
        <v>405</v>
      </c>
      <c r="H59" s="145" t="s">
        <v>10</v>
      </c>
      <c r="I59" s="146">
        <v>1163</v>
      </c>
      <c r="J59" s="157" t="s">
        <v>8</v>
      </c>
      <c r="K59" s="145" t="s">
        <v>301</v>
      </c>
      <c r="L59" s="145"/>
      <c r="M59" s="180"/>
    </row>
    <row r="60" spans="1:16" s="163" customFormat="1" ht="69" customHeight="1" x14ac:dyDescent="0.25">
      <c r="A60" s="163">
        <v>6</v>
      </c>
      <c r="B60" s="178">
        <v>45576</v>
      </c>
      <c r="C60" s="145" t="s">
        <v>432</v>
      </c>
      <c r="D60" s="154" t="s">
        <v>126</v>
      </c>
      <c r="E60" s="145" t="s">
        <v>486</v>
      </c>
      <c r="F60" s="146" t="s">
        <v>434</v>
      </c>
      <c r="G60" s="145" t="s">
        <v>487</v>
      </c>
      <c r="H60" s="145" t="s">
        <v>10</v>
      </c>
      <c r="I60" s="149">
        <v>1162</v>
      </c>
      <c r="J60" s="157" t="s">
        <v>8</v>
      </c>
      <c r="K60" s="145"/>
      <c r="L60" s="145"/>
      <c r="M60" s="180"/>
    </row>
    <row r="61" spans="1:16" s="163" customFormat="1" ht="53.25" customHeight="1" x14ac:dyDescent="0.25">
      <c r="A61" s="163">
        <v>7</v>
      </c>
      <c r="B61" s="178">
        <v>45576</v>
      </c>
      <c r="C61" s="145" t="s">
        <v>432</v>
      </c>
      <c r="D61" s="154" t="s">
        <v>126</v>
      </c>
      <c r="E61" s="145" t="s">
        <v>433</v>
      </c>
      <c r="F61" s="146" t="s">
        <v>434</v>
      </c>
      <c r="G61" s="154" t="s">
        <v>93</v>
      </c>
      <c r="H61" s="145" t="s">
        <v>10</v>
      </c>
      <c r="I61" s="146">
        <v>1158</v>
      </c>
      <c r="J61" s="157" t="s">
        <v>392</v>
      </c>
      <c r="K61" s="145" t="s">
        <v>301</v>
      </c>
      <c r="L61" s="145"/>
      <c r="M61" s="180"/>
    </row>
    <row r="62" spans="1:16" s="182" customFormat="1" ht="52.5" customHeight="1" x14ac:dyDescent="0.25">
      <c r="A62" s="163">
        <v>8</v>
      </c>
      <c r="B62" s="178">
        <v>45576</v>
      </c>
      <c r="C62" s="145" t="s">
        <v>432</v>
      </c>
      <c r="D62" s="154" t="s">
        <v>126</v>
      </c>
      <c r="E62" s="145" t="s">
        <v>483</v>
      </c>
      <c r="F62" s="146" t="s">
        <v>434</v>
      </c>
      <c r="G62" s="145" t="s">
        <v>484</v>
      </c>
      <c r="H62" s="145" t="s">
        <v>10</v>
      </c>
      <c r="I62" s="149">
        <v>1153</v>
      </c>
      <c r="J62" s="157" t="s">
        <v>8</v>
      </c>
      <c r="K62" s="145" t="s">
        <v>301</v>
      </c>
      <c r="L62" s="145"/>
      <c r="M62" s="180" t="s">
        <v>485</v>
      </c>
    </row>
    <row r="63" spans="1:16" s="163" customFormat="1" ht="69" customHeight="1" x14ac:dyDescent="0.25">
      <c r="A63" s="163">
        <v>9</v>
      </c>
      <c r="B63" s="181">
        <v>45509</v>
      </c>
      <c r="C63" s="145" t="s">
        <v>428</v>
      </c>
      <c r="D63" s="154" t="s">
        <v>126</v>
      </c>
      <c r="E63" s="145" t="s">
        <v>429</v>
      </c>
      <c r="F63" s="146" t="s">
        <v>155</v>
      </c>
      <c r="G63" s="154" t="s">
        <v>100</v>
      </c>
      <c r="H63" s="145" t="s">
        <v>430</v>
      </c>
      <c r="I63" s="149">
        <v>1112</v>
      </c>
      <c r="J63" s="157" t="s">
        <v>392</v>
      </c>
      <c r="K63" s="145" t="s">
        <v>301</v>
      </c>
      <c r="L63" s="145" t="s">
        <v>309</v>
      </c>
      <c r="M63" s="180" t="s">
        <v>431</v>
      </c>
    </row>
    <row r="64" spans="1:16" s="163" customFormat="1" ht="45.75" customHeight="1" thickBot="1" x14ac:dyDescent="0.3">
      <c r="A64" s="183">
        <v>10</v>
      </c>
      <c r="B64" s="181">
        <v>45504</v>
      </c>
      <c r="C64" s="145" t="s">
        <v>424</v>
      </c>
      <c r="D64" s="154" t="s">
        <v>126</v>
      </c>
      <c r="E64" s="145" t="s">
        <v>425</v>
      </c>
      <c r="F64" s="146" t="s">
        <v>155</v>
      </c>
      <c r="G64" s="154" t="s">
        <v>421</v>
      </c>
      <c r="H64" s="145" t="s">
        <v>10</v>
      </c>
      <c r="I64" s="149">
        <v>1109</v>
      </c>
      <c r="J64" s="157" t="s">
        <v>426</v>
      </c>
      <c r="K64" s="145" t="s">
        <v>301</v>
      </c>
      <c r="L64" s="145"/>
      <c r="M64" s="180"/>
      <c r="N64" s="183"/>
      <c r="O64" s="183"/>
      <c r="P64" s="183"/>
    </row>
    <row r="65" spans="1:13" s="163" customFormat="1" ht="51" x14ac:dyDescent="0.25">
      <c r="A65" s="163">
        <v>1</v>
      </c>
      <c r="B65" s="181">
        <v>45447</v>
      </c>
      <c r="C65" s="145" t="s">
        <v>416</v>
      </c>
      <c r="D65" s="154" t="s">
        <v>126</v>
      </c>
      <c r="E65" s="145" t="s">
        <v>422</v>
      </c>
      <c r="F65" s="146" t="s">
        <v>155</v>
      </c>
      <c r="G65" s="154" t="s">
        <v>421</v>
      </c>
      <c r="H65" s="145" t="s">
        <v>10</v>
      </c>
      <c r="I65" s="149">
        <v>1046</v>
      </c>
      <c r="J65" s="157" t="s">
        <v>392</v>
      </c>
      <c r="K65" s="145" t="s">
        <v>301</v>
      </c>
      <c r="L65" s="145" t="s">
        <v>309</v>
      </c>
      <c r="M65" s="180"/>
    </row>
    <row r="66" spans="1:13" s="163" customFormat="1" ht="52.5" customHeight="1" x14ac:dyDescent="0.25">
      <c r="A66" s="163">
        <v>2</v>
      </c>
      <c r="B66" s="181">
        <v>45441</v>
      </c>
      <c r="C66" s="145" t="s">
        <v>416</v>
      </c>
      <c r="D66" s="154" t="s">
        <v>126</v>
      </c>
      <c r="E66" s="145" t="s">
        <v>419</v>
      </c>
      <c r="F66" s="146" t="s">
        <v>155</v>
      </c>
      <c r="G66" s="154" t="s">
        <v>413</v>
      </c>
      <c r="H66" s="145" t="s">
        <v>10</v>
      </c>
      <c r="I66" s="149">
        <v>1045</v>
      </c>
      <c r="J66" s="157" t="s">
        <v>392</v>
      </c>
      <c r="K66" s="145" t="s">
        <v>301</v>
      </c>
      <c r="L66" s="145" t="s">
        <v>309</v>
      </c>
      <c r="M66" s="180"/>
    </row>
    <row r="67" spans="1:13" s="163" customFormat="1" ht="43.5" customHeight="1" x14ac:dyDescent="0.25">
      <c r="A67" s="163">
        <v>3</v>
      </c>
      <c r="B67" s="181">
        <v>45437</v>
      </c>
      <c r="C67" s="145" t="s">
        <v>416</v>
      </c>
      <c r="D67" s="154" t="s">
        <v>126</v>
      </c>
      <c r="E67" s="145" t="s">
        <v>417</v>
      </c>
      <c r="F67" s="146" t="s">
        <v>155</v>
      </c>
      <c r="G67" s="154" t="s">
        <v>413</v>
      </c>
      <c r="H67" s="145" t="s">
        <v>10</v>
      </c>
      <c r="I67" s="149">
        <v>1043</v>
      </c>
      <c r="J67" s="157" t="s">
        <v>392</v>
      </c>
      <c r="K67" s="145" t="s">
        <v>301</v>
      </c>
      <c r="L67" s="145" t="s">
        <v>309</v>
      </c>
      <c r="M67" s="180"/>
    </row>
    <row r="68" spans="1:13" s="163" customFormat="1" ht="45.75" hidden="1" customHeight="1" x14ac:dyDescent="0.25">
      <c r="A68" s="163">
        <v>4</v>
      </c>
      <c r="B68" s="178">
        <v>45272</v>
      </c>
      <c r="C68" s="145" t="s">
        <v>400</v>
      </c>
      <c r="D68" s="154" t="s">
        <v>126</v>
      </c>
      <c r="E68" s="145" t="s">
        <v>401</v>
      </c>
      <c r="F68" s="146" t="s">
        <v>155</v>
      </c>
      <c r="G68" s="154" t="s">
        <v>395</v>
      </c>
      <c r="H68" s="145" t="s">
        <v>403</v>
      </c>
      <c r="I68" s="149">
        <v>890</v>
      </c>
      <c r="J68" s="157" t="s">
        <v>402</v>
      </c>
      <c r="K68" s="145" t="s">
        <v>309</v>
      </c>
      <c r="L68" s="145"/>
      <c r="M68" s="180"/>
    </row>
    <row r="69" spans="1:13" s="163" customFormat="1" ht="51" hidden="1" customHeight="1" x14ac:dyDescent="0.25">
      <c r="A69" s="163">
        <v>5</v>
      </c>
      <c r="B69" s="178">
        <v>45231</v>
      </c>
      <c r="C69" s="145" t="s">
        <v>385</v>
      </c>
      <c r="D69" s="154" t="s">
        <v>126</v>
      </c>
      <c r="E69" s="145" t="s">
        <v>386</v>
      </c>
      <c r="F69" s="146" t="s">
        <v>155</v>
      </c>
      <c r="G69" s="154" t="s">
        <v>421</v>
      </c>
      <c r="H69" s="145" t="s">
        <v>388</v>
      </c>
      <c r="I69" s="149">
        <v>879</v>
      </c>
      <c r="J69" s="157" t="s">
        <v>8</v>
      </c>
      <c r="K69" s="145" t="s">
        <v>301</v>
      </c>
      <c r="L69" s="145" t="s">
        <v>301</v>
      </c>
      <c r="M69" s="180"/>
    </row>
    <row r="70" spans="1:13" s="163" customFormat="1" ht="52.5" hidden="1" customHeight="1" x14ac:dyDescent="0.25">
      <c r="A70" s="163">
        <v>6</v>
      </c>
      <c r="B70" s="178">
        <v>45200</v>
      </c>
      <c r="C70" s="145" t="s">
        <v>381</v>
      </c>
      <c r="D70" s="154" t="s">
        <v>126</v>
      </c>
      <c r="E70" s="145" t="s">
        <v>382</v>
      </c>
      <c r="F70" s="146" t="s">
        <v>277</v>
      </c>
      <c r="G70" s="154" t="s">
        <v>441</v>
      </c>
      <c r="H70" s="145" t="s">
        <v>10</v>
      </c>
      <c r="I70" s="149">
        <v>846</v>
      </c>
      <c r="J70" s="157" t="s">
        <v>392</v>
      </c>
      <c r="K70" s="145" t="s">
        <v>301</v>
      </c>
      <c r="L70" s="145" t="s">
        <v>309</v>
      </c>
      <c r="M70" s="180" t="s">
        <v>384</v>
      </c>
    </row>
    <row r="71" spans="1:13" s="163" customFormat="1" ht="52.5" hidden="1" customHeight="1" x14ac:dyDescent="0.25">
      <c r="A71" s="163">
        <v>7</v>
      </c>
      <c r="B71" s="178">
        <v>45108</v>
      </c>
      <c r="C71" s="145" t="s">
        <v>368</v>
      </c>
      <c r="D71" s="154" t="s">
        <v>126</v>
      </c>
      <c r="E71" s="145" t="s">
        <v>371</v>
      </c>
      <c r="F71" s="146" t="s">
        <v>277</v>
      </c>
      <c r="G71" s="145" t="s">
        <v>139</v>
      </c>
      <c r="H71" s="145" t="s">
        <v>10</v>
      </c>
      <c r="I71" s="149">
        <v>792</v>
      </c>
      <c r="J71" s="157" t="s">
        <v>389</v>
      </c>
      <c r="K71" s="145" t="s">
        <v>301</v>
      </c>
      <c r="L71" s="145" t="s">
        <v>309</v>
      </c>
      <c r="M71" s="180" t="s">
        <v>379</v>
      </c>
    </row>
    <row r="72" spans="1:13" s="163" customFormat="1" ht="51.75" hidden="1" customHeight="1" x14ac:dyDescent="0.25">
      <c r="A72" s="163">
        <v>8</v>
      </c>
      <c r="B72" s="178">
        <v>45108</v>
      </c>
      <c r="C72" s="145" t="s">
        <v>368</v>
      </c>
      <c r="D72" s="154" t="s">
        <v>126</v>
      </c>
      <c r="E72" s="145" t="s">
        <v>369</v>
      </c>
      <c r="F72" s="146" t="s">
        <v>155</v>
      </c>
      <c r="G72" s="145" t="s">
        <v>96</v>
      </c>
      <c r="H72" s="145" t="s">
        <v>10</v>
      </c>
      <c r="I72" s="149">
        <v>790</v>
      </c>
      <c r="J72" s="157" t="s">
        <v>8</v>
      </c>
      <c r="K72" s="145" t="s">
        <v>301</v>
      </c>
      <c r="L72" s="145" t="s">
        <v>301</v>
      </c>
      <c r="M72" s="180" t="s">
        <v>380</v>
      </c>
    </row>
    <row r="73" spans="1:13" s="184" customFormat="1" ht="45.75" hidden="1" customHeight="1" x14ac:dyDescent="0.25">
      <c r="A73" s="163">
        <v>9</v>
      </c>
      <c r="B73" s="178">
        <v>45108</v>
      </c>
      <c r="C73" s="145" t="s">
        <v>368</v>
      </c>
      <c r="D73" s="154" t="s">
        <v>126</v>
      </c>
      <c r="E73" s="145" t="s">
        <v>370</v>
      </c>
      <c r="F73" s="146" t="s">
        <v>155</v>
      </c>
      <c r="G73" s="154" t="s">
        <v>93</v>
      </c>
      <c r="H73" s="145" t="s">
        <v>10</v>
      </c>
      <c r="I73" s="149">
        <v>789</v>
      </c>
      <c r="J73" s="157" t="s">
        <v>392</v>
      </c>
      <c r="K73" s="145" t="s">
        <v>301</v>
      </c>
      <c r="L73" s="145" t="s">
        <v>309</v>
      </c>
      <c r="M73" s="180"/>
    </row>
    <row r="74" spans="1:13" s="184" customFormat="1" ht="48" hidden="1" customHeight="1" x14ac:dyDescent="0.25">
      <c r="A74" s="163">
        <v>10</v>
      </c>
      <c r="B74" s="178">
        <v>45108</v>
      </c>
      <c r="C74" s="145" t="s">
        <v>368</v>
      </c>
      <c r="D74" s="154" t="s">
        <v>126</v>
      </c>
      <c r="E74" s="145" t="s">
        <v>372</v>
      </c>
      <c r="F74" s="146" t="s">
        <v>277</v>
      </c>
      <c r="G74" s="154" t="s">
        <v>441</v>
      </c>
      <c r="H74" s="145" t="s">
        <v>10</v>
      </c>
      <c r="I74" s="149">
        <v>788</v>
      </c>
      <c r="J74" s="157" t="s">
        <v>392</v>
      </c>
      <c r="K74" s="145" t="s">
        <v>301</v>
      </c>
      <c r="L74" s="145" t="s">
        <v>309</v>
      </c>
      <c r="M74" s="180" t="s">
        <v>379</v>
      </c>
    </row>
    <row r="75" spans="1:13" s="184" customFormat="1" ht="48.75" hidden="1" customHeight="1" x14ac:dyDescent="0.25">
      <c r="A75" s="163">
        <v>11</v>
      </c>
      <c r="B75" s="178">
        <v>45108</v>
      </c>
      <c r="C75" s="145" t="s">
        <v>366</v>
      </c>
      <c r="D75" s="154" t="s">
        <v>126</v>
      </c>
      <c r="E75" s="145" t="s">
        <v>365</v>
      </c>
      <c r="F75" s="146" t="s">
        <v>155</v>
      </c>
      <c r="G75" s="154" t="s">
        <v>395</v>
      </c>
      <c r="H75" s="145" t="s">
        <v>367</v>
      </c>
      <c r="I75" s="149">
        <v>785</v>
      </c>
      <c r="J75" s="157" t="s">
        <v>392</v>
      </c>
      <c r="K75" s="145" t="s">
        <v>301</v>
      </c>
      <c r="L75" s="145" t="s">
        <v>309</v>
      </c>
      <c r="M75" s="180"/>
    </row>
    <row r="76" spans="1:13" s="184" customFormat="1" ht="52.5" hidden="1" customHeight="1" x14ac:dyDescent="0.25">
      <c r="A76" s="163">
        <v>12</v>
      </c>
      <c r="B76" s="178">
        <v>45108</v>
      </c>
      <c r="C76" s="145" t="s">
        <v>118</v>
      </c>
      <c r="D76" s="154" t="s">
        <v>126</v>
      </c>
      <c r="E76" s="145" t="s">
        <v>356</v>
      </c>
      <c r="F76" s="146" t="s">
        <v>155</v>
      </c>
      <c r="G76" s="154" t="s">
        <v>395</v>
      </c>
      <c r="H76" s="145" t="s">
        <v>357</v>
      </c>
      <c r="I76" s="149">
        <v>755</v>
      </c>
      <c r="J76" s="157" t="s">
        <v>392</v>
      </c>
      <c r="K76" s="145" t="s">
        <v>301</v>
      </c>
      <c r="L76" s="145" t="s">
        <v>309</v>
      </c>
      <c r="M76" s="180"/>
    </row>
    <row r="77" spans="1:13" s="184" customFormat="1" ht="61.5" hidden="1" customHeight="1" x14ac:dyDescent="0.25">
      <c r="A77" s="163">
        <v>13</v>
      </c>
      <c r="B77" s="178">
        <v>45078</v>
      </c>
      <c r="C77" s="145" t="s">
        <v>353</v>
      </c>
      <c r="D77" s="154" t="s">
        <v>126</v>
      </c>
      <c r="E77" s="145" t="s">
        <v>359</v>
      </c>
      <c r="F77" s="146" t="s">
        <v>155</v>
      </c>
      <c r="G77" s="154" t="s">
        <v>413</v>
      </c>
      <c r="H77" s="145" t="s">
        <v>361</v>
      </c>
      <c r="I77" s="149">
        <v>748</v>
      </c>
      <c r="J77" s="157" t="s">
        <v>392</v>
      </c>
      <c r="K77" s="145" t="s">
        <v>301</v>
      </c>
      <c r="L77" s="145" t="s">
        <v>309</v>
      </c>
      <c r="M77" s="180"/>
    </row>
    <row r="78" spans="1:13" s="184" customFormat="1" ht="61.5" hidden="1" customHeight="1" x14ac:dyDescent="0.25">
      <c r="A78" s="163">
        <v>14</v>
      </c>
      <c r="B78" s="178">
        <v>45047</v>
      </c>
      <c r="C78" s="145" t="s">
        <v>363</v>
      </c>
      <c r="D78" s="154" t="s">
        <v>126</v>
      </c>
      <c r="E78" s="145" t="s">
        <v>364</v>
      </c>
      <c r="F78" s="146" t="s">
        <v>155</v>
      </c>
      <c r="G78" s="154" t="s">
        <v>421</v>
      </c>
      <c r="H78" s="145" t="s">
        <v>361</v>
      </c>
      <c r="I78" s="149">
        <v>677</v>
      </c>
      <c r="J78" s="157" t="s">
        <v>392</v>
      </c>
      <c r="K78" s="145" t="s">
        <v>301</v>
      </c>
      <c r="L78" s="145" t="s">
        <v>309</v>
      </c>
      <c r="M78" s="180"/>
    </row>
    <row r="79" spans="1:13" s="184" customFormat="1" ht="61.5" hidden="1" customHeight="1" thickBot="1" x14ac:dyDescent="0.25">
      <c r="A79" s="163">
        <v>15</v>
      </c>
      <c r="B79" s="178">
        <v>44987</v>
      </c>
      <c r="C79" s="145" t="s">
        <v>397</v>
      </c>
      <c r="D79" s="154" t="s">
        <v>126</v>
      </c>
      <c r="E79" s="145" t="s">
        <v>398</v>
      </c>
      <c r="F79" s="146" t="s">
        <v>155</v>
      </c>
      <c r="G79" s="154" t="s">
        <v>413</v>
      </c>
      <c r="H79" s="145" t="s">
        <v>399</v>
      </c>
      <c r="I79" s="149">
        <v>662</v>
      </c>
      <c r="J79" s="157" t="s">
        <v>402</v>
      </c>
      <c r="K79" s="145" t="s">
        <v>65</v>
      </c>
      <c r="L79" s="145" t="s">
        <v>65</v>
      </c>
      <c r="M79" s="180"/>
    </row>
    <row r="80" spans="1:13" s="126" customFormat="1" ht="80.25" hidden="1" customHeight="1" x14ac:dyDescent="0.25">
      <c r="A80" s="185">
        <v>1</v>
      </c>
      <c r="B80" s="178">
        <v>45017</v>
      </c>
      <c r="C80" s="145" t="s">
        <v>358</v>
      </c>
      <c r="D80" s="154" t="s">
        <v>126</v>
      </c>
      <c r="E80" s="145" t="s">
        <v>354</v>
      </c>
      <c r="F80" s="146" t="s">
        <v>155</v>
      </c>
      <c r="G80" s="154" t="s">
        <v>395</v>
      </c>
      <c r="H80" s="145" t="s">
        <v>10</v>
      </c>
      <c r="I80" s="149">
        <v>661</v>
      </c>
      <c r="J80" s="157" t="s">
        <v>392</v>
      </c>
      <c r="K80" s="145" t="s">
        <v>301</v>
      </c>
      <c r="L80" s="145" t="s">
        <v>309</v>
      </c>
      <c r="M80" s="180"/>
    </row>
    <row r="81" spans="1:13" s="126" customFormat="1" ht="80.25" hidden="1" customHeight="1" x14ac:dyDescent="0.25">
      <c r="A81" s="186">
        <v>2</v>
      </c>
      <c r="B81" s="178">
        <v>44835</v>
      </c>
      <c r="C81" s="145" t="s">
        <v>317</v>
      </c>
      <c r="D81" s="154" t="s">
        <v>126</v>
      </c>
      <c r="E81" s="145" t="s">
        <v>322</v>
      </c>
      <c r="F81" s="146" t="s">
        <v>277</v>
      </c>
      <c r="G81" s="154" t="s">
        <v>212</v>
      </c>
      <c r="H81" s="145" t="s">
        <v>10</v>
      </c>
      <c r="I81" s="149">
        <v>609</v>
      </c>
      <c r="J81" s="157" t="s">
        <v>8</v>
      </c>
      <c r="K81" s="145" t="s">
        <v>301</v>
      </c>
      <c r="L81" s="145" t="s">
        <v>301</v>
      </c>
      <c r="M81" s="180" t="s">
        <v>336</v>
      </c>
    </row>
    <row r="82" spans="1:13" s="126" customFormat="1" ht="80.25" hidden="1" customHeight="1" x14ac:dyDescent="0.25">
      <c r="A82" s="186">
        <v>3</v>
      </c>
      <c r="B82" s="178">
        <v>44835</v>
      </c>
      <c r="C82" s="145" t="s">
        <v>317</v>
      </c>
      <c r="D82" s="154" t="s">
        <v>126</v>
      </c>
      <c r="E82" s="145" t="s">
        <v>318</v>
      </c>
      <c r="F82" s="146" t="s">
        <v>277</v>
      </c>
      <c r="G82" s="145" t="s">
        <v>139</v>
      </c>
      <c r="H82" s="145" t="s">
        <v>10</v>
      </c>
      <c r="I82" s="149">
        <v>601</v>
      </c>
      <c r="J82" s="157" t="s">
        <v>97</v>
      </c>
      <c r="K82" s="145" t="s">
        <v>309</v>
      </c>
      <c r="L82" s="145"/>
      <c r="M82" s="180"/>
    </row>
    <row r="83" spans="1:13" s="126" customFormat="1" ht="66.75" hidden="1" customHeight="1" x14ac:dyDescent="0.25">
      <c r="A83" s="186">
        <v>4</v>
      </c>
      <c r="B83" s="178">
        <v>44835</v>
      </c>
      <c r="C83" s="145" t="s">
        <v>317</v>
      </c>
      <c r="D83" s="154" t="s">
        <v>126</v>
      </c>
      <c r="E83" s="145" t="s">
        <v>319</v>
      </c>
      <c r="F83" s="146" t="s">
        <v>320</v>
      </c>
      <c r="G83" s="154" t="s">
        <v>405</v>
      </c>
      <c r="H83" s="145" t="s">
        <v>10</v>
      </c>
      <c r="I83" s="149">
        <v>595</v>
      </c>
      <c r="J83" s="157" t="s">
        <v>97</v>
      </c>
      <c r="K83" s="145" t="s">
        <v>309</v>
      </c>
      <c r="L83" s="145"/>
      <c r="M83" s="180"/>
    </row>
    <row r="84" spans="1:13" s="126" customFormat="1" ht="90" hidden="1" customHeight="1" x14ac:dyDescent="0.25">
      <c r="A84" s="186">
        <v>5</v>
      </c>
      <c r="B84" s="178">
        <v>44835</v>
      </c>
      <c r="C84" s="145" t="s">
        <v>317</v>
      </c>
      <c r="D84" s="154" t="s">
        <v>126</v>
      </c>
      <c r="E84" s="145" t="s">
        <v>323</v>
      </c>
      <c r="F84" s="146" t="s">
        <v>155</v>
      </c>
      <c r="G84" s="154" t="s">
        <v>100</v>
      </c>
      <c r="H84" s="145" t="s">
        <v>10</v>
      </c>
      <c r="I84" s="149">
        <v>593</v>
      </c>
      <c r="J84" s="157" t="s">
        <v>8</v>
      </c>
      <c r="K84" s="145" t="s">
        <v>301</v>
      </c>
      <c r="L84" s="145" t="s">
        <v>301</v>
      </c>
      <c r="M84" s="180" t="s">
        <v>336</v>
      </c>
    </row>
    <row r="85" spans="1:13" s="126" customFormat="1" ht="53.25" hidden="1" customHeight="1" x14ac:dyDescent="0.25">
      <c r="A85" s="186">
        <v>6</v>
      </c>
      <c r="B85" s="178">
        <v>44774</v>
      </c>
      <c r="C85" s="145" t="s">
        <v>298</v>
      </c>
      <c r="D85" s="154" t="s">
        <v>126</v>
      </c>
      <c r="E85" s="145" t="s">
        <v>307</v>
      </c>
      <c r="F85" s="146" t="s">
        <v>277</v>
      </c>
      <c r="G85" s="145" t="s">
        <v>139</v>
      </c>
      <c r="H85" s="145" t="s">
        <v>10</v>
      </c>
      <c r="I85" s="149">
        <v>506</v>
      </c>
      <c r="J85" s="157" t="s">
        <v>396</v>
      </c>
      <c r="K85" s="145" t="s">
        <v>309</v>
      </c>
      <c r="L85" s="145"/>
      <c r="M85" s="180" t="s">
        <v>316</v>
      </c>
    </row>
    <row r="86" spans="1:13" s="126" customFormat="1" ht="51" hidden="1" x14ac:dyDescent="0.25">
      <c r="A86" s="186">
        <v>7</v>
      </c>
      <c r="B86" s="178">
        <v>44774</v>
      </c>
      <c r="C86" s="145" t="s">
        <v>298</v>
      </c>
      <c r="D86" s="154" t="s">
        <v>126</v>
      </c>
      <c r="E86" s="145" t="s">
        <v>299</v>
      </c>
      <c r="F86" s="146" t="s">
        <v>155</v>
      </c>
      <c r="G86" s="154" t="s">
        <v>212</v>
      </c>
      <c r="H86" s="145" t="s">
        <v>10</v>
      </c>
      <c r="I86" s="149">
        <v>493</v>
      </c>
      <c r="J86" s="157" t="s">
        <v>8</v>
      </c>
      <c r="K86" s="145" t="s">
        <v>301</v>
      </c>
      <c r="L86" s="145" t="s">
        <v>301</v>
      </c>
      <c r="M86" s="180" t="s">
        <v>336</v>
      </c>
    </row>
    <row r="87" spans="1:13" s="126" customFormat="1" ht="60" hidden="1" customHeight="1" x14ac:dyDescent="0.25">
      <c r="A87" s="186">
        <v>8</v>
      </c>
      <c r="B87" s="178">
        <v>44774</v>
      </c>
      <c r="C87" s="145" t="s">
        <v>298</v>
      </c>
      <c r="D87" s="154" t="s">
        <v>126</v>
      </c>
      <c r="E87" s="145" t="s">
        <v>302</v>
      </c>
      <c r="F87" s="146" t="s">
        <v>277</v>
      </c>
      <c r="G87" s="154" t="s">
        <v>93</v>
      </c>
      <c r="H87" s="145" t="s">
        <v>10</v>
      </c>
      <c r="I87" s="149">
        <v>487</v>
      </c>
      <c r="J87" s="157" t="s">
        <v>8</v>
      </c>
      <c r="K87" s="145" t="s">
        <v>301</v>
      </c>
      <c r="L87" s="145" t="s">
        <v>301</v>
      </c>
      <c r="M87" s="180" t="s">
        <v>336</v>
      </c>
    </row>
    <row r="88" spans="1:13" s="126" customFormat="1" ht="60" hidden="1" customHeight="1" x14ac:dyDescent="0.25">
      <c r="A88" s="186">
        <v>9</v>
      </c>
      <c r="B88" s="178">
        <v>44743</v>
      </c>
      <c r="C88" s="145" t="s">
        <v>304</v>
      </c>
      <c r="D88" s="154" t="s">
        <v>126</v>
      </c>
      <c r="E88" s="145" t="s">
        <v>305</v>
      </c>
      <c r="F88" s="146" t="s">
        <v>155</v>
      </c>
      <c r="G88" s="145" t="s">
        <v>96</v>
      </c>
      <c r="H88" s="145" t="s">
        <v>10</v>
      </c>
      <c r="I88" s="149">
        <v>464</v>
      </c>
      <c r="J88" s="157" t="s">
        <v>8</v>
      </c>
      <c r="K88" s="145" t="s">
        <v>301</v>
      </c>
      <c r="L88" s="145" t="s">
        <v>301</v>
      </c>
      <c r="M88" s="180"/>
    </row>
    <row r="89" spans="1:13" s="126" customFormat="1" ht="50.25" hidden="1" customHeight="1" x14ac:dyDescent="0.25">
      <c r="A89" s="186">
        <v>10</v>
      </c>
      <c r="B89" s="178">
        <v>44652</v>
      </c>
      <c r="C89" s="145" t="s">
        <v>313</v>
      </c>
      <c r="D89" s="154" t="s">
        <v>126</v>
      </c>
      <c r="E89" s="145" t="s">
        <v>314</v>
      </c>
      <c r="F89" s="146" t="s">
        <v>155</v>
      </c>
      <c r="G89" s="145" t="s">
        <v>96</v>
      </c>
      <c r="H89" s="145" t="s">
        <v>10</v>
      </c>
      <c r="I89" s="149">
        <v>418</v>
      </c>
      <c r="J89" s="157" t="s">
        <v>8</v>
      </c>
      <c r="K89" s="145" t="s">
        <v>301</v>
      </c>
      <c r="L89" s="145" t="s">
        <v>301</v>
      </c>
      <c r="M89" s="180"/>
    </row>
    <row r="90" spans="1:13" s="126" customFormat="1" ht="38.25" hidden="1" x14ac:dyDescent="0.25">
      <c r="A90" s="186">
        <v>11</v>
      </c>
      <c r="B90" s="178">
        <v>44599</v>
      </c>
      <c r="C90" s="145" t="s">
        <v>358</v>
      </c>
      <c r="D90" s="154" t="s">
        <v>126</v>
      </c>
      <c r="E90" s="145" t="s">
        <v>394</v>
      </c>
      <c r="F90" s="146" t="s">
        <v>155</v>
      </c>
      <c r="G90" s="145" t="s">
        <v>395</v>
      </c>
      <c r="H90" s="145" t="s">
        <v>10</v>
      </c>
      <c r="I90" s="149">
        <v>411</v>
      </c>
      <c r="J90" s="157" t="s">
        <v>392</v>
      </c>
      <c r="K90" s="145" t="s">
        <v>301</v>
      </c>
      <c r="L90" s="145" t="s">
        <v>309</v>
      </c>
      <c r="M90" s="180"/>
    </row>
    <row r="91" spans="1:13" s="126" customFormat="1" ht="38.25" hidden="1" x14ac:dyDescent="0.25">
      <c r="A91" s="186">
        <v>12</v>
      </c>
      <c r="B91" s="178">
        <v>44496</v>
      </c>
      <c r="C91" s="145" t="s">
        <v>280</v>
      </c>
      <c r="D91" s="154" t="s">
        <v>80</v>
      </c>
      <c r="E91" s="145" t="s">
        <v>287</v>
      </c>
      <c r="F91" s="146" t="s">
        <v>277</v>
      </c>
      <c r="G91" s="145" t="s">
        <v>165</v>
      </c>
      <c r="H91" s="145" t="s">
        <v>10</v>
      </c>
      <c r="I91" s="149">
        <v>400</v>
      </c>
      <c r="J91" s="157" t="s">
        <v>8</v>
      </c>
      <c r="K91" s="145" t="s">
        <v>51</v>
      </c>
      <c r="L91" s="145" t="s">
        <v>301</v>
      </c>
      <c r="M91" s="180"/>
    </row>
    <row r="92" spans="1:13" s="126" customFormat="1" ht="109.5" hidden="1" customHeight="1" x14ac:dyDescent="0.25">
      <c r="A92" s="186">
        <v>13</v>
      </c>
      <c r="B92" s="178">
        <v>44377</v>
      </c>
      <c r="C92" s="145" t="s">
        <v>263</v>
      </c>
      <c r="D92" s="154" t="s">
        <v>80</v>
      </c>
      <c r="E92" s="145" t="s">
        <v>264</v>
      </c>
      <c r="F92" s="146" t="s">
        <v>155</v>
      </c>
      <c r="G92" s="145" t="s">
        <v>96</v>
      </c>
      <c r="H92" s="145" t="s">
        <v>266</v>
      </c>
      <c r="I92" s="149">
        <v>249</v>
      </c>
      <c r="J92" s="157" t="s">
        <v>392</v>
      </c>
      <c r="K92" s="145" t="s">
        <v>51</v>
      </c>
      <c r="L92" s="145" t="s">
        <v>309</v>
      </c>
      <c r="M92" s="180"/>
    </row>
    <row r="93" spans="1:13" s="126" customFormat="1" ht="90" hidden="1" customHeight="1" x14ac:dyDescent="0.25">
      <c r="A93" s="186">
        <v>14</v>
      </c>
      <c r="B93" s="178">
        <v>44377</v>
      </c>
      <c r="C93" s="145" t="s">
        <v>263</v>
      </c>
      <c r="D93" s="154" t="s">
        <v>80</v>
      </c>
      <c r="E93" s="145" t="s">
        <v>265</v>
      </c>
      <c r="F93" s="146" t="s">
        <v>155</v>
      </c>
      <c r="G93" s="145" t="s">
        <v>96</v>
      </c>
      <c r="H93" s="145" t="s">
        <v>10</v>
      </c>
      <c r="I93" s="149">
        <v>246</v>
      </c>
      <c r="J93" s="157" t="s">
        <v>392</v>
      </c>
      <c r="K93" s="145" t="s">
        <v>51</v>
      </c>
      <c r="L93" s="145" t="s">
        <v>309</v>
      </c>
      <c r="M93" s="180"/>
    </row>
    <row r="94" spans="1:13" s="126" customFormat="1" ht="75" hidden="1" customHeight="1" x14ac:dyDescent="0.25">
      <c r="A94" s="186">
        <v>15</v>
      </c>
      <c r="B94" s="178">
        <v>44277</v>
      </c>
      <c r="C94" s="145" t="s">
        <v>257</v>
      </c>
      <c r="D94" s="154" t="s">
        <v>80</v>
      </c>
      <c r="E94" s="145" t="s">
        <v>260</v>
      </c>
      <c r="F94" s="146" t="s">
        <v>277</v>
      </c>
      <c r="G94" s="145" t="s">
        <v>139</v>
      </c>
      <c r="H94" s="145" t="s">
        <v>10</v>
      </c>
      <c r="I94" s="149">
        <v>211</v>
      </c>
      <c r="J94" s="157" t="s">
        <v>393</v>
      </c>
      <c r="K94" s="145" t="s">
        <v>65</v>
      </c>
      <c r="L94" s="145" t="s">
        <v>216</v>
      </c>
      <c r="M94" s="180" t="s">
        <v>262</v>
      </c>
    </row>
    <row r="95" spans="1:13" s="126" customFormat="1" ht="90" hidden="1" customHeight="1" x14ac:dyDescent="0.25">
      <c r="A95" s="186">
        <v>16</v>
      </c>
      <c r="B95" s="178">
        <v>44277</v>
      </c>
      <c r="C95" s="145" t="s">
        <v>257</v>
      </c>
      <c r="D95" s="154" t="s">
        <v>80</v>
      </c>
      <c r="E95" s="145" t="s">
        <v>261</v>
      </c>
      <c r="F95" s="146" t="s">
        <v>278</v>
      </c>
      <c r="G95" s="145" t="s">
        <v>212</v>
      </c>
      <c r="H95" s="145" t="s">
        <v>10</v>
      </c>
      <c r="I95" s="149">
        <v>209</v>
      </c>
      <c r="J95" s="157" t="s">
        <v>392</v>
      </c>
      <c r="K95" s="145" t="s">
        <v>51</v>
      </c>
      <c r="L95" s="145" t="s">
        <v>309</v>
      </c>
      <c r="M95" s="180"/>
    </row>
    <row r="96" spans="1:13" s="126" customFormat="1" ht="76.5" hidden="1" customHeight="1" thickBot="1" x14ac:dyDescent="0.3">
      <c r="A96" s="187">
        <v>17</v>
      </c>
      <c r="B96" s="178">
        <v>44256</v>
      </c>
      <c r="C96" s="145" t="s">
        <v>252</v>
      </c>
      <c r="D96" s="154" t="s">
        <v>166</v>
      </c>
      <c r="E96" s="145" t="s">
        <v>255</v>
      </c>
      <c r="F96" s="146" t="s">
        <v>155</v>
      </c>
      <c r="G96" s="145" t="s">
        <v>96</v>
      </c>
      <c r="H96" s="145" t="s">
        <v>256</v>
      </c>
      <c r="I96" s="149">
        <v>197</v>
      </c>
      <c r="J96" s="157" t="s">
        <v>392</v>
      </c>
      <c r="K96" s="145" t="s">
        <v>51</v>
      </c>
      <c r="L96" s="145" t="s">
        <v>458</v>
      </c>
      <c r="M96" s="180"/>
    </row>
    <row r="97" spans="1:13" s="188" customFormat="1" ht="65.25" hidden="1" customHeight="1" x14ac:dyDescent="0.2">
      <c r="A97" s="185">
        <v>1</v>
      </c>
      <c r="B97" s="178">
        <v>44251</v>
      </c>
      <c r="C97" s="145" t="s">
        <v>252</v>
      </c>
      <c r="D97" s="154" t="s">
        <v>166</v>
      </c>
      <c r="E97" s="145" t="s">
        <v>253</v>
      </c>
      <c r="F97" s="146" t="s">
        <v>155</v>
      </c>
      <c r="G97" s="145" t="s">
        <v>96</v>
      </c>
      <c r="H97" s="145" t="s">
        <v>10</v>
      </c>
      <c r="I97" s="149">
        <v>190</v>
      </c>
      <c r="J97" s="157" t="s">
        <v>97</v>
      </c>
      <c r="K97" s="145" t="s">
        <v>65</v>
      </c>
      <c r="L97" s="145" t="s">
        <v>144</v>
      </c>
      <c r="M97" s="180"/>
    </row>
    <row r="98" spans="1:13" s="188" customFormat="1" ht="78" hidden="1" customHeight="1" x14ac:dyDescent="0.2">
      <c r="A98" s="186">
        <v>2</v>
      </c>
      <c r="B98" s="178">
        <v>44245</v>
      </c>
      <c r="C98" s="145" t="s">
        <v>250</v>
      </c>
      <c r="D98" s="154" t="s">
        <v>80</v>
      </c>
      <c r="E98" s="145" t="s">
        <v>251</v>
      </c>
      <c r="F98" s="146" t="s">
        <v>155</v>
      </c>
      <c r="G98" s="145" t="s">
        <v>96</v>
      </c>
      <c r="H98" s="145" t="s">
        <v>254</v>
      </c>
      <c r="I98" s="149">
        <v>184</v>
      </c>
      <c r="J98" s="157" t="s">
        <v>97</v>
      </c>
      <c r="K98" s="145" t="s">
        <v>65</v>
      </c>
      <c r="L98" s="145" t="s">
        <v>144</v>
      </c>
      <c r="M98" s="180"/>
    </row>
    <row r="99" spans="1:13" s="188" customFormat="1" ht="46.5" hidden="1" customHeight="1" x14ac:dyDescent="0.2">
      <c r="A99" s="186">
        <v>3</v>
      </c>
      <c r="B99" s="178">
        <v>44111</v>
      </c>
      <c r="C99" s="145" t="s">
        <v>228</v>
      </c>
      <c r="D99" s="154" t="s">
        <v>166</v>
      </c>
      <c r="E99" s="145" t="s">
        <v>229</v>
      </c>
      <c r="F99" s="146" t="s">
        <v>155</v>
      </c>
      <c r="G99" s="145" t="s">
        <v>96</v>
      </c>
      <c r="H99" s="145" t="s">
        <v>230</v>
      </c>
      <c r="I99" s="149">
        <v>127</v>
      </c>
      <c r="J99" s="157" t="s">
        <v>392</v>
      </c>
      <c r="K99" s="145" t="s">
        <v>51</v>
      </c>
      <c r="L99" s="145" t="s">
        <v>309</v>
      </c>
      <c r="M99" s="180"/>
    </row>
    <row r="100" spans="1:13" s="188" customFormat="1" ht="54.75" hidden="1" customHeight="1" x14ac:dyDescent="0.2">
      <c r="A100" s="186">
        <v>4</v>
      </c>
      <c r="B100" s="178">
        <v>44083</v>
      </c>
      <c r="C100" s="145" t="s">
        <v>218</v>
      </c>
      <c r="D100" s="154" t="s">
        <v>166</v>
      </c>
      <c r="E100" s="145" t="s">
        <v>221</v>
      </c>
      <c r="F100" s="146" t="s">
        <v>155</v>
      </c>
      <c r="G100" s="145" t="s">
        <v>105</v>
      </c>
      <c r="H100" s="145" t="s">
        <v>220</v>
      </c>
      <c r="I100" s="149">
        <v>126</v>
      </c>
      <c r="J100" s="157" t="s">
        <v>36</v>
      </c>
      <c r="K100" s="145" t="s">
        <v>65</v>
      </c>
      <c r="L100" s="145" t="s">
        <v>216</v>
      </c>
      <c r="M100" s="180"/>
    </row>
    <row r="101" spans="1:13" s="188" customFormat="1" ht="40.5" hidden="1" customHeight="1" x14ac:dyDescent="0.2">
      <c r="A101" s="186">
        <v>5</v>
      </c>
      <c r="B101" s="178">
        <v>44083</v>
      </c>
      <c r="C101" s="145" t="s">
        <v>218</v>
      </c>
      <c r="D101" s="154" t="s">
        <v>80</v>
      </c>
      <c r="E101" s="145" t="s">
        <v>222</v>
      </c>
      <c r="F101" s="146" t="s">
        <v>278</v>
      </c>
      <c r="G101" s="145" t="s">
        <v>212</v>
      </c>
      <c r="H101" s="145" t="s">
        <v>10</v>
      </c>
      <c r="I101" s="149">
        <v>123</v>
      </c>
      <c r="J101" s="157" t="s">
        <v>97</v>
      </c>
      <c r="K101" s="145" t="s">
        <v>65</v>
      </c>
      <c r="L101" s="145" t="s">
        <v>216</v>
      </c>
      <c r="M101" s="180"/>
    </row>
    <row r="102" spans="1:13" s="188" customFormat="1" ht="38.25" hidden="1" x14ac:dyDescent="0.2">
      <c r="A102" s="186">
        <v>6</v>
      </c>
      <c r="B102" s="178">
        <v>44083</v>
      </c>
      <c r="C102" s="145" t="s">
        <v>218</v>
      </c>
      <c r="D102" s="154" t="s">
        <v>80</v>
      </c>
      <c r="E102" s="145" t="s">
        <v>223</v>
      </c>
      <c r="F102" s="146" t="s">
        <v>277</v>
      </c>
      <c r="G102" s="145" t="s">
        <v>219</v>
      </c>
      <c r="H102" s="145" t="s">
        <v>10</v>
      </c>
      <c r="I102" s="149">
        <v>117</v>
      </c>
      <c r="J102" s="157" t="s">
        <v>97</v>
      </c>
      <c r="K102" s="145" t="s">
        <v>65</v>
      </c>
      <c r="L102" s="145" t="s">
        <v>216</v>
      </c>
      <c r="M102" s="180"/>
    </row>
    <row r="103" spans="1:13" s="188" customFormat="1" ht="51.75" hidden="1" thickBot="1" x14ac:dyDescent="0.25">
      <c r="A103" s="187">
        <v>7</v>
      </c>
      <c r="B103" s="189">
        <v>44074</v>
      </c>
      <c r="C103" s="176" t="s">
        <v>207</v>
      </c>
      <c r="D103" s="167" t="s">
        <v>80</v>
      </c>
      <c r="E103" s="176" t="s">
        <v>206</v>
      </c>
      <c r="F103" s="166" t="s">
        <v>278</v>
      </c>
      <c r="G103" s="145" t="s">
        <v>105</v>
      </c>
      <c r="H103" s="176" t="s">
        <v>10</v>
      </c>
      <c r="I103" s="149">
        <v>67</v>
      </c>
      <c r="J103" s="190" t="s">
        <v>392</v>
      </c>
      <c r="K103" s="176" t="s">
        <v>51</v>
      </c>
      <c r="L103" s="176" t="s">
        <v>309</v>
      </c>
      <c r="M103" s="191"/>
    </row>
    <row r="104" spans="1:13" s="126" customFormat="1" ht="38.25" hidden="1" x14ac:dyDescent="0.25">
      <c r="B104" s="189">
        <v>44083</v>
      </c>
      <c r="C104" s="176" t="s">
        <v>218</v>
      </c>
      <c r="D104" s="167" t="s">
        <v>80</v>
      </c>
      <c r="E104" s="176" t="s">
        <v>224</v>
      </c>
      <c r="F104" s="166" t="s">
        <v>278</v>
      </c>
      <c r="G104" s="167" t="s">
        <v>100</v>
      </c>
      <c r="H104" s="176" t="s">
        <v>10</v>
      </c>
      <c r="I104" s="173">
        <v>64</v>
      </c>
      <c r="J104" s="190" t="s">
        <v>392</v>
      </c>
      <c r="K104" s="176" t="s">
        <v>51</v>
      </c>
      <c r="L104" s="176" t="s">
        <v>309</v>
      </c>
      <c r="M104" s="191" t="s">
        <v>244</v>
      </c>
    </row>
    <row r="105" spans="1:13" s="126" customFormat="1" ht="38.25" hidden="1" x14ac:dyDescent="0.25">
      <c r="B105" s="189">
        <v>44048</v>
      </c>
      <c r="C105" s="176" t="s">
        <v>209</v>
      </c>
      <c r="D105" s="167" t="s">
        <v>214</v>
      </c>
      <c r="E105" s="176" t="s">
        <v>213</v>
      </c>
      <c r="F105" s="166" t="s">
        <v>278</v>
      </c>
      <c r="G105" s="176" t="s">
        <v>212</v>
      </c>
      <c r="H105" s="176" t="s">
        <v>10</v>
      </c>
      <c r="I105" s="173">
        <v>48</v>
      </c>
      <c r="J105" s="190" t="s">
        <v>215</v>
      </c>
      <c r="K105" s="176" t="s">
        <v>65</v>
      </c>
      <c r="L105" s="176" t="s">
        <v>216</v>
      </c>
      <c r="M105" s="191" t="s">
        <v>217</v>
      </c>
    </row>
    <row r="106" spans="1:13" s="126" customFormat="1" ht="38.25" hidden="1" x14ac:dyDescent="0.25">
      <c r="B106" s="189">
        <v>44048</v>
      </c>
      <c r="C106" s="176" t="s">
        <v>209</v>
      </c>
      <c r="D106" s="167" t="s">
        <v>166</v>
      </c>
      <c r="E106" s="176" t="s">
        <v>208</v>
      </c>
      <c r="F106" s="166" t="s">
        <v>278</v>
      </c>
      <c r="G106" s="167" t="s">
        <v>100</v>
      </c>
      <c r="H106" s="176" t="s">
        <v>10</v>
      </c>
      <c r="I106" s="173">
        <v>42</v>
      </c>
      <c r="J106" s="190" t="s">
        <v>392</v>
      </c>
      <c r="K106" s="176" t="s">
        <v>51</v>
      </c>
      <c r="L106" s="176" t="s">
        <v>309</v>
      </c>
      <c r="M106" s="191"/>
    </row>
    <row r="107" spans="1:13" ht="25.5" hidden="1" x14ac:dyDescent="0.25">
      <c r="B107" s="189">
        <v>43998</v>
      </c>
      <c r="C107" s="176" t="s">
        <v>160</v>
      </c>
      <c r="D107" s="167" t="s">
        <v>80</v>
      </c>
      <c r="E107" s="145" t="s">
        <v>164</v>
      </c>
      <c r="F107" s="166" t="s">
        <v>277</v>
      </c>
      <c r="G107" s="176" t="s">
        <v>165</v>
      </c>
      <c r="H107" s="176" t="s">
        <v>10</v>
      </c>
      <c r="I107" s="173">
        <v>23</v>
      </c>
      <c r="J107" s="190" t="s">
        <v>8</v>
      </c>
      <c r="K107" s="176" t="s">
        <v>51</v>
      </c>
      <c r="L107" s="176" t="s">
        <v>301</v>
      </c>
      <c r="M107" s="191"/>
    </row>
    <row r="108" spans="1:13" ht="38.25" hidden="1" x14ac:dyDescent="0.25">
      <c r="B108" s="189">
        <v>43992</v>
      </c>
      <c r="C108" s="176" t="s">
        <v>160</v>
      </c>
      <c r="D108" s="167" t="s">
        <v>80</v>
      </c>
      <c r="E108" s="176" t="s">
        <v>162</v>
      </c>
      <c r="F108" s="166" t="s">
        <v>278</v>
      </c>
      <c r="G108" s="176" t="s">
        <v>163</v>
      </c>
      <c r="H108" s="176" t="s">
        <v>10</v>
      </c>
      <c r="I108" s="173">
        <v>22</v>
      </c>
      <c r="J108" s="190" t="s">
        <v>8</v>
      </c>
      <c r="K108" s="176" t="s">
        <v>51</v>
      </c>
      <c r="L108" s="176" t="s">
        <v>301</v>
      </c>
      <c r="M108" s="191"/>
    </row>
    <row r="109" spans="1:13" ht="25.5" hidden="1" x14ac:dyDescent="0.25">
      <c r="B109" s="189">
        <v>43991</v>
      </c>
      <c r="C109" s="176" t="s">
        <v>160</v>
      </c>
      <c r="D109" s="167" t="s">
        <v>80</v>
      </c>
      <c r="E109" s="176" t="s">
        <v>161</v>
      </c>
      <c r="F109" s="166" t="s">
        <v>278</v>
      </c>
      <c r="G109" s="167" t="s">
        <v>100</v>
      </c>
      <c r="H109" s="176" t="s">
        <v>10</v>
      </c>
      <c r="I109" s="173">
        <v>21</v>
      </c>
      <c r="J109" s="190" t="s">
        <v>392</v>
      </c>
      <c r="K109" s="176" t="s">
        <v>51</v>
      </c>
      <c r="L109" s="176" t="s">
        <v>309</v>
      </c>
      <c r="M109" s="191"/>
    </row>
    <row r="110" spans="1:13" ht="51" hidden="1" x14ac:dyDescent="0.25">
      <c r="B110" s="189">
        <v>43983</v>
      </c>
      <c r="C110" s="176" t="s">
        <v>153</v>
      </c>
      <c r="D110" s="167" t="s">
        <v>80</v>
      </c>
      <c r="E110" s="176" t="s">
        <v>158</v>
      </c>
      <c r="F110" s="166" t="s">
        <v>155</v>
      </c>
      <c r="G110" s="176" t="s">
        <v>96</v>
      </c>
      <c r="H110" s="176" t="s">
        <v>159</v>
      </c>
      <c r="I110" s="173">
        <v>18</v>
      </c>
      <c r="J110" s="190" t="s">
        <v>392</v>
      </c>
      <c r="K110" s="176" t="s">
        <v>51</v>
      </c>
      <c r="L110" s="176" t="s">
        <v>309</v>
      </c>
      <c r="M110" s="191"/>
    </row>
    <row r="111" spans="1:13" ht="51" hidden="1" x14ac:dyDescent="0.25">
      <c r="B111" s="189">
        <v>43981</v>
      </c>
      <c r="C111" s="176" t="s">
        <v>153</v>
      </c>
      <c r="D111" s="167" t="s">
        <v>80</v>
      </c>
      <c r="E111" s="176" t="s">
        <v>157</v>
      </c>
      <c r="F111" s="166" t="s">
        <v>155</v>
      </c>
      <c r="G111" s="176" t="s">
        <v>96</v>
      </c>
      <c r="H111" s="176" t="s">
        <v>10</v>
      </c>
      <c r="I111" s="173">
        <v>14</v>
      </c>
      <c r="J111" s="190" t="s">
        <v>392</v>
      </c>
      <c r="K111" s="176" t="s">
        <v>51</v>
      </c>
      <c r="L111" s="176" t="s">
        <v>309</v>
      </c>
      <c r="M111" s="191"/>
    </row>
    <row r="112" spans="1:13" ht="38.25" hidden="1" x14ac:dyDescent="0.25">
      <c r="B112" s="189">
        <v>43980</v>
      </c>
      <c r="C112" s="176" t="s">
        <v>153</v>
      </c>
      <c r="D112" s="167" t="s">
        <v>80</v>
      </c>
      <c r="E112" s="176" t="s">
        <v>154</v>
      </c>
      <c r="F112" s="166" t="s">
        <v>155</v>
      </c>
      <c r="G112" s="176" t="s">
        <v>105</v>
      </c>
      <c r="H112" s="176" t="s">
        <v>156</v>
      </c>
      <c r="I112" s="173">
        <v>12</v>
      </c>
      <c r="J112" s="190" t="s">
        <v>392</v>
      </c>
      <c r="K112" s="176" t="s">
        <v>51</v>
      </c>
      <c r="L112" s="176" t="s">
        <v>309</v>
      </c>
      <c r="M112" s="191"/>
    </row>
    <row r="113" spans="2:13" ht="38.25" customHeight="1" x14ac:dyDescent="0.25">
      <c r="B113" s="285">
        <v>45399</v>
      </c>
      <c r="C113" s="176" t="s">
        <v>412</v>
      </c>
      <c r="D113" s="154" t="s">
        <v>126</v>
      </c>
      <c r="E113" s="176" t="s">
        <v>414</v>
      </c>
      <c r="F113" s="166" t="s">
        <v>155</v>
      </c>
      <c r="G113" s="167" t="s">
        <v>413</v>
      </c>
      <c r="H113" s="145" t="s">
        <v>10</v>
      </c>
      <c r="I113" s="173">
        <v>983</v>
      </c>
      <c r="J113" s="190" t="s">
        <v>402</v>
      </c>
      <c r="K113" s="176" t="s">
        <v>309</v>
      </c>
      <c r="L113" s="176"/>
      <c r="M113" s="191"/>
    </row>
    <row r="114" spans="2:13" ht="38.25" x14ac:dyDescent="0.25">
      <c r="B114" s="285">
        <v>45397</v>
      </c>
      <c r="C114" s="176" t="s">
        <v>409</v>
      </c>
      <c r="D114" s="154" t="s">
        <v>126</v>
      </c>
      <c r="E114" s="176" t="s">
        <v>410</v>
      </c>
      <c r="F114" s="166" t="s">
        <v>155</v>
      </c>
      <c r="G114" s="167" t="s">
        <v>395</v>
      </c>
      <c r="H114" s="145" t="s">
        <v>10</v>
      </c>
      <c r="I114" s="173">
        <v>975</v>
      </c>
      <c r="J114" s="190" t="s">
        <v>392</v>
      </c>
      <c r="K114" s="176" t="s">
        <v>301</v>
      </c>
      <c r="L114" s="176" t="s">
        <v>309</v>
      </c>
      <c r="M114" s="191"/>
    </row>
    <row r="115" spans="2:13" ht="51" x14ac:dyDescent="0.25">
      <c r="B115" s="189">
        <v>45366</v>
      </c>
      <c r="C115" s="176" t="s">
        <v>404</v>
      </c>
      <c r="D115" s="154" t="s">
        <v>126</v>
      </c>
      <c r="E115" s="176" t="s">
        <v>406</v>
      </c>
      <c r="F115" s="166" t="s">
        <v>407</v>
      </c>
      <c r="G115" s="167" t="s">
        <v>405</v>
      </c>
      <c r="H115" s="145" t="s">
        <v>10</v>
      </c>
      <c r="I115" s="173">
        <v>937</v>
      </c>
      <c r="J115" s="190" t="s">
        <v>392</v>
      </c>
      <c r="K115" s="176" t="s">
        <v>301</v>
      </c>
      <c r="L115" s="176" t="s">
        <v>309</v>
      </c>
      <c r="M115" s="191"/>
    </row>
    <row r="116" spans="2:13" ht="15" x14ac:dyDescent="0.25">
      <c r="B116" s="189"/>
      <c r="C116" s="176"/>
      <c r="D116" s="167"/>
      <c r="E116" s="176"/>
      <c r="F116" s="166"/>
      <c r="G116" s="176"/>
      <c r="H116" s="176"/>
      <c r="I116" s="173"/>
      <c r="J116" s="190"/>
      <c r="K116" s="176"/>
      <c r="L116" s="176"/>
      <c r="M116" s="191"/>
    </row>
    <row r="117" spans="2:13" ht="15" x14ac:dyDescent="0.25">
      <c r="B117" s="189"/>
      <c r="C117" s="176"/>
      <c r="D117" s="167"/>
      <c r="E117" s="176"/>
      <c r="F117" s="166"/>
      <c r="G117" s="176"/>
      <c r="H117" s="176"/>
      <c r="I117" s="173"/>
      <c r="J117" s="190"/>
      <c r="K117" s="176"/>
      <c r="L117" s="176"/>
      <c r="M117" s="191"/>
    </row>
    <row r="118" spans="2:13" ht="15" x14ac:dyDescent="0.25">
      <c r="B118" s="189"/>
      <c r="C118" s="176"/>
      <c r="D118" s="167"/>
      <c r="E118" s="176"/>
      <c r="F118" s="166"/>
      <c r="G118" s="176"/>
      <c r="H118" s="176"/>
      <c r="I118" s="173"/>
      <c r="J118" s="190"/>
      <c r="K118" s="176"/>
      <c r="L118" s="176"/>
      <c r="M118" s="191"/>
    </row>
    <row r="119" spans="2:13" ht="15" x14ac:dyDescent="0.25">
      <c r="B119" s="189"/>
      <c r="C119" s="176"/>
      <c r="D119" s="167"/>
      <c r="E119" s="176"/>
      <c r="F119" s="166"/>
      <c r="G119" s="176"/>
      <c r="H119" s="176"/>
      <c r="I119" s="173"/>
      <c r="J119" s="190"/>
      <c r="K119" s="176"/>
      <c r="L119" s="176"/>
      <c r="M119" s="191"/>
    </row>
    <row r="120" spans="2:13" ht="15" x14ac:dyDescent="0.25">
      <c r="B120" s="189"/>
      <c r="C120" s="176"/>
      <c r="D120" s="167"/>
      <c r="E120" s="176"/>
      <c r="F120" s="166"/>
      <c r="G120" s="176"/>
      <c r="H120" s="176"/>
      <c r="I120" s="173"/>
      <c r="J120" s="190"/>
      <c r="K120" s="176"/>
      <c r="L120" s="176"/>
      <c r="M120" s="191"/>
    </row>
    <row r="121" spans="2:13" ht="15" x14ac:dyDescent="0.25">
      <c r="B121" s="189"/>
      <c r="C121" s="176"/>
      <c r="D121" s="167"/>
      <c r="E121" s="176"/>
      <c r="F121" s="166"/>
      <c r="G121" s="176"/>
      <c r="H121" s="176"/>
      <c r="I121" s="173"/>
      <c r="J121" s="190"/>
      <c r="K121" s="176"/>
      <c r="L121" s="176"/>
      <c r="M121" s="191"/>
    </row>
    <row r="122" spans="2:13" ht="15" x14ac:dyDescent="0.25">
      <c r="B122" s="189"/>
      <c r="C122" s="176"/>
      <c r="D122" s="167"/>
      <c r="E122" s="176"/>
      <c r="F122" s="166"/>
      <c r="G122" s="176"/>
      <c r="H122" s="176"/>
      <c r="I122" s="173"/>
      <c r="J122" s="190"/>
      <c r="K122" s="176"/>
      <c r="L122" s="176"/>
      <c r="M122" s="191"/>
    </row>
    <row r="123" spans="2:13" ht="15" x14ac:dyDescent="0.25">
      <c r="B123" s="189"/>
      <c r="C123" s="176"/>
      <c r="D123" s="167"/>
      <c r="E123" s="176"/>
      <c r="F123" s="166"/>
      <c r="G123" s="176"/>
      <c r="H123" s="176"/>
      <c r="I123" s="173"/>
      <c r="J123" s="190"/>
      <c r="K123" s="176"/>
      <c r="L123" s="176"/>
      <c r="M123" s="191"/>
    </row>
    <row r="124" spans="2:13" ht="15" x14ac:dyDescent="0.25">
      <c r="B124" s="189"/>
      <c r="C124" s="176"/>
      <c r="D124" s="167"/>
      <c r="E124" s="176"/>
      <c r="F124" s="166"/>
      <c r="G124" s="176"/>
      <c r="H124" s="176"/>
      <c r="I124" s="173"/>
      <c r="J124" s="190"/>
      <c r="K124" s="176"/>
      <c r="L124" s="176"/>
      <c r="M124" s="191"/>
    </row>
    <row r="125" spans="2:13" ht="15" x14ac:dyDescent="0.25">
      <c r="B125" s="189"/>
      <c r="C125" s="176"/>
      <c r="D125" s="167"/>
      <c r="E125" s="176"/>
      <c r="F125" s="166"/>
      <c r="G125" s="176"/>
      <c r="H125" s="176"/>
      <c r="I125" s="173"/>
      <c r="J125" s="190"/>
      <c r="K125" s="176"/>
      <c r="L125" s="176"/>
      <c r="M125" s="191"/>
    </row>
  </sheetData>
  <mergeCells count="2">
    <mergeCell ref="D7:E7"/>
    <mergeCell ref="C2:E3"/>
  </mergeCells>
  <phoneticPr fontId="7" type="noConversion"/>
  <hyperlinks>
    <hyperlink ref="C92" r:id="rId1" display="https://inia.a0-raptor.app/issues/CONCURSO-50"/>
    <hyperlink ref="C93" r:id="rId2" display="https://inia.a0-raptor.app/issues/CONCURSO-50"/>
    <hyperlink ref="G88" r:id="rId3" display="https://inia.a0-raptor.app/issues/USUARIO-53"/>
    <hyperlink ref="G72" r:id="rId4" display="https://inia.a0-raptor.app/issues/USUARIO-53"/>
    <hyperlink ref="G54" r:id="rId5" display="https://inia.a0-raptor.app/issues/USUARIO-53"/>
    <hyperlink ref="G89" r:id="rId6" display="https://inia.a0-raptor.app/issues/USUARIO-53"/>
    <hyperlink ref="G58:G59" r:id="rId7" display="https://inia.a0-raptor.app/issues/USUARIO-53"/>
    <hyperlink ref="G62:G65" r:id="rId8" display="https://inia.a0-raptor.app/issues/USUARIO-53"/>
    <hyperlink ref="G76:G77" r:id="rId9" display="https://inia.a0-raptor.app/issues/USUARIO-53"/>
    <hyperlink ref="G80:G81" r:id="rId10" display="https://inia.a0-raptor.app/issues/USUARIO-53"/>
    <hyperlink ref="G15" r:id="rId11" display="https://inia.a0-raptor.app/issues/USUARIO-53"/>
    <hyperlink ref="G20" r:id="rId12" display="https://inia.a0-raptor.app/issues/USUARIO-53"/>
    <hyperlink ref="G92:G93" r:id="rId13" display="https://inia.a0-raptor.app/issues/USUARIO-53"/>
    <hyperlink ref="G30" r:id="rId14" display="https://inia.a0-raptor.app/issues/USUARIO-53"/>
    <hyperlink ref="G99:G101" r:id="rId15" display="https://inia.a0-raptor.app/issues/USUARIO-53"/>
  </hyperlinks>
  <pageMargins left="0.7" right="0.7" top="0.75" bottom="0.75" header="0.3" footer="0.3"/>
  <pageSetup paperSize="281" scale="62" fitToHeight="0" orientation="landscape" r:id="rId16"/>
  <drawing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RU118"/>
  <sheetViews>
    <sheetView showGridLines="0" showRowColHeaders="0" zoomScale="60" zoomScaleNormal="60" workbookViewId="0">
      <pane ySplit="8" topLeftCell="A9" activePane="bottomLeft" state="frozen"/>
      <selection activeCell="A2" sqref="A2"/>
      <selection pane="bottomLeft" activeCell="A27" sqref="A27"/>
    </sheetView>
  </sheetViews>
  <sheetFormatPr baseColWidth="10" defaultColWidth="11.42578125" defaultRowHeight="11.25" x14ac:dyDescent="0.25"/>
  <cols>
    <col min="1" max="1" width="3" style="8" bestFit="1" customWidth="1"/>
    <col min="2" max="2" width="3" style="8" customWidth="1"/>
    <col min="3" max="4" width="15.42578125" style="8" customWidth="1"/>
    <col min="5" max="8" width="17.85546875" style="8" customWidth="1"/>
    <col min="9" max="9" width="17.85546875" style="42" customWidth="1"/>
    <col min="10" max="20" width="17.85546875" style="8" customWidth="1"/>
    <col min="21" max="21" width="17.85546875" style="244" customWidth="1"/>
    <col min="22" max="22" width="35.85546875" style="8" bestFit="1" customWidth="1"/>
    <col min="23" max="23" width="19.42578125" style="36" customWidth="1"/>
    <col min="24" max="24" width="22.7109375" style="3" customWidth="1"/>
    <col min="25" max="25" width="28.28515625" style="8" customWidth="1"/>
    <col min="26" max="26" width="20" style="43" customWidth="1"/>
    <col min="27" max="27" width="18.7109375" style="8" customWidth="1"/>
    <col min="28" max="28" width="40.140625" style="8" customWidth="1"/>
    <col min="29" max="29" width="32.28515625" style="8" customWidth="1"/>
    <col min="30" max="30" width="17" style="8" customWidth="1"/>
    <col min="31" max="31" width="19.85546875" style="8" customWidth="1"/>
    <col min="32" max="32" width="22.140625" style="8" customWidth="1"/>
    <col min="33" max="33" width="20.42578125" style="8" customWidth="1"/>
    <col min="34" max="34" width="26.42578125" style="8" customWidth="1"/>
    <col min="35" max="35" width="27.28515625" style="8" customWidth="1"/>
    <col min="36" max="16384" width="11.42578125" style="8"/>
  </cols>
  <sheetData>
    <row r="1" spans="3:35" s="84" customFormat="1" x14ac:dyDescent="0.25">
      <c r="C1" s="78"/>
      <c r="D1" s="78"/>
      <c r="E1" s="78"/>
      <c r="F1" s="78"/>
      <c r="G1" s="79"/>
      <c r="H1" s="80"/>
      <c r="I1" s="78"/>
      <c r="J1" s="81"/>
      <c r="K1" s="78"/>
      <c r="L1" s="78"/>
      <c r="M1" s="78"/>
      <c r="N1" s="78"/>
      <c r="O1" s="78"/>
      <c r="P1" s="78"/>
      <c r="Q1" s="78"/>
      <c r="R1" s="78"/>
      <c r="S1" s="78"/>
      <c r="T1" s="78"/>
      <c r="U1" s="240"/>
      <c r="V1" s="78"/>
      <c r="W1" s="82"/>
      <c r="X1" s="78"/>
      <c r="Y1" s="78"/>
      <c r="Z1" s="83"/>
      <c r="AA1" s="78"/>
      <c r="AB1" s="78"/>
      <c r="AC1" s="78"/>
      <c r="AD1" s="78"/>
      <c r="AE1" s="78"/>
      <c r="AF1" s="78"/>
      <c r="AG1" s="78"/>
      <c r="AH1" s="78"/>
      <c r="AI1" s="78"/>
    </row>
    <row r="2" spans="3:35" s="84" customFormat="1" ht="12" thickBot="1" x14ac:dyDescent="0.3">
      <c r="C2" s="78"/>
      <c r="D2" s="78"/>
      <c r="E2" s="78"/>
      <c r="F2" s="78"/>
      <c r="G2" s="79"/>
      <c r="H2" s="80"/>
      <c r="I2" s="78"/>
      <c r="J2" s="81"/>
      <c r="K2" s="78"/>
      <c r="L2" s="78"/>
      <c r="M2" s="78"/>
      <c r="N2" s="78"/>
      <c r="O2" s="78"/>
      <c r="P2" s="78"/>
      <c r="Q2" s="78"/>
      <c r="R2" s="78"/>
      <c r="S2" s="78"/>
      <c r="T2" s="78"/>
      <c r="U2" s="240"/>
      <c r="V2" s="78"/>
      <c r="W2" s="82"/>
      <c r="X2" s="78"/>
      <c r="Y2" s="78"/>
      <c r="Z2" s="83"/>
      <c r="AA2" s="78"/>
      <c r="AB2" s="78"/>
      <c r="AC2" s="78"/>
      <c r="AD2" s="78"/>
      <c r="AE2" s="78"/>
      <c r="AF2" s="78"/>
      <c r="AG2" s="78"/>
      <c r="AH2" s="78"/>
      <c r="AI2" s="78"/>
    </row>
    <row r="3" spans="3:35" s="84" customFormat="1" ht="11.25" customHeight="1" x14ac:dyDescent="0.25">
      <c r="C3" s="95"/>
      <c r="D3" s="253" t="s">
        <v>492</v>
      </c>
      <c r="E3" s="254"/>
      <c r="F3" s="254"/>
      <c r="G3" s="254"/>
      <c r="H3" s="254"/>
      <c r="I3" s="255"/>
      <c r="J3" s="81"/>
      <c r="K3" s="78"/>
      <c r="L3" s="78"/>
      <c r="M3" s="78"/>
      <c r="N3" s="78"/>
      <c r="O3" s="78"/>
      <c r="P3" s="78"/>
      <c r="Q3" s="78"/>
      <c r="R3" s="78"/>
      <c r="S3" s="78"/>
      <c r="T3" s="78"/>
      <c r="U3" s="240"/>
      <c r="V3" s="78"/>
      <c r="W3" s="82"/>
      <c r="X3" s="78"/>
      <c r="Y3" s="78"/>
      <c r="Z3" s="83"/>
      <c r="AA3" s="78"/>
      <c r="AB3" s="78"/>
      <c r="AC3" s="78"/>
      <c r="AD3" s="78"/>
      <c r="AE3" s="78"/>
      <c r="AF3" s="78"/>
      <c r="AG3" s="78"/>
      <c r="AH3" s="78"/>
      <c r="AI3" s="78"/>
    </row>
    <row r="4" spans="3:35" s="84" customFormat="1" ht="11.25" customHeight="1" x14ac:dyDescent="0.25">
      <c r="C4" s="96"/>
      <c r="D4" s="256"/>
      <c r="E4" s="257"/>
      <c r="F4" s="257"/>
      <c r="G4" s="257"/>
      <c r="H4" s="257"/>
      <c r="I4" s="258"/>
      <c r="J4" s="81"/>
      <c r="K4" s="78"/>
      <c r="L4" s="78"/>
      <c r="M4" s="78"/>
      <c r="N4" s="78"/>
      <c r="O4" s="78"/>
      <c r="P4" s="78"/>
      <c r="Q4" s="78"/>
      <c r="R4" s="78"/>
      <c r="S4" s="78"/>
      <c r="T4" s="78"/>
      <c r="U4" s="240"/>
      <c r="V4" s="78"/>
      <c r="W4" s="82"/>
      <c r="X4" s="78"/>
      <c r="Y4" s="78"/>
      <c r="Z4" s="83"/>
      <c r="AA4" s="78"/>
      <c r="AB4" s="78"/>
      <c r="AC4" s="78"/>
      <c r="AD4" s="78"/>
      <c r="AE4" s="78"/>
      <c r="AF4" s="78"/>
      <c r="AG4" s="78"/>
      <c r="AH4" s="78"/>
      <c r="AI4" s="78"/>
    </row>
    <row r="5" spans="3:35" s="77" customFormat="1" ht="11.25" customHeight="1" x14ac:dyDescent="0.25">
      <c r="C5" s="96"/>
      <c r="D5" s="256"/>
      <c r="E5" s="257"/>
      <c r="F5" s="257"/>
      <c r="G5" s="257"/>
      <c r="H5" s="257"/>
      <c r="I5" s="258"/>
      <c r="J5" s="81"/>
      <c r="K5" s="78"/>
      <c r="L5" s="78"/>
      <c r="M5" s="78"/>
      <c r="N5" s="78"/>
      <c r="O5" s="78"/>
      <c r="P5" s="78"/>
      <c r="Q5" s="78"/>
      <c r="R5" s="78"/>
      <c r="S5" s="78"/>
      <c r="T5" s="78"/>
      <c r="U5" s="240"/>
      <c r="V5" s="78"/>
      <c r="W5" s="82"/>
      <c r="X5" s="78"/>
      <c r="Y5" s="78"/>
      <c r="Z5" s="83"/>
      <c r="AA5" s="78"/>
      <c r="AB5" s="78"/>
      <c r="AC5" s="78"/>
      <c r="AD5" s="78"/>
      <c r="AE5" s="78"/>
      <c r="AF5" s="78"/>
      <c r="AG5" s="78"/>
      <c r="AH5" s="78"/>
      <c r="AI5" s="78"/>
    </row>
    <row r="6" spans="3:35" s="77" customFormat="1" ht="12" customHeight="1" thickBot="1" x14ac:dyDescent="0.3">
      <c r="C6" s="96"/>
      <c r="D6" s="259"/>
      <c r="E6" s="260"/>
      <c r="F6" s="260"/>
      <c r="G6" s="260"/>
      <c r="H6" s="260"/>
      <c r="I6" s="261"/>
      <c r="J6" s="81"/>
      <c r="K6" s="78"/>
      <c r="L6" s="78"/>
      <c r="M6" s="78"/>
      <c r="N6" s="78"/>
      <c r="O6" s="78"/>
      <c r="P6" s="78"/>
      <c r="Q6" s="78"/>
      <c r="R6" s="78"/>
      <c r="S6" s="78"/>
      <c r="T6" s="78"/>
      <c r="U6" s="240"/>
      <c r="V6" s="78"/>
      <c r="W6" s="82"/>
      <c r="X6" s="78"/>
      <c r="Y6" s="78"/>
      <c r="Z6" s="83"/>
      <c r="AA6" s="78"/>
      <c r="AB6" s="78"/>
      <c r="AC6" s="78"/>
      <c r="AD6" s="78"/>
      <c r="AE6" s="78"/>
      <c r="AF6" s="78"/>
      <c r="AG6" s="78"/>
      <c r="AH6" s="78"/>
      <c r="AI6" s="78"/>
    </row>
    <row r="7" spans="3:35" s="77" customFormat="1" ht="19.5" customHeight="1" thickBot="1" x14ac:dyDescent="0.3">
      <c r="C7" s="97"/>
      <c r="D7" s="78"/>
      <c r="E7" s="78"/>
      <c r="F7" s="78"/>
      <c r="G7" s="79"/>
      <c r="H7" s="80"/>
      <c r="I7" s="78"/>
      <c r="J7" s="81"/>
      <c r="K7" s="78"/>
      <c r="L7" s="78"/>
      <c r="M7" s="78"/>
      <c r="N7" s="78"/>
      <c r="O7" s="78"/>
      <c r="P7" s="78"/>
      <c r="Q7" s="78"/>
      <c r="R7" s="78"/>
      <c r="S7" s="78"/>
      <c r="T7" s="78"/>
      <c r="U7" s="240"/>
      <c r="V7" s="78"/>
      <c r="W7" s="82"/>
      <c r="X7" s="78"/>
      <c r="Y7" s="78"/>
      <c r="Z7" s="83"/>
      <c r="AA7" s="78"/>
      <c r="AB7" s="78"/>
      <c r="AC7" s="78"/>
      <c r="AD7" s="78"/>
      <c r="AE7" s="78"/>
      <c r="AF7" s="78"/>
      <c r="AG7" s="78"/>
      <c r="AH7" s="78"/>
      <c r="AI7" s="78"/>
    </row>
    <row r="8" spans="3:35" s="126" customFormat="1" ht="29.25" customHeight="1" thickBot="1" x14ac:dyDescent="0.3">
      <c r="C8" s="239" t="s">
        <v>504</v>
      </c>
      <c r="D8" s="239" t="s">
        <v>503</v>
      </c>
      <c r="E8" s="117" t="s">
        <v>14</v>
      </c>
      <c r="F8" s="117" t="s">
        <v>15</v>
      </c>
      <c r="G8" s="118" t="s">
        <v>0</v>
      </c>
      <c r="H8" s="119" t="s">
        <v>16</v>
      </c>
      <c r="I8" s="117" t="s">
        <v>2</v>
      </c>
      <c r="J8" s="120" t="s">
        <v>136</v>
      </c>
      <c r="K8" s="117" t="s">
        <v>45</v>
      </c>
      <c r="L8" s="117" t="s">
        <v>12</v>
      </c>
      <c r="M8" s="117" t="s">
        <v>463</v>
      </c>
      <c r="N8" s="117" t="s">
        <v>17</v>
      </c>
      <c r="O8" s="117" t="s">
        <v>20</v>
      </c>
      <c r="P8" s="117" t="s">
        <v>447</v>
      </c>
      <c r="Q8" s="117" t="s">
        <v>448</v>
      </c>
      <c r="R8" s="117" t="s">
        <v>449</v>
      </c>
      <c r="S8" s="117" t="s">
        <v>450</v>
      </c>
      <c r="T8" s="121" t="s">
        <v>23</v>
      </c>
      <c r="U8" s="241" t="s">
        <v>42</v>
      </c>
      <c r="V8" s="117" t="s">
        <v>43</v>
      </c>
      <c r="W8" s="122" t="s">
        <v>24</v>
      </c>
      <c r="X8" s="123" t="s">
        <v>18</v>
      </c>
      <c r="Y8" s="117" t="s">
        <v>32</v>
      </c>
      <c r="Z8" s="124" t="s">
        <v>19</v>
      </c>
      <c r="AA8" s="121" t="s">
        <v>25</v>
      </c>
      <c r="AB8" s="117" t="s">
        <v>34</v>
      </c>
      <c r="AC8" s="121" t="s">
        <v>31</v>
      </c>
      <c r="AD8" s="125" t="s">
        <v>33</v>
      </c>
      <c r="AE8" s="116" t="s">
        <v>26</v>
      </c>
      <c r="AF8" s="117" t="s">
        <v>21</v>
      </c>
      <c r="AG8" s="117" t="s">
        <v>22</v>
      </c>
      <c r="AH8" s="117" t="s">
        <v>27</v>
      </c>
      <c r="AI8" s="125" t="s">
        <v>446</v>
      </c>
    </row>
    <row r="9" spans="3:35" s="126" customFormat="1" ht="13.5" thickBot="1" x14ac:dyDescent="0.3">
      <c r="C9" s="262" t="s">
        <v>29</v>
      </c>
      <c r="D9" s="263"/>
      <c r="E9" s="264"/>
      <c r="F9" s="275">
        <v>45790</v>
      </c>
      <c r="G9" s="276"/>
      <c r="I9" s="127"/>
      <c r="U9" s="237"/>
      <c r="W9" s="128"/>
      <c r="X9" s="129"/>
      <c r="Z9" s="130"/>
    </row>
    <row r="10" spans="3:35" s="126" customFormat="1" ht="13.5" thickBot="1" x14ac:dyDescent="0.3">
      <c r="C10" s="265" t="s">
        <v>30</v>
      </c>
      <c r="D10" s="266"/>
      <c r="E10" s="266"/>
      <c r="F10" s="267" t="s">
        <v>472</v>
      </c>
      <c r="G10" s="268"/>
      <c r="I10" s="127"/>
      <c r="U10" s="237"/>
      <c r="W10" s="128"/>
      <c r="X10" s="129"/>
      <c r="Z10" s="130"/>
    </row>
    <row r="11" spans="3:35" s="126" customFormat="1" ht="13.5" thickBot="1" x14ac:dyDescent="0.3">
      <c r="C11" s="131"/>
      <c r="D11" s="131"/>
      <c r="E11" s="131"/>
      <c r="F11" s="132"/>
      <c r="G11" s="132"/>
      <c r="I11" s="127"/>
      <c r="O11" s="265" t="s">
        <v>35</v>
      </c>
      <c r="P11" s="266"/>
      <c r="Q11" s="266"/>
      <c r="R11" s="266"/>
      <c r="S11" s="266"/>
      <c r="T11" s="266"/>
      <c r="U11" s="266"/>
      <c r="V11" s="274"/>
      <c r="W11" s="128"/>
      <c r="X11" s="129"/>
      <c r="Z11" s="130"/>
      <c r="AE11" s="265"/>
      <c r="AF11" s="266"/>
      <c r="AG11" s="266"/>
      <c r="AH11" s="266"/>
      <c r="AI11" s="274"/>
    </row>
    <row r="12" spans="3:35" s="126" customFormat="1" ht="12" customHeight="1" thickBot="1" x14ac:dyDescent="0.3">
      <c r="I12" s="127"/>
      <c r="O12" s="133"/>
      <c r="P12" s="272" t="s">
        <v>38</v>
      </c>
      <c r="Q12" s="272"/>
      <c r="R12" s="272" t="s">
        <v>22</v>
      </c>
      <c r="S12" s="272"/>
      <c r="T12" s="134"/>
      <c r="U12" s="272" t="s">
        <v>41</v>
      </c>
      <c r="V12" s="273"/>
      <c r="W12" s="128"/>
      <c r="X12" s="129"/>
      <c r="Z12" s="130"/>
      <c r="AE12" s="269" t="s">
        <v>44</v>
      </c>
      <c r="AF12" s="270"/>
      <c r="AG12" s="270"/>
      <c r="AH12" s="270"/>
      <c r="AI12" s="271"/>
    </row>
    <row r="13" spans="3:35" s="126" customFormat="1" ht="25.5" x14ac:dyDescent="0.25">
      <c r="C13" s="135" t="s">
        <v>504</v>
      </c>
      <c r="D13" s="135" t="s">
        <v>503</v>
      </c>
      <c r="E13" s="136" t="s">
        <v>14</v>
      </c>
      <c r="F13" s="136" t="s">
        <v>15</v>
      </c>
      <c r="G13" s="137" t="s">
        <v>0</v>
      </c>
      <c r="H13" s="138" t="s">
        <v>16</v>
      </c>
      <c r="I13" s="136" t="s">
        <v>2</v>
      </c>
      <c r="J13" s="139" t="s">
        <v>136</v>
      </c>
      <c r="K13" s="136" t="s">
        <v>45</v>
      </c>
      <c r="L13" s="136" t="s">
        <v>12</v>
      </c>
      <c r="M13" s="136" t="s">
        <v>463</v>
      </c>
      <c r="N13" s="136" t="s">
        <v>17</v>
      </c>
      <c r="O13" s="136" t="s">
        <v>20</v>
      </c>
      <c r="P13" s="136" t="s">
        <v>447</v>
      </c>
      <c r="Q13" s="136" t="s">
        <v>448</v>
      </c>
      <c r="R13" s="136" t="s">
        <v>449</v>
      </c>
      <c r="S13" s="136" t="s">
        <v>450</v>
      </c>
      <c r="T13" s="140" t="s">
        <v>23</v>
      </c>
      <c r="U13" s="242" t="s">
        <v>42</v>
      </c>
      <c r="V13" s="136" t="s">
        <v>43</v>
      </c>
      <c r="W13" s="141" t="s">
        <v>24</v>
      </c>
      <c r="X13" s="142" t="s">
        <v>18</v>
      </c>
      <c r="Y13" s="136" t="s">
        <v>32</v>
      </c>
      <c r="Z13" s="143" t="s">
        <v>19</v>
      </c>
      <c r="AA13" s="140" t="s">
        <v>25</v>
      </c>
      <c r="AB13" s="136" t="s">
        <v>34</v>
      </c>
      <c r="AC13" s="140" t="s">
        <v>31</v>
      </c>
      <c r="AD13" s="144" t="s">
        <v>33</v>
      </c>
      <c r="AE13" s="135" t="s">
        <v>26</v>
      </c>
      <c r="AF13" s="136" t="s">
        <v>21</v>
      </c>
      <c r="AG13" s="136" t="s">
        <v>22</v>
      </c>
      <c r="AH13" s="136" t="s">
        <v>27</v>
      </c>
      <c r="AI13" s="144" t="s">
        <v>446</v>
      </c>
    </row>
    <row r="14" spans="3:35" s="126" customFormat="1" ht="76.5" hidden="1" customHeight="1" x14ac:dyDescent="0.2">
      <c r="C14" s="150"/>
      <c r="D14" s="145">
        <f>+Tabla2[[#This Row],[Fecha de Postulación]]</f>
        <v>44414</v>
      </c>
      <c r="E14" s="146" t="s">
        <v>284</v>
      </c>
      <c r="F14" s="146" t="s">
        <v>279</v>
      </c>
      <c r="G14" s="154" t="str">
        <f>'Perfiles '!D57</f>
        <v>16-Rayentué</v>
      </c>
      <c r="H14" s="147" t="s">
        <v>281</v>
      </c>
      <c r="I14" s="146" t="s">
        <v>277</v>
      </c>
      <c r="J14" s="155" t="s">
        <v>165</v>
      </c>
      <c r="K14" s="146" t="s">
        <v>282</v>
      </c>
      <c r="L14" s="146" t="s">
        <v>144</v>
      </c>
      <c r="M14" s="146" t="s">
        <v>471</v>
      </c>
      <c r="N14" s="150">
        <v>44414</v>
      </c>
      <c r="O14" s="152" t="s">
        <v>285</v>
      </c>
      <c r="P14" s="152">
        <v>0</v>
      </c>
      <c r="Q14" s="152">
        <v>0</v>
      </c>
      <c r="R14" s="152">
        <v>0</v>
      </c>
      <c r="S14" s="156">
        <v>0</v>
      </c>
      <c r="T14" s="152">
        <f>SUM(O14:S14)</f>
        <v>0</v>
      </c>
      <c r="U14" s="152" t="s">
        <v>285</v>
      </c>
      <c r="V14" s="146" t="s">
        <v>285</v>
      </c>
      <c r="W14" s="149" t="s">
        <v>285</v>
      </c>
      <c r="X14" s="150" t="s">
        <v>144</v>
      </c>
      <c r="Y14" s="146" t="s">
        <v>66</v>
      </c>
      <c r="Z14" s="150">
        <v>44505</v>
      </c>
      <c r="AA14" s="146" t="s">
        <v>295</v>
      </c>
      <c r="AB14" s="146" t="s">
        <v>296</v>
      </c>
      <c r="AC14" s="146">
        <v>584</v>
      </c>
      <c r="AD14" s="146"/>
      <c r="AE14" s="153"/>
      <c r="AF14" s="153"/>
      <c r="AG14" s="153"/>
      <c r="AH14" s="153"/>
      <c r="AI14" s="153"/>
    </row>
    <row r="15" spans="3:35" s="126" customFormat="1" ht="50.45" hidden="1" customHeight="1" x14ac:dyDescent="0.2">
      <c r="C15" s="149">
        <v>2019</v>
      </c>
      <c r="D15" s="145">
        <f>+Tabla2[[#This Row],[Fecha de Postulación]]</f>
        <v>43776</v>
      </c>
      <c r="E15" s="146" t="s">
        <v>131</v>
      </c>
      <c r="F15" s="146" t="s">
        <v>130</v>
      </c>
      <c r="G15" s="154" t="s">
        <v>132</v>
      </c>
      <c r="H15" s="147" t="s">
        <v>129</v>
      </c>
      <c r="I15" s="146" t="s">
        <v>155</v>
      </c>
      <c r="J15" s="160" t="s">
        <v>96</v>
      </c>
      <c r="K15" s="146" t="s">
        <v>10</v>
      </c>
      <c r="L15" s="146" t="s">
        <v>240</v>
      </c>
      <c r="M15" s="146" t="s">
        <v>471</v>
      </c>
      <c r="N15" s="150">
        <v>43776</v>
      </c>
      <c r="O15" s="152">
        <v>90000000</v>
      </c>
      <c r="P15" s="152">
        <v>3700000</v>
      </c>
      <c r="Q15" s="152">
        <v>0</v>
      </c>
      <c r="R15" s="152">
        <v>4500000</v>
      </c>
      <c r="S15" s="156">
        <v>22427400</v>
      </c>
      <c r="T15" s="152">
        <f>SUM(O15:S15)</f>
        <v>120627400</v>
      </c>
      <c r="U15" s="152">
        <v>0</v>
      </c>
      <c r="V15" s="146">
        <v>0</v>
      </c>
      <c r="W15" s="149">
        <v>18</v>
      </c>
      <c r="X15" s="150">
        <v>44174</v>
      </c>
      <c r="Y15" s="146"/>
      <c r="Z15" s="150" t="s">
        <v>66</v>
      </c>
      <c r="AA15" s="146" t="s">
        <v>66</v>
      </c>
      <c r="AB15" s="146" t="s">
        <v>241</v>
      </c>
      <c r="AC15" s="146" t="s">
        <v>242</v>
      </c>
      <c r="AD15" s="146"/>
      <c r="AE15" s="153">
        <v>90000000</v>
      </c>
      <c r="AF15" s="153">
        <v>1500000</v>
      </c>
      <c r="AG15" s="153">
        <v>26927400</v>
      </c>
      <c r="AH15" s="153">
        <v>0</v>
      </c>
      <c r="AI15" s="153">
        <f>AE15+AF15+AG15</f>
        <v>118427400</v>
      </c>
    </row>
    <row r="16" spans="3:35" s="126" customFormat="1" ht="50.45" hidden="1" customHeight="1" x14ac:dyDescent="0.2">
      <c r="C16" s="149">
        <v>2019</v>
      </c>
      <c r="D16" s="145">
        <f>+Tabla2[[#This Row],[Fecha de Postulación]]</f>
        <v>43776</v>
      </c>
      <c r="E16" s="146" t="s">
        <v>68</v>
      </c>
      <c r="F16" s="146" t="s">
        <v>134</v>
      </c>
      <c r="G16" s="154" t="s">
        <v>126</v>
      </c>
      <c r="H16" s="147" t="s">
        <v>133</v>
      </c>
      <c r="I16" s="146" t="s">
        <v>155</v>
      </c>
      <c r="J16" s="160" t="s">
        <v>96</v>
      </c>
      <c r="K16" s="146" t="s">
        <v>135</v>
      </c>
      <c r="L16" s="146" t="s">
        <v>240</v>
      </c>
      <c r="M16" s="146" t="s">
        <v>471</v>
      </c>
      <c r="N16" s="150">
        <v>43776</v>
      </c>
      <c r="O16" s="152">
        <v>112500000</v>
      </c>
      <c r="P16" s="152">
        <v>0</v>
      </c>
      <c r="Q16" s="152">
        <v>0</v>
      </c>
      <c r="R16" s="158">
        <v>0</v>
      </c>
      <c r="S16" s="156">
        <v>57780300</v>
      </c>
      <c r="T16" s="152">
        <f>SUM(O16:S16)</f>
        <v>170280300</v>
      </c>
      <c r="U16" s="152">
        <v>0</v>
      </c>
      <c r="V16" s="146">
        <v>0</v>
      </c>
      <c r="W16" s="149">
        <v>36</v>
      </c>
      <c r="X16" s="150">
        <v>44096</v>
      </c>
      <c r="Y16" s="146"/>
      <c r="Z16" s="150" t="s">
        <v>66</v>
      </c>
      <c r="AA16" s="146" t="s">
        <v>66</v>
      </c>
      <c r="AB16" s="146" t="s">
        <v>237</v>
      </c>
      <c r="AC16" s="146"/>
      <c r="AD16" s="146"/>
      <c r="AE16" s="153">
        <v>32697647</v>
      </c>
      <c r="AF16" s="153">
        <v>0</v>
      </c>
      <c r="AG16" s="153">
        <v>57780349</v>
      </c>
      <c r="AH16" s="153">
        <v>0</v>
      </c>
      <c r="AI16" s="153">
        <f>AE16+AF16+AG16</f>
        <v>90477996</v>
      </c>
    </row>
    <row r="17" spans="3:35" s="126" customFormat="1" ht="50.45" hidden="1" customHeight="1" x14ac:dyDescent="0.2">
      <c r="C17" s="150"/>
      <c r="D17" s="145">
        <f>+Tabla2[[#This Row],[Fecha de Postulación]]</f>
        <v>43755</v>
      </c>
      <c r="E17" s="146" t="s">
        <v>76</v>
      </c>
      <c r="F17" s="146" t="s">
        <v>77</v>
      </c>
      <c r="G17" s="154" t="s">
        <v>80</v>
      </c>
      <c r="H17" s="147" t="s">
        <v>81</v>
      </c>
      <c r="I17" s="146" t="s">
        <v>278</v>
      </c>
      <c r="J17" s="160" t="s">
        <v>100</v>
      </c>
      <c r="K17" s="146" t="s">
        <v>10</v>
      </c>
      <c r="L17" s="146" t="s">
        <v>144</v>
      </c>
      <c r="M17" s="146" t="s">
        <v>471</v>
      </c>
      <c r="N17" s="150">
        <v>43755</v>
      </c>
      <c r="O17" s="152">
        <v>188241000</v>
      </c>
      <c r="P17" s="152">
        <v>60000000</v>
      </c>
      <c r="Q17" s="152">
        <v>0</v>
      </c>
      <c r="R17" s="152">
        <v>0</v>
      </c>
      <c r="S17" s="156">
        <v>39556000</v>
      </c>
      <c r="T17" s="152">
        <f>SUM(O17:S17)</f>
        <v>287797000</v>
      </c>
      <c r="U17" s="152">
        <v>21850000</v>
      </c>
      <c r="V17" s="146">
        <v>0</v>
      </c>
      <c r="W17" s="149">
        <v>24</v>
      </c>
      <c r="X17" s="150" t="str">
        <f>L17</f>
        <v>RECHAZADO</v>
      </c>
      <c r="Y17" s="146" t="s">
        <v>66</v>
      </c>
      <c r="Z17" s="150">
        <v>43847</v>
      </c>
      <c r="AA17" s="146" t="s">
        <v>203</v>
      </c>
      <c r="AB17" s="146" t="s">
        <v>204</v>
      </c>
      <c r="AC17" s="146"/>
      <c r="AD17" s="146"/>
      <c r="AE17" s="153"/>
      <c r="AF17" s="153"/>
      <c r="AG17" s="153"/>
      <c r="AH17" s="153"/>
      <c r="AI17" s="153"/>
    </row>
    <row r="18" spans="3:35" s="126" customFormat="1" ht="50.45" hidden="1" customHeight="1" x14ac:dyDescent="0.2">
      <c r="C18" s="149">
        <v>2019</v>
      </c>
      <c r="D18" s="145">
        <f>+Tabla2[[#This Row],[Fecha de Postulación]]</f>
        <v>43732</v>
      </c>
      <c r="E18" s="146" t="s">
        <v>183</v>
      </c>
      <c r="F18" s="146" t="s">
        <v>73</v>
      </c>
      <c r="G18" s="154" t="s">
        <v>74</v>
      </c>
      <c r="H18" s="147" t="s">
        <v>75</v>
      </c>
      <c r="I18" s="146" t="s">
        <v>155</v>
      </c>
      <c r="J18" s="160" t="s">
        <v>105</v>
      </c>
      <c r="K18" s="146" t="s">
        <v>10</v>
      </c>
      <c r="L18" s="146" t="s">
        <v>240</v>
      </c>
      <c r="M18" s="146" t="s">
        <v>471</v>
      </c>
      <c r="N18" s="150">
        <v>43732</v>
      </c>
      <c r="O18" s="152">
        <v>0</v>
      </c>
      <c r="P18" s="152">
        <v>0</v>
      </c>
      <c r="Q18" s="152">
        <v>0</v>
      </c>
      <c r="R18" s="152">
        <v>0</v>
      </c>
      <c r="S18" s="156">
        <v>13262000</v>
      </c>
      <c r="T18" s="152">
        <f>SUM(O18:S18)</f>
        <v>13262000</v>
      </c>
      <c r="U18" s="152">
        <v>0</v>
      </c>
      <c r="V18" s="146">
        <v>0</v>
      </c>
      <c r="W18" s="149">
        <v>36</v>
      </c>
      <c r="X18" s="150">
        <v>43902</v>
      </c>
      <c r="Y18" s="146"/>
      <c r="Z18" s="150" t="s">
        <v>66</v>
      </c>
      <c r="AA18" s="146" t="s">
        <v>66</v>
      </c>
      <c r="AB18" s="146" t="s">
        <v>232</v>
      </c>
      <c r="AC18" s="146">
        <v>3200742</v>
      </c>
      <c r="AD18" s="146"/>
      <c r="AE18" s="153">
        <v>0</v>
      </c>
      <c r="AF18" s="153">
        <v>0</v>
      </c>
      <c r="AG18" s="153">
        <v>13262000</v>
      </c>
      <c r="AH18" s="153">
        <v>0</v>
      </c>
      <c r="AI18" s="153">
        <f>AE18+AF18+AG18</f>
        <v>13262000</v>
      </c>
    </row>
    <row r="19" spans="3:35" s="126" customFormat="1" ht="114.75" hidden="1" customHeight="1" x14ac:dyDescent="0.2">
      <c r="C19" s="150"/>
      <c r="D19" s="145">
        <f>+Tabla2[[#This Row],[Fecha de Postulación]]</f>
        <v>43707</v>
      </c>
      <c r="E19" s="146" t="s">
        <v>69</v>
      </c>
      <c r="F19" s="146" t="s">
        <v>70</v>
      </c>
      <c r="G19" s="154" t="s">
        <v>71</v>
      </c>
      <c r="H19" s="147" t="s">
        <v>72</v>
      </c>
      <c r="I19" s="146" t="s">
        <v>278</v>
      </c>
      <c r="J19" s="160" t="s">
        <v>100</v>
      </c>
      <c r="K19" s="146" t="s">
        <v>10</v>
      </c>
      <c r="L19" s="146" t="s">
        <v>144</v>
      </c>
      <c r="M19" s="146" t="s">
        <v>471</v>
      </c>
      <c r="N19" s="150">
        <v>43707</v>
      </c>
      <c r="O19" s="152">
        <v>100202000</v>
      </c>
      <c r="P19" s="152">
        <v>15990000</v>
      </c>
      <c r="Q19" s="152">
        <v>0</v>
      </c>
      <c r="R19" s="152">
        <v>5100000</v>
      </c>
      <c r="S19" s="156">
        <v>17755000</v>
      </c>
      <c r="T19" s="152">
        <f>SUM(O19:S19)</f>
        <v>139047000</v>
      </c>
      <c r="U19" s="152">
        <f>O19+P19+R19</f>
        <v>121292000</v>
      </c>
      <c r="V19" s="146">
        <v>0</v>
      </c>
      <c r="W19" s="149">
        <v>36</v>
      </c>
      <c r="X19" s="150" t="str">
        <f>L19</f>
        <v>RECHAZADO</v>
      </c>
      <c r="Y19" s="146" t="s">
        <v>66</v>
      </c>
      <c r="Z19" s="150">
        <v>43741</v>
      </c>
      <c r="AA19" s="146" t="s">
        <v>121</v>
      </c>
      <c r="AB19" s="146" t="s">
        <v>120</v>
      </c>
      <c r="AC19" s="146" t="s">
        <v>122</v>
      </c>
      <c r="AD19" s="146" t="s">
        <v>119</v>
      </c>
      <c r="AE19" s="153"/>
      <c r="AF19" s="153"/>
      <c r="AG19" s="153"/>
      <c r="AH19" s="153"/>
      <c r="AI19" s="153"/>
    </row>
    <row r="20" spans="3:35" s="126" customFormat="1" ht="50.45" hidden="1" customHeight="1" x14ac:dyDescent="0.2">
      <c r="C20" s="150"/>
      <c r="D20" s="145">
        <f>+Tabla2[[#This Row],[Fecha de Postulación]]</f>
        <v>43682</v>
      </c>
      <c r="E20" s="146" t="s">
        <v>87</v>
      </c>
      <c r="F20" s="146" t="s">
        <v>88</v>
      </c>
      <c r="G20" s="154" t="s">
        <v>116</v>
      </c>
      <c r="H20" s="147" t="s">
        <v>89</v>
      </c>
      <c r="I20" s="146" t="s">
        <v>117</v>
      </c>
      <c r="J20" s="160" t="s">
        <v>90</v>
      </c>
      <c r="K20" s="146" t="s">
        <v>10</v>
      </c>
      <c r="L20" s="146" t="s">
        <v>91</v>
      </c>
      <c r="M20" s="146" t="s">
        <v>471</v>
      </c>
      <c r="N20" s="150">
        <v>43682</v>
      </c>
      <c r="O20" s="152">
        <v>12285000</v>
      </c>
      <c r="P20" s="152">
        <v>0</v>
      </c>
      <c r="Q20" s="152">
        <v>0</v>
      </c>
      <c r="R20" s="152">
        <v>0</v>
      </c>
      <c r="S20" s="156">
        <v>0</v>
      </c>
      <c r="T20" s="152">
        <f>SUM(O20:S20)</f>
        <v>12285000</v>
      </c>
      <c r="U20" s="152"/>
      <c r="V20" s="146"/>
      <c r="W20" s="149">
        <v>10</v>
      </c>
      <c r="X20" s="150" t="s">
        <v>245</v>
      </c>
      <c r="Y20" s="146" t="s">
        <v>86</v>
      </c>
      <c r="Z20" s="150"/>
      <c r="AA20" s="146"/>
      <c r="AB20" s="146"/>
      <c r="AC20" s="146" t="s">
        <v>125</v>
      </c>
      <c r="AD20" s="146"/>
      <c r="AE20" s="153"/>
      <c r="AF20" s="153"/>
      <c r="AG20" s="153"/>
      <c r="AH20" s="153"/>
      <c r="AI20" s="153">
        <f>AE20+AF20+AG20</f>
        <v>0</v>
      </c>
    </row>
    <row r="21" spans="3:35" s="126" customFormat="1" ht="101.25" hidden="1" customHeight="1" x14ac:dyDescent="0.2">
      <c r="C21" s="150"/>
      <c r="D21" s="145">
        <f>+Tabla2[[#This Row],[Fecha de Postulación]]</f>
        <v>43620</v>
      </c>
      <c r="E21" s="146" t="s">
        <v>68</v>
      </c>
      <c r="F21" s="146" t="s">
        <v>56</v>
      </c>
      <c r="G21" s="154" t="s">
        <v>57</v>
      </c>
      <c r="H21" s="147" t="s">
        <v>58</v>
      </c>
      <c r="I21" s="146" t="s">
        <v>278</v>
      </c>
      <c r="J21" s="160" t="s">
        <v>55</v>
      </c>
      <c r="K21" s="146" t="s">
        <v>156</v>
      </c>
      <c r="L21" s="146" t="s">
        <v>36</v>
      </c>
      <c r="M21" s="146" t="s">
        <v>471</v>
      </c>
      <c r="N21" s="150">
        <v>43620</v>
      </c>
      <c r="O21" s="152">
        <v>3664000</v>
      </c>
      <c r="P21" s="152">
        <v>0</v>
      </c>
      <c r="Q21" s="152">
        <v>0</v>
      </c>
      <c r="R21" s="152">
        <v>0</v>
      </c>
      <c r="S21" s="156">
        <v>9650000</v>
      </c>
      <c r="T21" s="152">
        <f>SUM(O21:S21)</f>
        <v>13314000</v>
      </c>
      <c r="U21" s="152">
        <v>0</v>
      </c>
      <c r="V21" s="146">
        <v>0</v>
      </c>
      <c r="W21" s="149">
        <v>48</v>
      </c>
      <c r="X21" s="150" t="s">
        <v>233</v>
      </c>
      <c r="Y21" s="146"/>
      <c r="Z21" s="150" t="s">
        <v>66</v>
      </c>
      <c r="AA21" s="146" t="s">
        <v>66</v>
      </c>
      <c r="AB21" s="146" t="s">
        <v>205</v>
      </c>
      <c r="AC21" s="146"/>
      <c r="AD21" s="146"/>
      <c r="AE21" s="153">
        <v>3664000</v>
      </c>
      <c r="AF21" s="153">
        <v>0</v>
      </c>
      <c r="AG21" s="153">
        <v>9650000</v>
      </c>
      <c r="AH21" s="153">
        <v>0</v>
      </c>
      <c r="AI21" s="153">
        <f>AE21+AF21+AG21</f>
        <v>13314000</v>
      </c>
    </row>
    <row r="22" spans="3:35" s="126" customFormat="1" ht="101.25" hidden="1" customHeight="1" x14ac:dyDescent="0.2">
      <c r="C22" s="150"/>
      <c r="D22" s="145">
        <f>+Tabla2[[#This Row],[Fecha de Postulación]]</f>
        <v>43616</v>
      </c>
      <c r="E22" s="146" t="s">
        <v>68</v>
      </c>
      <c r="F22" s="146" t="s">
        <v>52</v>
      </c>
      <c r="G22" s="154" t="s">
        <v>53</v>
      </c>
      <c r="H22" s="147" t="s">
        <v>54</v>
      </c>
      <c r="I22" s="146" t="s">
        <v>278</v>
      </c>
      <c r="J22" s="160" t="s">
        <v>55</v>
      </c>
      <c r="K22" s="146" t="s">
        <v>10</v>
      </c>
      <c r="L22" s="146" t="s">
        <v>144</v>
      </c>
      <c r="M22" s="146" t="s">
        <v>471</v>
      </c>
      <c r="N22" s="150">
        <v>43616</v>
      </c>
      <c r="O22" s="152">
        <v>12900000</v>
      </c>
      <c r="P22" s="152">
        <v>0</v>
      </c>
      <c r="Q22" s="152">
        <v>0</v>
      </c>
      <c r="R22" s="152">
        <v>0</v>
      </c>
      <c r="S22" s="156">
        <v>250000</v>
      </c>
      <c r="T22" s="152">
        <f>SUM(O22:S22)</f>
        <v>13150000</v>
      </c>
      <c r="U22" s="152"/>
      <c r="V22" s="146"/>
      <c r="W22" s="149">
        <v>36</v>
      </c>
      <c r="X22" s="150" t="s">
        <v>144</v>
      </c>
      <c r="Y22" s="146" t="s">
        <v>66</v>
      </c>
      <c r="Z22" s="150">
        <v>43936</v>
      </c>
      <c r="AA22" s="146"/>
      <c r="AB22" s="146"/>
      <c r="AC22" s="146"/>
      <c r="AD22" s="146"/>
      <c r="AE22" s="153"/>
      <c r="AF22" s="153"/>
      <c r="AG22" s="153"/>
      <c r="AH22" s="153"/>
      <c r="AI22" s="153"/>
    </row>
    <row r="23" spans="3:35" s="126" customFormat="1" ht="101.25" hidden="1" customHeight="1" x14ac:dyDescent="0.2">
      <c r="C23" s="150"/>
      <c r="D23" s="145">
        <f>+Tabla2[[#This Row],[Fecha de Postulación]]</f>
        <v>43396</v>
      </c>
      <c r="E23" s="146" t="s">
        <v>68</v>
      </c>
      <c r="F23" s="146" t="s">
        <v>168</v>
      </c>
      <c r="G23" s="154" t="s">
        <v>71</v>
      </c>
      <c r="H23" s="147" t="s">
        <v>188</v>
      </c>
      <c r="I23" s="146" t="s">
        <v>278</v>
      </c>
      <c r="J23" s="160" t="s">
        <v>105</v>
      </c>
      <c r="K23" s="146" t="s">
        <v>10</v>
      </c>
      <c r="L23" s="146" t="s">
        <v>144</v>
      </c>
      <c r="M23" s="146" t="s">
        <v>471</v>
      </c>
      <c r="N23" s="150">
        <v>43396</v>
      </c>
      <c r="O23" s="152">
        <v>0</v>
      </c>
      <c r="P23" s="152">
        <v>0</v>
      </c>
      <c r="Q23" s="152">
        <v>17000000</v>
      </c>
      <c r="R23" s="158">
        <v>17000000</v>
      </c>
      <c r="S23" s="156">
        <v>0</v>
      </c>
      <c r="T23" s="152">
        <f>SUM(O23:S23)</f>
        <v>34000000</v>
      </c>
      <c r="U23" s="152"/>
      <c r="V23" s="146"/>
      <c r="W23" s="149">
        <v>36</v>
      </c>
      <c r="X23" s="150" t="s">
        <v>144</v>
      </c>
      <c r="Y23" s="146" t="s">
        <v>190</v>
      </c>
      <c r="Z23" s="150">
        <v>43535</v>
      </c>
      <c r="AA23" s="146" t="s">
        <v>189</v>
      </c>
      <c r="AB23" s="146"/>
      <c r="AC23" s="146"/>
      <c r="AD23" s="146"/>
      <c r="AE23" s="153"/>
      <c r="AF23" s="153"/>
      <c r="AG23" s="153"/>
      <c r="AH23" s="153"/>
      <c r="AI23" s="153"/>
    </row>
    <row r="24" spans="3:35" s="126" customFormat="1" ht="101.25" hidden="1" customHeight="1" x14ac:dyDescent="0.2">
      <c r="C24" s="150"/>
      <c r="D24" s="145">
        <f>+Tabla2[[#This Row],[Fecha de Postulación]]</f>
        <v>43347</v>
      </c>
      <c r="E24" s="146" t="s">
        <v>183</v>
      </c>
      <c r="F24" s="146" t="s">
        <v>172</v>
      </c>
      <c r="G24" s="154" t="s">
        <v>71</v>
      </c>
      <c r="H24" s="147" t="s">
        <v>184</v>
      </c>
      <c r="I24" s="146" t="s">
        <v>155</v>
      </c>
      <c r="J24" s="160" t="s">
        <v>105</v>
      </c>
      <c r="K24" s="146" t="s">
        <v>185</v>
      </c>
      <c r="L24" s="146" t="s">
        <v>144</v>
      </c>
      <c r="M24" s="146" t="s">
        <v>471</v>
      </c>
      <c r="N24" s="150">
        <v>43347</v>
      </c>
      <c r="O24" s="152">
        <v>25400000</v>
      </c>
      <c r="P24" s="152">
        <v>0</v>
      </c>
      <c r="Q24" s="152">
        <v>10000000</v>
      </c>
      <c r="R24" s="158">
        <v>35400000</v>
      </c>
      <c r="S24" s="156"/>
      <c r="T24" s="152">
        <f>SUM(O24:S24)</f>
        <v>70800000</v>
      </c>
      <c r="U24" s="152"/>
      <c r="V24" s="146"/>
      <c r="W24" s="149">
        <v>48</v>
      </c>
      <c r="X24" s="150" t="s">
        <v>144</v>
      </c>
      <c r="Y24" s="146" t="s">
        <v>187</v>
      </c>
      <c r="Z24" s="150">
        <v>43543</v>
      </c>
      <c r="AA24" s="146" t="s">
        <v>186</v>
      </c>
      <c r="AB24" s="146"/>
      <c r="AC24" s="146"/>
      <c r="AD24" s="146"/>
      <c r="AE24" s="153"/>
      <c r="AF24" s="153"/>
      <c r="AG24" s="153"/>
      <c r="AH24" s="153"/>
      <c r="AI24" s="153"/>
    </row>
    <row r="25" spans="3:35" s="126" customFormat="1" ht="101.25" hidden="1" customHeight="1" x14ac:dyDescent="0.2">
      <c r="C25" s="149">
        <v>2018</v>
      </c>
      <c r="D25" s="145">
        <f>+Tabla2[[#This Row],[Fecha de Postulación]]</f>
        <v>43291</v>
      </c>
      <c r="E25" s="146" t="s">
        <v>82</v>
      </c>
      <c r="F25" s="146" t="s">
        <v>83</v>
      </c>
      <c r="G25" s="154" t="s">
        <v>126</v>
      </c>
      <c r="H25" s="147" t="s">
        <v>84</v>
      </c>
      <c r="I25" s="146" t="s">
        <v>277</v>
      </c>
      <c r="J25" s="160" t="s">
        <v>93</v>
      </c>
      <c r="K25" s="146" t="s">
        <v>10</v>
      </c>
      <c r="L25" s="146" t="s">
        <v>240</v>
      </c>
      <c r="M25" s="146" t="s">
        <v>471</v>
      </c>
      <c r="N25" s="150">
        <v>43291</v>
      </c>
      <c r="O25" s="152">
        <v>1028356000</v>
      </c>
      <c r="P25" s="152">
        <v>0</v>
      </c>
      <c r="Q25" s="152">
        <v>29540000</v>
      </c>
      <c r="R25" s="158">
        <v>0</v>
      </c>
      <c r="S25" s="156">
        <v>70754000</v>
      </c>
      <c r="T25" s="152">
        <f>SUM(O25:S25)</f>
        <v>1128650000</v>
      </c>
      <c r="U25" s="152">
        <v>48969000</v>
      </c>
      <c r="V25" s="146"/>
      <c r="W25" s="149">
        <v>36</v>
      </c>
      <c r="X25" s="150" t="s">
        <v>234</v>
      </c>
      <c r="Y25" s="146"/>
      <c r="Z25" s="150" t="s">
        <v>66</v>
      </c>
      <c r="AA25" s="146" t="s">
        <v>66</v>
      </c>
      <c r="AB25" s="146" t="s">
        <v>127</v>
      </c>
      <c r="AC25" s="146" t="s">
        <v>128</v>
      </c>
      <c r="AD25" s="146"/>
      <c r="AE25" s="153">
        <v>1028356000</v>
      </c>
      <c r="AF25" s="153">
        <v>29540000</v>
      </c>
      <c r="AG25" s="153">
        <v>70754000</v>
      </c>
      <c r="AH25" s="153">
        <v>0</v>
      </c>
      <c r="AI25" s="153">
        <f>AE25+AF25+AG25</f>
        <v>1128650000</v>
      </c>
    </row>
    <row r="26" spans="3:35" s="126" customFormat="1" ht="101.25" customHeight="1" x14ac:dyDescent="0.25">
      <c r="C26" s="146"/>
      <c r="D26" s="145">
        <v>46087</v>
      </c>
      <c r="E26" s="146" t="s">
        <v>543</v>
      </c>
      <c r="F26" s="145" t="s">
        <v>538</v>
      </c>
      <c r="G26" s="154" t="s">
        <v>71</v>
      </c>
      <c r="H26" s="145" t="s">
        <v>541</v>
      </c>
      <c r="I26" s="146" t="s">
        <v>434</v>
      </c>
      <c r="J26" s="145" t="s">
        <v>441</v>
      </c>
      <c r="K26" s="145" t="s">
        <v>10</v>
      </c>
      <c r="L26" s="146" t="s">
        <v>485</v>
      </c>
      <c r="M26" s="149">
        <v>1617</v>
      </c>
      <c r="N26" s="145">
        <v>46087</v>
      </c>
      <c r="O26" s="152">
        <v>75000000</v>
      </c>
      <c r="P26" s="152">
        <v>0</v>
      </c>
      <c r="Q26" s="152">
        <v>2692825</v>
      </c>
      <c r="R26" s="158">
        <v>0</v>
      </c>
      <c r="S26" s="159">
        <v>64944210</v>
      </c>
      <c r="T26" s="152">
        <f>SUM(O26:S26)</f>
        <v>142637035</v>
      </c>
      <c r="U26" s="152"/>
      <c r="V26" s="152"/>
      <c r="W26" s="149"/>
      <c r="X26" s="150"/>
      <c r="Y26" s="146"/>
      <c r="Z26" s="150"/>
      <c r="AA26" s="146"/>
      <c r="AB26" s="146"/>
      <c r="AC26" s="146"/>
      <c r="AD26" s="146"/>
      <c r="AE26" s="153"/>
      <c r="AF26" s="153"/>
      <c r="AG26" s="153"/>
      <c r="AH26" s="153"/>
      <c r="AI26" s="153"/>
    </row>
    <row r="27" spans="3:35" s="126" customFormat="1" ht="90" customHeight="1" x14ac:dyDescent="0.25">
      <c r="C27" s="145"/>
      <c r="D27" s="145">
        <v>46100</v>
      </c>
      <c r="E27" s="146" t="s">
        <v>202</v>
      </c>
      <c r="F27" s="145" t="s">
        <v>539</v>
      </c>
      <c r="G27" s="154" t="s">
        <v>71</v>
      </c>
      <c r="H27" s="145" t="s">
        <v>542</v>
      </c>
      <c r="I27" s="146" t="s">
        <v>481</v>
      </c>
      <c r="J27" s="145" t="s">
        <v>96</v>
      </c>
      <c r="K27" s="145" t="s">
        <v>10</v>
      </c>
      <c r="L27" s="146" t="s">
        <v>485</v>
      </c>
      <c r="M27" s="149">
        <v>1615</v>
      </c>
      <c r="N27" s="145">
        <v>46100</v>
      </c>
      <c r="O27" s="152">
        <v>237000000</v>
      </c>
      <c r="P27" s="152">
        <v>23700000</v>
      </c>
      <c r="Q27" s="152">
        <v>47400000</v>
      </c>
      <c r="R27" s="152">
        <v>100518777</v>
      </c>
      <c r="S27" s="159">
        <v>0</v>
      </c>
      <c r="T27" s="152">
        <f>SUM(O27:S27)</f>
        <v>408618777</v>
      </c>
      <c r="U27" s="152"/>
      <c r="V27" s="152"/>
      <c r="W27" s="149"/>
      <c r="X27" s="150"/>
      <c r="Y27" s="146"/>
      <c r="Z27" s="150"/>
      <c r="AA27" s="146"/>
      <c r="AB27" s="146"/>
      <c r="AC27" s="146"/>
      <c r="AD27" s="146"/>
      <c r="AE27" s="153"/>
      <c r="AF27" s="153"/>
      <c r="AG27" s="153"/>
      <c r="AH27" s="153"/>
      <c r="AI27" s="153"/>
    </row>
    <row r="28" spans="3:35" s="126" customFormat="1" ht="67.5" customHeight="1" x14ac:dyDescent="0.25">
      <c r="C28" s="150"/>
      <c r="D28" s="145">
        <v>45944</v>
      </c>
      <c r="E28" s="146" t="s">
        <v>69</v>
      </c>
      <c r="F28" s="145" t="s">
        <v>530</v>
      </c>
      <c r="G28" s="154" t="s">
        <v>169</v>
      </c>
      <c r="H28" s="145" t="s">
        <v>525</v>
      </c>
      <c r="I28" s="146" t="s">
        <v>434</v>
      </c>
      <c r="J28" s="145" t="s">
        <v>219</v>
      </c>
      <c r="K28" s="145" t="s">
        <v>254</v>
      </c>
      <c r="L28" s="146" t="s">
        <v>8</v>
      </c>
      <c r="M28" s="149">
        <v>1553</v>
      </c>
      <c r="N28" s="145">
        <v>45951</v>
      </c>
      <c r="O28" s="152">
        <v>0</v>
      </c>
      <c r="P28" s="152">
        <v>0</v>
      </c>
      <c r="Q28" s="152">
        <v>0</v>
      </c>
      <c r="R28" s="152">
        <v>0</v>
      </c>
      <c r="S28" s="159">
        <v>3574816</v>
      </c>
      <c r="T28" s="152">
        <f>SUM(O28:S28)</f>
        <v>3574816</v>
      </c>
      <c r="U28" s="152">
        <v>0</v>
      </c>
      <c r="V28" s="152">
        <v>0</v>
      </c>
      <c r="W28" s="149">
        <v>8</v>
      </c>
      <c r="X28" s="150"/>
      <c r="Y28" s="146"/>
      <c r="Z28" s="150"/>
      <c r="AA28" s="146"/>
      <c r="AB28" s="146"/>
      <c r="AC28" s="146"/>
      <c r="AD28" s="146"/>
      <c r="AE28" s="153"/>
      <c r="AF28" s="153"/>
      <c r="AG28" s="153"/>
      <c r="AH28" s="153"/>
      <c r="AI28" s="153"/>
    </row>
    <row r="29" spans="3:35" s="126" customFormat="1" ht="127.5" customHeight="1" x14ac:dyDescent="0.25">
      <c r="C29" s="150"/>
      <c r="D29" s="145">
        <v>45901</v>
      </c>
      <c r="E29" s="146" t="s">
        <v>118</v>
      </c>
      <c r="F29" s="145" t="s">
        <v>531</v>
      </c>
      <c r="G29" s="154" t="s">
        <v>169</v>
      </c>
      <c r="H29" s="145" t="s">
        <v>526</v>
      </c>
      <c r="I29" s="146" t="s">
        <v>434</v>
      </c>
      <c r="J29" s="145" t="s">
        <v>441</v>
      </c>
      <c r="K29" s="145" t="s">
        <v>10</v>
      </c>
      <c r="L29" s="146" t="s">
        <v>8</v>
      </c>
      <c r="M29" s="149">
        <v>1523</v>
      </c>
      <c r="N29" s="145">
        <v>45937</v>
      </c>
      <c r="O29" s="152">
        <v>10000000</v>
      </c>
      <c r="P29" s="152">
        <v>500000</v>
      </c>
      <c r="Q29" s="152">
        <v>0</v>
      </c>
      <c r="R29" s="152">
        <v>0</v>
      </c>
      <c r="S29" s="159">
        <v>25763869</v>
      </c>
      <c r="T29" s="152">
        <f>SUM(O29:S29)</f>
        <v>36263869</v>
      </c>
      <c r="U29" s="152"/>
      <c r="V29" s="152">
        <v>0</v>
      </c>
      <c r="W29" s="149">
        <v>9</v>
      </c>
      <c r="X29" s="150"/>
      <c r="Y29" s="146"/>
      <c r="Z29" s="150"/>
      <c r="AA29" s="146"/>
      <c r="AB29" s="146"/>
      <c r="AC29" s="146"/>
      <c r="AD29" s="146"/>
      <c r="AE29" s="153"/>
      <c r="AF29" s="153"/>
      <c r="AG29" s="153"/>
      <c r="AH29" s="153"/>
      <c r="AI29" s="153"/>
    </row>
    <row r="30" spans="3:35" s="126" customFormat="1" ht="102" customHeight="1" x14ac:dyDescent="0.25">
      <c r="C30" s="162"/>
      <c r="D30" s="145">
        <v>45901</v>
      </c>
      <c r="E30" s="146" t="s">
        <v>118</v>
      </c>
      <c r="F30" s="145" t="s">
        <v>532</v>
      </c>
      <c r="G30" s="154" t="s">
        <v>169</v>
      </c>
      <c r="H30" s="145" t="s">
        <v>527</v>
      </c>
      <c r="I30" s="146" t="s">
        <v>434</v>
      </c>
      <c r="J30" s="145" t="s">
        <v>93</v>
      </c>
      <c r="K30" s="145" t="s">
        <v>10</v>
      </c>
      <c r="L30" s="146" t="s">
        <v>389</v>
      </c>
      <c r="M30" s="149">
        <v>1522</v>
      </c>
      <c r="N30" s="145">
        <v>45937</v>
      </c>
      <c r="O30" s="152">
        <v>14629621</v>
      </c>
      <c r="P30" s="152">
        <v>0</v>
      </c>
      <c r="Q30" s="152">
        <v>0</v>
      </c>
      <c r="R30" s="152">
        <v>250000</v>
      </c>
      <c r="S30" s="159">
        <v>1416288</v>
      </c>
      <c r="T30" s="152">
        <f>SUM(O30:S30)</f>
        <v>16295909</v>
      </c>
      <c r="U30" s="152"/>
      <c r="V30" s="152">
        <v>0</v>
      </c>
      <c r="W30" s="149">
        <v>1</v>
      </c>
      <c r="X30" s="150"/>
      <c r="Y30" s="146"/>
      <c r="Z30" s="150"/>
      <c r="AA30" s="146"/>
      <c r="AB30" s="146"/>
      <c r="AC30" s="146"/>
      <c r="AD30" s="146"/>
      <c r="AE30" s="153"/>
      <c r="AF30" s="153"/>
      <c r="AG30" s="153"/>
      <c r="AH30" s="153"/>
      <c r="AI30" s="153"/>
    </row>
    <row r="31" spans="3:35" s="126" customFormat="1" ht="89.25" customHeight="1" x14ac:dyDescent="0.25">
      <c r="C31" s="150"/>
      <c r="D31" s="145">
        <v>45886</v>
      </c>
      <c r="E31" s="146" t="s">
        <v>202</v>
      </c>
      <c r="F31" s="145" t="s">
        <v>533</v>
      </c>
      <c r="G31" s="154" t="s">
        <v>169</v>
      </c>
      <c r="H31" s="145" t="s">
        <v>528</v>
      </c>
      <c r="I31" s="146" t="s">
        <v>481</v>
      </c>
      <c r="J31" s="145" t="s">
        <v>421</v>
      </c>
      <c r="K31" s="145" t="s">
        <v>535</v>
      </c>
      <c r="L31" s="146" t="s">
        <v>426</v>
      </c>
      <c r="M31" s="149">
        <v>1472</v>
      </c>
      <c r="N31" s="145">
        <v>45910</v>
      </c>
      <c r="O31" s="152">
        <v>20971432</v>
      </c>
      <c r="P31" s="152">
        <v>16877582</v>
      </c>
      <c r="Q31" s="152">
        <v>30000000</v>
      </c>
      <c r="R31" s="152">
        <v>0</v>
      </c>
      <c r="S31" s="159">
        <v>30299906</v>
      </c>
      <c r="T31" s="152">
        <f>SUM(O31:S31)</f>
        <v>98148920</v>
      </c>
      <c r="U31" s="152">
        <v>0</v>
      </c>
      <c r="V31" s="152">
        <v>0</v>
      </c>
      <c r="W31" s="149">
        <v>12</v>
      </c>
      <c r="X31" s="150"/>
      <c r="Y31" s="146"/>
      <c r="Z31" s="150"/>
      <c r="AA31" s="146"/>
      <c r="AB31" s="146"/>
      <c r="AC31" s="146"/>
      <c r="AD31" s="146"/>
      <c r="AE31" s="153"/>
      <c r="AF31" s="153"/>
      <c r="AG31" s="153"/>
      <c r="AH31" s="153"/>
      <c r="AI31" s="153"/>
    </row>
    <row r="32" spans="3:35" s="126" customFormat="1" ht="140.25" customHeight="1" x14ac:dyDescent="0.25">
      <c r="C32" s="150"/>
      <c r="D32" s="145">
        <v>45874</v>
      </c>
      <c r="E32" s="146" t="s">
        <v>202</v>
      </c>
      <c r="F32" s="145" t="s">
        <v>534</v>
      </c>
      <c r="G32" s="154" t="s">
        <v>169</v>
      </c>
      <c r="H32" s="145" t="s">
        <v>529</v>
      </c>
      <c r="I32" s="146" t="s">
        <v>481</v>
      </c>
      <c r="J32" s="145" t="s">
        <v>413</v>
      </c>
      <c r="K32" s="145" t="s">
        <v>457</v>
      </c>
      <c r="L32" s="146" t="s">
        <v>485</v>
      </c>
      <c r="M32" s="149">
        <v>1467</v>
      </c>
      <c r="N32" s="145">
        <v>45930</v>
      </c>
      <c r="O32" s="151">
        <v>46964800</v>
      </c>
      <c r="P32" s="152">
        <v>0</v>
      </c>
      <c r="Q32" s="152">
        <v>68859600</v>
      </c>
      <c r="R32" s="152">
        <v>0</v>
      </c>
      <c r="S32" s="159">
        <v>38923792</v>
      </c>
      <c r="T32" s="152">
        <f>SUM(O32:S32)</f>
        <v>154748192</v>
      </c>
      <c r="U32" s="152"/>
      <c r="V32" s="152">
        <v>6831000</v>
      </c>
      <c r="W32" s="149">
        <v>24</v>
      </c>
      <c r="X32" s="150"/>
      <c r="Y32" s="146"/>
      <c r="Z32" s="150"/>
      <c r="AA32" s="146"/>
      <c r="AB32" s="146"/>
      <c r="AC32" s="146"/>
      <c r="AD32" s="146"/>
      <c r="AE32" s="153"/>
      <c r="AF32" s="153"/>
      <c r="AG32" s="153"/>
      <c r="AH32" s="153"/>
      <c r="AI32" s="153"/>
    </row>
    <row r="33" spans="1:35" s="126" customFormat="1" ht="102" customHeight="1" x14ac:dyDescent="0.25">
      <c r="C33" s="145"/>
      <c r="D33" s="145">
        <v>45860</v>
      </c>
      <c r="E33" s="146" t="s">
        <v>118</v>
      </c>
      <c r="F33" s="145" t="s">
        <v>515</v>
      </c>
      <c r="G33" s="154" t="s">
        <v>169</v>
      </c>
      <c r="H33" s="145" t="s">
        <v>520</v>
      </c>
      <c r="I33" s="146" t="s">
        <v>481</v>
      </c>
      <c r="J33" s="145" t="s">
        <v>212</v>
      </c>
      <c r="K33" s="145" t="s">
        <v>10</v>
      </c>
      <c r="L33" s="146" t="s">
        <v>389</v>
      </c>
      <c r="M33" s="149">
        <v>1444</v>
      </c>
      <c r="N33" s="145">
        <v>45860</v>
      </c>
      <c r="O33" s="151">
        <v>149890000</v>
      </c>
      <c r="P33" s="152">
        <v>1000000</v>
      </c>
      <c r="Q33" s="152">
        <v>840000</v>
      </c>
      <c r="R33" s="152">
        <v>300000</v>
      </c>
      <c r="S33" s="159">
        <v>59106880</v>
      </c>
      <c r="T33" s="152">
        <f>SUM(O33:S33)</f>
        <v>211136880</v>
      </c>
      <c r="U33" s="152"/>
      <c r="V33" s="152">
        <v>10440000</v>
      </c>
      <c r="W33" s="149"/>
      <c r="X33" s="150"/>
      <c r="Y33" s="146"/>
      <c r="Z33" s="150"/>
      <c r="AA33" s="146"/>
      <c r="AB33" s="146"/>
      <c r="AC33" s="146"/>
      <c r="AD33" s="146"/>
      <c r="AE33" s="153"/>
      <c r="AF33" s="153"/>
      <c r="AG33" s="153"/>
      <c r="AH33" s="153"/>
      <c r="AI33" s="153"/>
    </row>
    <row r="34" spans="1:35" s="163" customFormat="1" ht="72" customHeight="1" x14ac:dyDescent="0.25">
      <c r="C34" s="145"/>
      <c r="D34" s="145">
        <v>45860</v>
      </c>
      <c r="E34" s="146" t="s">
        <v>118</v>
      </c>
      <c r="F34" s="145" t="s">
        <v>515</v>
      </c>
      <c r="G34" s="154" t="s">
        <v>169</v>
      </c>
      <c r="H34" s="145" t="s">
        <v>519</v>
      </c>
      <c r="I34" s="146" t="s">
        <v>481</v>
      </c>
      <c r="J34" s="145" t="s">
        <v>437</v>
      </c>
      <c r="K34" s="145" t="s">
        <v>457</v>
      </c>
      <c r="L34" s="146" t="s">
        <v>389</v>
      </c>
      <c r="M34" s="149">
        <v>1412</v>
      </c>
      <c r="N34" s="145">
        <v>45860</v>
      </c>
      <c r="O34" s="152">
        <v>50389000</v>
      </c>
      <c r="P34" s="152">
        <v>0</v>
      </c>
      <c r="Q34" s="152">
        <v>0</v>
      </c>
      <c r="R34" s="152">
        <v>0</v>
      </c>
      <c r="S34" s="159">
        <v>26854376</v>
      </c>
      <c r="T34" s="152">
        <f>SUM(O34:S34)</f>
        <v>77243376</v>
      </c>
      <c r="U34" s="152"/>
      <c r="V34" s="152">
        <v>0</v>
      </c>
      <c r="W34" s="149"/>
      <c r="X34" s="150"/>
      <c r="Y34" s="146"/>
      <c r="Z34" s="150"/>
      <c r="AA34" s="146"/>
      <c r="AB34" s="146"/>
      <c r="AC34" s="146"/>
      <c r="AD34" s="146"/>
      <c r="AE34" s="153"/>
      <c r="AF34" s="153"/>
      <c r="AG34" s="153"/>
      <c r="AH34" s="153"/>
      <c r="AI34" s="153"/>
    </row>
    <row r="35" spans="1:35" s="163" customFormat="1" ht="72" customHeight="1" x14ac:dyDescent="0.25">
      <c r="C35" s="150"/>
      <c r="D35" s="145">
        <v>45860</v>
      </c>
      <c r="E35" s="146" t="s">
        <v>118</v>
      </c>
      <c r="F35" s="145" t="s">
        <v>515</v>
      </c>
      <c r="G35" s="154" t="s">
        <v>169</v>
      </c>
      <c r="H35" s="145" t="s">
        <v>518</v>
      </c>
      <c r="I35" s="146" t="s">
        <v>481</v>
      </c>
      <c r="J35" s="145" t="s">
        <v>421</v>
      </c>
      <c r="K35" s="145" t="s">
        <v>10</v>
      </c>
      <c r="L35" s="146" t="s">
        <v>389</v>
      </c>
      <c r="M35" s="149">
        <v>1395</v>
      </c>
      <c r="N35" s="145">
        <v>45860</v>
      </c>
      <c r="O35" s="151">
        <v>119473199</v>
      </c>
      <c r="P35" s="152">
        <v>7000000</v>
      </c>
      <c r="Q35" s="152">
        <v>25973914</v>
      </c>
      <c r="R35" s="152">
        <v>0</v>
      </c>
      <c r="S35" s="159">
        <v>36416048</v>
      </c>
      <c r="T35" s="152">
        <f>SUM(O35:S35)</f>
        <v>188863161</v>
      </c>
      <c r="U35" s="152"/>
      <c r="V35" s="152">
        <v>8328000</v>
      </c>
      <c r="W35" s="149"/>
      <c r="X35" s="150"/>
      <c r="Y35" s="146"/>
      <c r="Z35" s="150"/>
      <c r="AA35" s="146"/>
      <c r="AB35" s="146"/>
      <c r="AC35" s="146"/>
      <c r="AD35" s="146"/>
      <c r="AE35" s="153"/>
      <c r="AF35" s="153"/>
      <c r="AG35" s="153"/>
      <c r="AH35" s="153"/>
      <c r="AI35" s="153"/>
    </row>
    <row r="36" spans="1:35" s="163" customFormat="1" ht="72" customHeight="1" x14ac:dyDescent="0.25">
      <c r="C36" s="150"/>
      <c r="D36" s="145">
        <v>45860</v>
      </c>
      <c r="E36" s="146" t="s">
        <v>118</v>
      </c>
      <c r="F36" s="145" t="s">
        <v>515</v>
      </c>
      <c r="G36" s="154" t="s">
        <v>169</v>
      </c>
      <c r="H36" s="145" t="s">
        <v>517</v>
      </c>
      <c r="I36" s="146" t="s">
        <v>481</v>
      </c>
      <c r="J36" s="145" t="s">
        <v>413</v>
      </c>
      <c r="K36" s="145" t="s">
        <v>10</v>
      </c>
      <c r="L36" s="146" t="s">
        <v>8</v>
      </c>
      <c r="M36" s="149">
        <v>1388</v>
      </c>
      <c r="N36" s="145">
        <v>45860</v>
      </c>
      <c r="O36" s="151">
        <v>149624480</v>
      </c>
      <c r="P36" s="152">
        <v>6000000</v>
      </c>
      <c r="Q36" s="152">
        <v>13800000</v>
      </c>
      <c r="R36" s="152">
        <v>0</v>
      </c>
      <c r="S36" s="159">
        <v>50361000</v>
      </c>
      <c r="T36" s="152">
        <f>SUM(O36:S36)</f>
        <v>219785480</v>
      </c>
      <c r="U36" s="152"/>
      <c r="V36" s="152">
        <v>9435020</v>
      </c>
      <c r="W36" s="149"/>
      <c r="X36" s="150"/>
      <c r="Y36" s="146"/>
      <c r="Z36" s="150"/>
      <c r="AA36" s="146"/>
      <c r="AB36" s="146"/>
      <c r="AC36" s="146"/>
      <c r="AD36" s="146"/>
      <c r="AE36" s="153"/>
      <c r="AF36" s="153"/>
      <c r="AG36" s="153"/>
      <c r="AH36" s="153"/>
      <c r="AI36" s="153"/>
    </row>
    <row r="37" spans="1:35" s="163" customFormat="1" ht="67.900000000000006" customHeight="1" x14ac:dyDescent="0.25">
      <c r="C37" s="150"/>
      <c r="D37" s="145">
        <v>45860</v>
      </c>
      <c r="E37" s="146" t="s">
        <v>118</v>
      </c>
      <c r="F37" s="145" t="s">
        <v>515</v>
      </c>
      <c r="G37" s="154" t="s">
        <v>169</v>
      </c>
      <c r="H37" s="145" t="s">
        <v>516</v>
      </c>
      <c r="I37" s="146" t="s">
        <v>481</v>
      </c>
      <c r="J37" s="145" t="s">
        <v>100</v>
      </c>
      <c r="K37" s="145" t="s">
        <v>10</v>
      </c>
      <c r="L37" s="146" t="s">
        <v>8</v>
      </c>
      <c r="M37" s="146">
        <v>1387</v>
      </c>
      <c r="N37" s="145">
        <v>45860</v>
      </c>
      <c r="O37" s="151">
        <v>149784006</v>
      </c>
      <c r="P37" s="152">
        <v>8000000</v>
      </c>
      <c r="Q37" s="152">
        <v>0</v>
      </c>
      <c r="R37" s="152">
        <v>1000000</v>
      </c>
      <c r="S37" s="159">
        <v>77389479</v>
      </c>
      <c r="T37" s="152">
        <f>SUM(O37:S37)</f>
        <v>236173485</v>
      </c>
      <c r="U37" s="152"/>
      <c r="V37" s="152">
        <v>10400000</v>
      </c>
      <c r="W37" s="149"/>
      <c r="X37" s="150"/>
      <c r="Y37" s="146"/>
      <c r="Z37" s="150"/>
      <c r="AA37" s="146"/>
      <c r="AB37" s="146"/>
      <c r="AC37" s="146"/>
      <c r="AD37" s="146"/>
      <c r="AE37" s="153"/>
      <c r="AF37" s="153"/>
      <c r="AG37" s="153"/>
      <c r="AH37" s="153"/>
      <c r="AI37" s="153"/>
    </row>
    <row r="38" spans="1:35" s="163" customFormat="1" ht="73.150000000000006" customHeight="1" x14ac:dyDescent="0.25">
      <c r="C38" s="146"/>
      <c r="D38" s="145">
        <v>45832</v>
      </c>
      <c r="E38" s="146" t="s">
        <v>183</v>
      </c>
      <c r="F38" s="145" t="s">
        <v>513</v>
      </c>
      <c r="G38" s="154" t="s">
        <v>169</v>
      </c>
      <c r="H38" s="145" t="s">
        <v>359</v>
      </c>
      <c r="I38" s="146" t="s">
        <v>481</v>
      </c>
      <c r="J38" s="145" t="s">
        <v>413</v>
      </c>
      <c r="K38" s="145" t="s">
        <v>457</v>
      </c>
      <c r="L38" s="146" t="s">
        <v>389</v>
      </c>
      <c r="M38" s="149">
        <v>1363</v>
      </c>
      <c r="N38" s="145">
        <v>45832</v>
      </c>
      <c r="O38" s="151">
        <v>10730000</v>
      </c>
      <c r="P38" s="152">
        <v>0</v>
      </c>
      <c r="Q38" s="152">
        <v>0</v>
      </c>
      <c r="R38" s="152">
        <v>0</v>
      </c>
      <c r="S38" s="159">
        <v>7360706</v>
      </c>
      <c r="T38" s="152">
        <f>SUM(O38:S38)</f>
        <v>18090706</v>
      </c>
      <c r="U38" s="152">
        <v>0</v>
      </c>
      <c r="V38" s="152"/>
      <c r="W38" s="149"/>
      <c r="X38" s="150"/>
      <c r="Y38" s="146"/>
      <c r="Z38" s="150"/>
      <c r="AA38" s="146"/>
      <c r="AB38" s="146"/>
      <c r="AC38" s="146"/>
      <c r="AD38" s="146"/>
      <c r="AE38" s="153"/>
      <c r="AF38" s="153"/>
      <c r="AG38" s="153"/>
      <c r="AH38" s="153"/>
      <c r="AI38" s="153"/>
    </row>
    <row r="39" spans="1:35" s="163" customFormat="1" ht="73.150000000000006" customHeight="1" x14ac:dyDescent="0.25">
      <c r="C39" s="146"/>
      <c r="D39" s="145">
        <v>45832</v>
      </c>
      <c r="E39" s="146" t="s">
        <v>183</v>
      </c>
      <c r="F39" s="145" t="s">
        <v>513</v>
      </c>
      <c r="G39" s="154" t="s">
        <v>169</v>
      </c>
      <c r="H39" s="145" t="s">
        <v>514</v>
      </c>
      <c r="I39" s="146" t="s">
        <v>481</v>
      </c>
      <c r="J39" s="145" t="s">
        <v>421</v>
      </c>
      <c r="K39" s="145" t="s">
        <v>10</v>
      </c>
      <c r="L39" s="146" t="s">
        <v>8</v>
      </c>
      <c r="M39" s="149">
        <v>1362</v>
      </c>
      <c r="N39" s="145">
        <v>45832</v>
      </c>
      <c r="O39" s="151">
        <v>271644000</v>
      </c>
      <c r="P39" s="152">
        <v>0</v>
      </c>
      <c r="Q39" s="152">
        <v>0</v>
      </c>
      <c r="R39" s="152">
        <v>0</v>
      </c>
      <c r="S39" s="159">
        <v>148519718</v>
      </c>
      <c r="T39" s="152">
        <f>SUM(O39:S39)</f>
        <v>420163718</v>
      </c>
      <c r="U39" s="152">
        <v>45274000</v>
      </c>
      <c r="V39" s="152">
        <v>0</v>
      </c>
      <c r="W39" s="149"/>
      <c r="X39" s="150"/>
      <c r="Y39" s="146"/>
      <c r="Z39" s="150"/>
      <c r="AA39" s="146"/>
      <c r="AB39" s="146"/>
      <c r="AC39" s="146"/>
      <c r="AD39" s="146"/>
      <c r="AE39" s="153"/>
      <c r="AF39" s="153"/>
      <c r="AG39" s="153"/>
      <c r="AH39" s="153"/>
      <c r="AI39" s="153"/>
    </row>
    <row r="40" spans="1:35" s="163" customFormat="1" ht="73.150000000000006" customHeight="1" x14ac:dyDescent="0.25">
      <c r="C40" s="150"/>
      <c r="D40" s="145">
        <f>+Tabla2[[#This Row],[Fecha de Postulación]]</f>
        <v>45777</v>
      </c>
      <c r="E40" s="146" t="s">
        <v>183</v>
      </c>
      <c r="F40" s="145" t="s">
        <v>468</v>
      </c>
      <c r="G40" s="154" t="s">
        <v>126</v>
      </c>
      <c r="H40" s="147" t="s">
        <v>469</v>
      </c>
      <c r="I40" s="147" t="s">
        <v>155</v>
      </c>
      <c r="J40" s="148" t="s">
        <v>395</v>
      </c>
      <c r="K40" s="145" t="s">
        <v>10</v>
      </c>
      <c r="L40" s="146" t="s">
        <v>389</v>
      </c>
      <c r="M40" s="146">
        <v>1303</v>
      </c>
      <c r="N40" s="145">
        <v>45777</v>
      </c>
      <c r="O40" s="151">
        <v>104400000</v>
      </c>
      <c r="P40" s="152">
        <v>0</v>
      </c>
      <c r="Q40" s="152">
        <v>0</v>
      </c>
      <c r="R40" s="152">
        <v>0</v>
      </c>
      <c r="S40" s="159">
        <v>63067518</v>
      </c>
      <c r="T40" s="152">
        <f>SUM(O40:S40)</f>
        <v>167467518</v>
      </c>
      <c r="U40" s="152">
        <v>14400000</v>
      </c>
      <c r="V40" s="152">
        <v>0</v>
      </c>
      <c r="W40" s="149">
        <v>36</v>
      </c>
      <c r="X40" s="150"/>
      <c r="Y40" s="146"/>
      <c r="Z40" s="150"/>
      <c r="AA40" s="146"/>
      <c r="AB40" s="146"/>
      <c r="AC40" s="146"/>
      <c r="AD40" s="146"/>
      <c r="AE40" s="153"/>
      <c r="AF40" s="153"/>
      <c r="AG40" s="153"/>
      <c r="AH40" s="153"/>
      <c r="AI40" s="153"/>
    </row>
    <row r="41" spans="1:35" s="163" customFormat="1" ht="58.9" customHeight="1" x14ac:dyDescent="0.25">
      <c r="C41" s="150"/>
      <c r="D41" s="145">
        <f>+Tabla2[[#This Row],[Fecha de Postulación]]</f>
        <v>45736</v>
      </c>
      <c r="E41" s="146" t="s">
        <v>76</v>
      </c>
      <c r="F41" s="145" t="s">
        <v>444</v>
      </c>
      <c r="G41" s="154" t="s">
        <v>126</v>
      </c>
      <c r="H41" s="147" t="s">
        <v>445</v>
      </c>
      <c r="I41" s="147" t="s">
        <v>155</v>
      </c>
      <c r="J41" s="148" t="s">
        <v>96</v>
      </c>
      <c r="K41" s="145" t="s">
        <v>10</v>
      </c>
      <c r="L41" s="146" t="s">
        <v>389</v>
      </c>
      <c r="M41" s="146">
        <v>1267</v>
      </c>
      <c r="N41" s="145">
        <v>45736</v>
      </c>
      <c r="O41" s="151">
        <v>237000000</v>
      </c>
      <c r="P41" s="152">
        <v>0</v>
      </c>
      <c r="Q41" s="152">
        <v>71100001</v>
      </c>
      <c r="R41" s="152">
        <v>0</v>
      </c>
      <c r="S41" s="159">
        <v>111029264</v>
      </c>
      <c r="T41" s="152">
        <f>SUM(O41:S41)</f>
        <v>419129265</v>
      </c>
      <c r="U41" s="152">
        <v>28000000</v>
      </c>
      <c r="V41" s="152">
        <v>0</v>
      </c>
      <c r="W41" s="149">
        <v>24</v>
      </c>
      <c r="X41" s="150"/>
      <c r="Y41" s="146"/>
      <c r="Z41" s="150"/>
      <c r="AA41" s="146"/>
      <c r="AB41" s="146"/>
      <c r="AC41" s="146"/>
      <c r="AD41" s="146"/>
      <c r="AE41" s="153"/>
      <c r="AF41" s="153"/>
      <c r="AG41" s="153"/>
      <c r="AH41" s="153"/>
      <c r="AI41" s="153"/>
    </row>
    <row r="42" spans="1:35" s="163" customFormat="1" ht="58.9" hidden="1" customHeight="1" x14ac:dyDescent="0.2">
      <c r="C42" s="145"/>
      <c r="D42" s="145">
        <v>45622</v>
      </c>
      <c r="E42" s="146" t="s">
        <v>118</v>
      </c>
      <c r="F42" s="146" t="s">
        <v>439</v>
      </c>
      <c r="G42" s="154" t="s">
        <v>126</v>
      </c>
      <c r="H42" s="147" t="s">
        <v>442</v>
      </c>
      <c r="I42" s="146" t="s">
        <v>434</v>
      </c>
      <c r="J42" s="160" t="s">
        <v>441</v>
      </c>
      <c r="K42" s="146" t="s">
        <v>10</v>
      </c>
      <c r="L42" s="146" t="s">
        <v>389</v>
      </c>
      <c r="M42" s="146">
        <v>1213</v>
      </c>
      <c r="N42" s="150">
        <v>45622</v>
      </c>
      <c r="O42" s="152">
        <v>150000000</v>
      </c>
      <c r="P42" s="152">
        <v>5000000</v>
      </c>
      <c r="Q42" s="152">
        <v>5000000</v>
      </c>
      <c r="R42" s="152">
        <v>0</v>
      </c>
      <c r="S42" s="156">
        <v>83701088</v>
      </c>
      <c r="T42" s="152">
        <f>SUM(O42:S42)</f>
        <v>243701088</v>
      </c>
      <c r="U42" s="152"/>
      <c r="V42" s="146">
        <v>5</v>
      </c>
      <c r="W42" s="149">
        <v>36</v>
      </c>
      <c r="X42" s="150"/>
      <c r="Y42" s="146"/>
      <c r="Z42" s="150"/>
      <c r="AA42" s="146"/>
      <c r="AB42" s="146"/>
      <c r="AC42" s="146"/>
      <c r="AD42" s="146"/>
      <c r="AE42" s="153"/>
      <c r="AF42" s="153"/>
      <c r="AG42" s="153"/>
      <c r="AH42" s="153"/>
      <c r="AI42" s="153"/>
    </row>
    <row r="43" spans="1:35" s="163" customFormat="1" ht="58.9" hidden="1" customHeight="1" x14ac:dyDescent="0.2">
      <c r="C43" s="150"/>
      <c r="D43" s="145">
        <v>45622</v>
      </c>
      <c r="E43" s="146" t="s">
        <v>118</v>
      </c>
      <c r="F43" s="146" t="s">
        <v>439</v>
      </c>
      <c r="G43" s="154" t="s">
        <v>126</v>
      </c>
      <c r="H43" s="147" t="s">
        <v>440</v>
      </c>
      <c r="I43" s="146" t="s">
        <v>155</v>
      </c>
      <c r="J43" s="160" t="s">
        <v>100</v>
      </c>
      <c r="K43" s="146" t="s">
        <v>10</v>
      </c>
      <c r="L43" s="146" t="s">
        <v>8</v>
      </c>
      <c r="M43" s="146">
        <v>1209</v>
      </c>
      <c r="N43" s="150">
        <v>45622</v>
      </c>
      <c r="O43" s="152">
        <v>119808000</v>
      </c>
      <c r="P43" s="152">
        <v>2000000</v>
      </c>
      <c r="Q43" s="152">
        <v>0</v>
      </c>
      <c r="R43" s="152">
        <v>0</v>
      </c>
      <c r="S43" s="156">
        <v>52719999</v>
      </c>
      <c r="T43" s="152">
        <f>SUM(O43:S43)</f>
        <v>174527999</v>
      </c>
      <c r="U43" s="152">
        <v>8300000</v>
      </c>
      <c r="V43" s="146"/>
      <c r="W43" s="149">
        <v>36</v>
      </c>
      <c r="X43" s="150"/>
      <c r="Y43" s="146"/>
      <c r="Z43" s="150"/>
      <c r="AA43" s="146"/>
      <c r="AB43" s="146"/>
      <c r="AC43" s="146"/>
      <c r="AD43" s="146"/>
      <c r="AE43" s="153"/>
      <c r="AF43" s="153"/>
      <c r="AG43" s="153"/>
      <c r="AH43" s="153"/>
      <c r="AI43" s="153"/>
    </row>
    <row r="44" spans="1:35" s="163" customFormat="1" ht="31.5" hidden="1" customHeight="1" x14ac:dyDescent="0.2">
      <c r="C44" s="150"/>
      <c r="D44" s="145">
        <v>45626</v>
      </c>
      <c r="E44" s="146" t="s">
        <v>475</v>
      </c>
      <c r="F44" s="146" t="s">
        <v>432</v>
      </c>
      <c r="G44" s="154" t="s">
        <v>126</v>
      </c>
      <c r="H44" s="147" t="s">
        <v>438</v>
      </c>
      <c r="I44" s="146" t="s">
        <v>434</v>
      </c>
      <c r="J44" s="160" t="s">
        <v>437</v>
      </c>
      <c r="K44" s="146" t="s">
        <v>10</v>
      </c>
      <c r="L44" s="146" t="s">
        <v>8</v>
      </c>
      <c r="M44" s="146">
        <v>1165</v>
      </c>
      <c r="N44" s="150">
        <v>45626</v>
      </c>
      <c r="O44" s="152">
        <v>203909000</v>
      </c>
      <c r="P44" s="152">
        <v>10200000</v>
      </c>
      <c r="Q44" s="152">
        <v>1000000</v>
      </c>
      <c r="R44" s="152">
        <v>0</v>
      </c>
      <c r="S44" s="156">
        <v>9193390</v>
      </c>
      <c r="T44" s="152">
        <f>SUM(O44:S44)</f>
        <v>224302390</v>
      </c>
      <c r="U44" s="152">
        <v>10000000</v>
      </c>
      <c r="V44" s="146"/>
      <c r="W44" s="149">
        <v>36</v>
      </c>
      <c r="X44" s="150"/>
      <c r="Y44" s="146"/>
      <c r="Z44" s="150"/>
      <c r="AA44" s="146"/>
      <c r="AB44" s="146"/>
      <c r="AC44" s="146"/>
      <c r="AD44" s="146"/>
      <c r="AE44" s="153"/>
      <c r="AF44" s="153"/>
      <c r="AG44" s="153"/>
      <c r="AH44" s="153"/>
      <c r="AI44" s="153"/>
    </row>
    <row r="45" spans="1:35" s="163" customFormat="1" ht="60.6" hidden="1" customHeight="1" x14ac:dyDescent="0.2">
      <c r="C45" s="145"/>
      <c r="D45" s="145">
        <v>45626</v>
      </c>
      <c r="E45" s="146" t="s">
        <v>475</v>
      </c>
      <c r="F45" s="146" t="s">
        <v>432</v>
      </c>
      <c r="G45" s="154" t="s">
        <v>126</v>
      </c>
      <c r="H45" s="147" t="s">
        <v>435</v>
      </c>
      <c r="I45" s="146" t="s">
        <v>407</v>
      </c>
      <c r="J45" s="160" t="s">
        <v>405</v>
      </c>
      <c r="K45" s="146" t="s">
        <v>10</v>
      </c>
      <c r="L45" s="146" t="s">
        <v>8</v>
      </c>
      <c r="M45" s="146">
        <v>1163</v>
      </c>
      <c r="N45" s="150">
        <v>45626</v>
      </c>
      <c r="O45" s="152">
        <v>280000000</v>
      </c>
      <c r="P45" s="152">
        <v>15000000</v>
      </c>
      <c r="Q45" s="152">
        <v>0</v>
      </c>
      <c r="R45" s="152">
        <v>0</v>
      </c>
      <c r="S45" s="156">
        <v>21085437</v>
      </c>
      <c r="T45" s="152">
        <f>SUM(O45:S45)</f>
        <v>316085437</v>
      </c>
      <c r="U45" s="152">
        <v>13720000</v>
      </c>
      <c r="V45" s="146"/>
      <c r="W45" s="149">
        <v>36</v>
      </c>
      <c r="X45" s="150"/>
      <c r="Y45" s="146"/>
      <c r="Z45" s="150"/>
      <c r="AA45" s="146"/>
      <c r="AB45" s="146"/>
      <c r="AC45" s="146"/>
      <c r="AD45" s="146"/>
      <c r="AE45" s="153"/>
      <c r="AF45" s="153"/>
      <c r="AG45" s="153"/>
      <c r="AH45" s="153"/>
      <c r="AI45" s="153"/>
    </row>
    <row r="46" spans="1:35" s="163" customFormat="1" ht="55.9" hidden="1" customHeight="1" x14ac:dyDescent="0.25">
      <c r="C46" s="145"/>
      <c r="D46" s="145">
        <v>45576</v>
      </c>
      <c r="E46" s="145" t="s">
        <v>475</v>
      </c>
      <c r="F46" s="145" t="s">
        <v>432</v>
      </c>
      <c r="G46" s="154" t="s">
        <v>126</v>
      </c>
      <c r="H46" s="147" t="s">
        <v>486</v>
      </c>
      <c r="I46" s="147" t="s">
        <v>434</v>
      </c>
      <c r="J46" s="161" t="s">
        <v>490</v>
      </c>
      <c r="K46" s="145" t="s">
        <v>10</v>
      </c>
      <c r="L46" s="149" t="s">
        <v>8</v>
      </c>
      <c r="M46" s="149">
        <v>1162</v>
      </c>
      <c r="N46" s="150">
        <v>45626</v>
      </c>
      <c r="O46" s="151">
        <v>280000000</v>
      </c>
      <c r="P46" s="152">
        <v>14000000</v>
      </c>
      <c r="Q46" s="152">
        <v>0</v>
      </c>
      <c r="R46" s="152">
        <v>0</v>
      </c>
      <c r="S46" s="159">
        <v>138674506</v>
      </c>
      <c r="T46" s="152">
        <f>SUM(O46:S46)</f>
        <v>432674506</v>
      </c>
      <c r="U46" s="152">
        <v>14000000</v>
      </c>
      <c r="V46" s="152">
        <v>0</v>
      </c>
      <c r="W46" s="149">
        <v>36</v>
      </c>
      <c r="X46" s="150"/>
      <c r="Y46" s="146"/>
      <c r="Z46" s="150"/>
      <c r="AA46" s="146"/>
      <c r="AB46" s="146"/>
      <c r="AC46" s="146"/>
      <c r="AD46" s="146"/>
      <c r="AE46" s="153"/>
      <c r="AF46" s="153"/>
      <c r="AG46" s="153"/>
      <c r="AH46" s="153"/>
      <c r="AI46" s="153"/>
    </row>
    <row r="47" spans="1:35" s="163" customFormat="1" ht="69.75" hidden="1" customHeight="1" x14ac:dyDescent="0.2">
      <c r="C47" s="150"/>
      <c r="D47" s="145">
        <f>+Tabla2[[#This Row],[Fecha de Postulación]]</f>
        <v>45626</v>
      </c>
      <c r="E47" s="146" t="s">
        <v>475</v>
      </c>
      <c r="F47" s="146" t="s">
        <v>432</v>
      </c>
      <c r="G47" s="154" t="s">
        <v>126</v>
      </c>
      <c r="H47" s="147" t="s">
        <v>433</v>
      </c>
      <c r="I47" s="146" t="s">
        <v>434</v>
      </c>
      <c r="J47" s="160" t="s">
        <v>93</v>
      </c>
      <c r="K47" s="146" t="s">
        <v>10</v>
      </c>
      <c r="L47" s="146" t="s">
        <v>389</v>
      </c>
      <c r="M47" s="146">
        <v>1158</v>
      </c>
      <c r="N47" s="150">
        <v>45626</v>
      </c>
      <c r="O47" s="152">
        <v>256543408</v>
      </c>
      <c r="P47" s="152">
        <v>16500000</v>
      </c>
      <c r="Q47" s="152"/>
      <c r="R47" s="152"/>
      <c r="S47" s="156">
        <v>24853209</v>
      </c>
      <c r="T47" s="152">
        <f>SUM(O47:S47)</f>
        <v>297896617</v>
      </c>
      <c r="U47" s="152">
        <v>12486286</v>
      </c>
      <c r="V47" s="146"/>
      <c r="W47" s="149">
        <v>36</v>
      </c>
      <c r="X47" s="150"/>
      <c r="Y47" s="146"/>
      <c r="Z47" s="150"/>
      <c r="AA47" s="146"/>
      <c r="AB47" s="146"/>
      <c r="AC47" s="146"/>
      <c r="AD47" s="146"/>
      <c r="AE47" s="153"/>
      <c r="AF47" s="153"/>
      <c r="AG47" s="153"/>
      <c r="AH47" s="153"/>
      <c r="AI47" s="153"/>
    </row>
    <row r="48" spans="1:35" s="163" customFormat="1" ht="90.75" hidden="1" customHeight="1" x14ac:dyDescent="0.25">
      <c r="A48" s="163">
        <v>2</v>
      </c>
      <c r="C48" s="145"/>
      <c r="D48" s="145">
        <v>45576</v>
      </c>
      <c r="E48" s="145" t="s">
        <v>475</v>
      </c>
      <c r="F48" s="145" t="s">
        <v>432</v>
      </c>
      <c r="G48" s="154" t="s">
        <v>126</v>
      </c>
      <c r="H48" s="147" t="s">
        <v>483</v>
      </c>
      <c r="I48" s="147" t="s">
        <v>434</v>
      </c>
      <c r="J48" s="161" t="s">
        <v>489</v>
      </c>
      <c r="K48" s="145" t="s">
        <v>10</v>
      </c>
      <c r="L48" s="149" t="s">
        <v>8</v>
      </c>
      <c r="M48" s="149">
        <v>1153</v>
      </c>
      <c r="N48" s="150">
        <v>45626</v>
      </c>
      <c r="O48" s="151">
        <v>280000000</v>
      </c>
      <c r="P48" s="152">
        <v>14000000</v>
      </c>
      <c r="Q48" s="152">
        <v>6750000</v>
      </c>
      <c r="R48" s="152">
        <v>0</v>
      </c>
      <c r="S48" s="159">
        <v>71816598</v>
      </c>
      <c r="T48" s="152">
        <f>SUM(O48:S48)</f>
        <v>372566598</v>
      </c>
      <c r="U48" s="152">
        <v>14000000</v>
      </c>
      <c r="V48" s="152">
        <v>0</v>
      </c>
      <c r="W48" s="149">
        <v>36</v>
      </c>
      <c r="X48" s="150"/>
      <c r="Y48" s="146"/>
      <c r="Z48" s="150"/>
      <c r="AA48" s="146"/>
      <c r="AB48" s="146"/>
      <c r="AC48" s="146"/>
      <c r="AD48" s="146"/>
      <c r="AE48" s="153"/>
      <c r="AF48" s="153"/>
      <c r="AG48" s="153"/>
      <c r="AH48" s="153"/>
      <c r="AI48" s="153"/>
    </row>
    <row r="49" spans="1:35" s="163" customFormat="1" ht="45" hidden="1" customHeight="1" x14ac:dyDescent="0.2">
      <c r="A49" s="163">
        <v>3</v>
      </c>
      <c r="C49" s="145"/>
      <c r="D49" s="145">
        <v>45512</v>
      </c>
      <c r="E49" s="146" t="s">
        <v>466</v>
      </c>
      <c r="F49" s="146" t="s">
        <v>428</v>
      </c>
      <c r="G49" s="154" t="s">
        <v>126</v>
      </c>
      <c r="H49" s="147" t="s">
        <v>429</v>
      </c>
      <c r="I49" s="146" t="s">
        <v>155</v>
      </c>
      <c r="J49" s="160" t="s">
        <v>100</v>
      </c>
      <c r="K49" s="146" t="s">
        <v>430</v>
      </c>
      <c r="L49" s="146" t="s">
        <v>389</v>
      </c>
      <c r="M49" s="146">
        <v>1112</v>
      </c>
      <c r="N49" s="150">
        <v>45512</v>
      </c>
      <c r="O49" s="152">
        <v>103327093</v>
      </c>
      <c r="P49" s="152">
        <v>0</v>
      </c>
      <c r="Q49" s="152">
        <v>0</v>
      </c>
      <c r="R49" s="152">
        <v>0</v>
      </c>
      <c r="S49" s="156">
        <v>70763724</v>
      </c>
      <c r="T49" s="152">
        <f>SUM(O49:S49)</f>
        <v>174090817</v>
      </c>
      <c r="U49" s="152">
        <v>5127040</v>
      </c>
      <c r="V49" s="146"/>
      <c r="W49" s="149">
        <v>36</v>
      </c>
      <c r="X49" s="150"/>
      <c r="Y49" s="146"/>
      <c r="Z49" s="150"/>
      <c r="AA49" s="146"/>
      <c r="AB49" s="146"/>
      <c r="AC49" s="146"/>
      <c r="AD49" s="146"/>
      <c r="AE49" s="153"/>
      <c r="AF49" s="153"/>
      <c r="AG49" s="153"/>
      <c r="AH49" s="153"/>
      <c r="AI49" s="153"/>
    </row>
    <row r="50" spans="1:35" s="163" customFormat="1" ht="66.75" hidden="1" customHeight="1" x14ac:dyDescent="0.2">
      <c r="A50" s="163">
        <v>4</v>
      </c>
      <c r="C50" s="150"/>
      <c r="D50" s="145">
        <f>+Tabla2[[#This Row],[Fecha de Postulación]]</f>
        <v>44301</v>
      </c>
      <c r="E50" s="146" t="s">
        <v>118</v>
      </c>
      <c r="F50" s="146" t="str">
        <f>'Perfiles '!C61</f>
        <v>Fondo Regional para la Productividad y el Desarrollo (FRPD)- Región de O'Higgins 2024</v>
      </c>
      <c r="G50" s="154" t="str">
        <f>'Perfiles '!D61</f>
        <v>16-Rayentué</v>
      </c>
      <c r="H50" s="147" t="str">
        <f>'Perfiles '!E61</f>
        <v>Biofábricas en la región de O´Higgins, una alternativa a la producción de agroinsumos con visión agroecológica</v>
      </c>
      <c r="I50" s="146" t="s">
        <v>278</v>
      </c>
      <c r="J50" s="160" t="str">
        <f>'Perfiles '!G61</f>
        <v>VEGA CANDIA, BARBARA CHANTAL</v>
      </c>
      <c r="K50" s="146" t="str">
        <f>'Perfiles '!H61</f>
        <v>INIA</v>
      </c>
      <c r="L50" s="146" t="s">
        <v>389</v>
      </c>
      <c r="M50" s="146">
        <v>1112</v>
      </c>
      <c r="N50" s="150">
        <v>44301</v>
      </c>
      <c r="O50" s="152">
        <v>90000000</v>
      </c>
      <c r="P50" s="152">
        <v>7125000</v>
      </c>
      <c r="Q50" s="152">
        <v>500000</v>
      </c>
      <c r="R50" s="152">
        <v>0</v>
      </c>
      <c r="S50" s="156">
        <v>44838934</v>
      </c>
      <c r="T50" s="152">
        <f>SUM(O50:S50)</f>
        <v>142463934</v>
      </c>
      <c r="U50" s="152">
        <v>4500000</v>
      </c>
      <c r="V50" s="146">
        <v>0</v>
      </c>
      <c r="W50" s="149">
        <v>36</v>
      </c>
      <c r="X50" s="150" t="str">
        <f>L50</f>
        <v>No adjudicado</v>
      </c>
      <c r="Y50" s="146" t="s">
        <v>66</v>
      </c>
      <c r="Z50" s="150">
        <v>44407</v>
      </c>
      <c r="AA50" s="146"/>
      <c r="AB50" s="146" t="s">
        <v>297</v>
      </c>
      <c r="AC50" s="146"/>
      <c r="AD50" s="146"/>
      <c r="AE50" s="153"/>
      <c r="AF50" s="153"/>
      <c r="AG50" s="153"/>
      <c r="AH50" s="153"/>
      <c r="AI50" s="153"/>
    </row>
    <row r="51" spans="1:35" s="163" customFormat="1" ht="60.75" hidden="1" customHeight="1" x14ac:dyDescent="0.2">
      <c r="A51" s="163">
        <v>5</v>
      </c>
      <c r="C51" s="145"/>
      <c r="D51" s="145">
        <v>45547</v>
      </c>
      <c r="E51" s="146" t="s">
        <v>465</v>
      </c>
      <c r="F51" s="146" t="s">
        <v>424</v>
      </c>
      <c r="G51" s="154" t="s">
        <v>126</v>
      </c>
      <c r="H51" s="147" t="s">
        <v>425</v>
      </c>
      <c r="I51" s="146" t="s">
        <v>155</v>
      </c>
      <c r="J51" s="160" t="s">
        <v>421</v>
      </c>
      <c r="K51" s="146" t="s">
        <v>10</v>
      </c>
      <c r="L51" s="146" t="s">
        <v>389</v>
      </c>
      <c r="M51" s="146">
        <v>1109</v>
      </c>
      <c r="N51" s="150">
        <v>45547</v>
      </c>
      <c r="O51" s="152">
        <v>227654080</v>
      </c>
      <c r="P51" s="152">
        <v>26200000</v>
      </c>
      <c r="Q51" s="152">
        <v>77874000</v>
      </c>
      <c r="R51" s="152">
        <v>0</v>
      </c>
      <c r="S51" s="156">
        <v>144158566</v>
      </c>
      <c r="T51" s="152">
        <f>SUM(O51:S51)</f>
        <v>475886646</v>
      </c>
      <c r="U51" s="152">
        <v>34000000</v>
      </c>
      <c r="V51" s="146"/>
      <c r="W51" s="149">
        <v>24</v>
      </c>
      <c r="X51" s="150"/>
      <c r="Y51" s="146"/>
      <c r="Z51" s="150"/>
      <c r="AA51" s="146"/>
      <c r="AB51" s="146"/>
      <c r="AC51" s="146"/>
      <c r="AD51" s="146"/>
      <c r="AE51" s="153"/>
      <c r="AF51" s="153"/>
      <c r="AG51" s="153"/>
      <c r="AH51" s="153"/>
      <c r="AI51" s="153"/>
    </row>
    <row r="52" spans="1:35" s="163" customFormat="1" ht="104.25" hidden="1" customHeight="1" x14ac:dyDescent="0.25">
      <c r="A52" s="163" t="s">
        <v>452</v>
      </c>
      <c r="C52" s="145"/>
      <c r="D52" s="145">
        <v>45447</v>
      </c>
      <c r="E52" s="146" t="s">
        <v>183</v>
      </c>
      <c r="F52" s="145" t="s">
        <v>416</v>
      </c>
      <c r="G52" s="154" t="s">
        <v>126</v>
      </c>
      <c r="H52" s="147" t="s">
        <v>422</v>
      </c>
      <c r="I52" s="147" t="s">
        <v>155</v>
      </c>
      <c r="J52" s="148" t="s">
        <v>421</v>
      </c>
      <c r="K52" s="145" t="s">
        <v>10</v>
      </c>
      <c r="L52" s="149" t="s">
        <v>389</v>
      </c>
      <c r="M52" s="157">
        <v>1046</v>
      </c>
      <c r="N52" s="150">
        <v>45500</v>
      </c>
      <c r="O52" s="151">
        <v>273055000</v>
      </c>
      <c r="P52" s="152">
        <v>0</v>
      </c>
      <c r="Q52" s="152">
        <v>0</v>
      </c>
      <c r="R52" s="152">
        <v>0</v>
      </c>
      <c r="S52" s="159">
        <v>156885440</v>
      </c>
      <c r="T52" s="152">
        <f>SUM(O52:S52)</f>
        <v>429940440</v>
      </c>
      <c r="U52" s="152">
        <v>45509000</v>
      </c>
      <c r="V52" s="152">
        <v>0</v>
      </c>
      <c r="W52" s="149">
        <v>48</v>
      </c>
      <c r="X52" s="150" t="s">
        <v>144</v>
      </c>
      <c r="Y52" s="146" t="s">
        <v>66</v>
      </c>
      <c r="Z52" s="150"/>
      <c r="AA52" s="146"/>
      <c r="AB52" s="146"/>
      <c r="AC52" s="146"/>
      <c r="AD52" s="146"/>
      <c r="AE52" s="153"/>
      <c r="AF52" s="153"/>
      <c r="AG52" s="153"/>
      <c r="AH52" s="153"/>
      <c r="AI52" s="153"/>
    </row>
    <row r="53" spans="1:35" s="163" customFormat="1" ht="73.5" hidden="1" customHeight="1" x14ac:dyDescent="0.2">
      <c r="A53" s="163">
        <v>7</v>
      </c>
      <c r="C53" s="145"/>
      <c r="D53" s="145">
        <v>45500</v>
      </c>
      <c r="E53" s="146" t="s">
        <v>183</v>
      </c>
      <c r="F53" s="146" t="s">
        <v>416</v>
      </c>
      <c r="G53" s="154" t="s">
        <v>126</v>
      </c>
      <c r="H53" s="147" t="s">
        <v>419</v>
      </c>
      <c r="I53" s="146" t="s">
        <v>278</v>
      </c>
      <c r="J53" s="160" t="s">
        <v>55</v>
      </c>
      <c r="K53" s="146" t="s">
        <v>457</v>
      </c>
      <c r="L53" s="146" t="s">
        <v>389</v>
      </c>
      <c r="M53" s="146">
        <v>1045</v>
      </c>
      <c r="N53" s="150">
        <v>45500</v>
      </c>
      <c r="O53" s="152">
        <v>4500000</v>
      </c>
      <c r="P53" s="152">
        <v>0</v>
      </c>
      <c r="Q53" s="152">
        <v>0</v>
      </c>
      <c r="R53" s="152">
        <v>0</v>
      </c>
      <c r="S53" s="156">
        <v>14095330</v>
      </c>
      <c r="T53" s="152">
        <f>SUM(O53:S53)</f>
        <v>18595330</v>
      </c>
      <c r="U53" s="152">
        <v>0</v>
      </c>
      <c r="V53" s="146"/>
      <c r="W53" s="149">
        <v>48</v>
      </c>
      <c r="X53" s="150"/>
      <c r="Y53" s="146"/>
      <c r="Z53" s="150"/>
      <c r="AA53" s="146"/>
      <c r="AB53" s="146"/>
      <c r="AC53" s="146"/>
      <c r="AD53" s="146"/>
      <c r="AE53" s="153"/>
      <c r="AF53" s="153"/>
      <c r="AG53" s="153"/>
      <c r="AH53" s="153"/>
      <c r="AI53" s="153"/>
    </row>
    <row r="54" spans="1:35" s="163" customFormat="1" ht="57" hidden="1" customHeight="1" x14ac:dyDescent="0.2">
      <c r="A54" s="163">
        <v>1</v>
      </c>
      <c r="C54" s="145"/>
      <c r="D54" s="145">
        <v>45500</v>
      </c>
      <c r="E54" s="146" t="s">
        <v>183</v>
      </c>
      <c r="F54" s="146" t="s">
        <v>416</v>
      </c>
      <c r="G54" s="154" t="s">
        <v>126</v>
      </c>
      <c r="H54" s="147" t="s">
        <v>417</v>
      </c>
      <c r="I54" s="146" t="s">
        <v>278</v>
      </c>
      <c r="J54" s="160" t="s">
        <v>55</v>
      </c>
      <c r="K54" s="146" t="s">
        <v>10</v>
      </c>
      <c r="L54" s="146" t="s">
        <v>389</v>
      </c>
      <c r="M54" s="146">
        <v>1043</v>
      </c>
      <c r="N54" s="150">
        <v>45500</v>
      </c>
      <c r="O54" s="152">
        <v>226809533</v>
      </c>
      <c r="P54" s="152">
        <v>0</v>
      </c>
      <c r="Q54" s="152">
        <v>0</v>
      </c>
      <c r="R54" s="152">
        <v>0</v>
      </c>
      <c r="S54" s="156">
        <v>108294655</v>
      </c>
      <c r="T54" s="152">
        <f>SUM(O54:S54)</f>
        <v>335104188</v>
      </c>
      <c r="U54" s="152">
        <v>33966000</v>
      </c>
      <c r="V54" s="146"/>
      <c r="W54" s="149">
        <v>48</v>
      </c>
      <c r="X54" s="150"/>
      <c r="Y54" s="146"/>
      <c r="Z54" s="150"/>
      <c r="AA54" s="146"/>
      <c r="AB54" s="146"/>
      <c r="AC54" s="146"/>
      <c r="AD54" s="146"/>
      <c r="AE54" s="153"/>
      <c r="AF54" s="153"/>
      <c r="AG54" s="153"/>
      <c r="AH54" s="153"/>
      <c r="AI54" s="153"/>
    </row>
    <row r="55" spans="1:35" s="163" customFormat="1" ht="57" hidden="1" customHeight="1" x14ac:dyDescent="0.2">
      <c r="C55" s="145"/>
      <c r="D55" s="145">
        <v>45427</v>
      </c>
      <c r="E55" s="146" t="s">
        <v>183</v>
      </c>
      <c r="F55" s="146" t="s">
        <v>409</v>
      </c>
      <c r="G55" s="154" t="s">
        <v>126</v>
      </c>
      <c r="H55" s="147" t="s">
        <v>354</v>
      </c>
      <c r="I55" s="146" t="s">
        <v>155</v>
      </c>
      <c r="J55" s="148" t="s">
        <v>395</v>
      </c>
      <c r="K55" s="146" t="s">
        <v>10</v>
      </c>
      <c r="L55" s="146" t="s">
        <v>389</v>
      </c>
      <c r="M55" s="146">
        <v>975</v>
      </c>
      <c r="N55" s="150">
        <v>45427</v>
      </c>
      <c r="O55" s="152">
        <v>104400000</v>
      </c>
      <c r="P55" s="152">
        <v>0</v>
      </c>
      <c r="Q55" s="152">
        <v>0</v>
      </c>
      <c r="R55" s="152">
        <v>0</v>
      </c>
      <c r="S55" s="156">
        <v>6827528</v>
      </c>
      <c r="T55" s="152">
        <f>SUM(O55:S55)</f>
        <v>111227528</v>
      </c>
      <c r="U55" s="152">
        <v>14400000</v>
      </c>
      <c r="V55" s="146"/>
      <c r="W55" s="149">
        <v>36</v>
      </c>
      <c r="X55" s="150"/>
      <c r="Y55" s="146"/>
      <c r="Z55" s="150"/>
      <c r="AA55" s="146"/>
      <c r="AB55" s="146"/>
      <c r="AC55" s="146"/>
      <c r="AD55" s="146"/>
      <c r="AE55" s="153"/>
      <c r="AF55" s="153"/>
      <c r="AG55" s="153"/>
      <c r="AH55" s="153"/>
      <c r="AI55" s="153"/>
    </row>
    <row r="56" spans="1:35" s="163" customFormat="1" ht="65.25" hidden="1" customHeight="1" x14ac:dyDescent="0.2">
      <c r="A56" s="163">
        <v>2</v>
      </c>
      <c r="C56" s="150"/>
      <c r="D56" s="145">
        <f>+Tabla2[[#This Row],[Fecha de Postulación]]</f>
        <v>45391</v>
      </c>
      <c r="E56" s="146" t="s">
        <v>118</v>
      </c>
      <c r="F56" s="146" t="s">
        <v>404</v>
      </c>
      <c r="G56" s="154" t="s">
        <v>126</v>
      </c>
      <c r="H56" s="147" t="s">
        <v>406</v>
      </c>
      <c r="I56" s="146" t="s">
        <v>407</v>
      </c>
      <c r="J56" s="160" t="s">
        <v>405</v>
      </c>
      <c r="K56" s="146" t="s">
        <v>10</v>
      </c>
      <c r="L56" s="146" t="s">
        <v>389</v>
      </c>
      <c r="M56" s="146">
        <v>937</v>
      </c>
      <c r="N56" s="150">
        <v>45391</v>
      </c>
      <c r="O56" s="152">
        <v>12000000</v>
      </c>
      <c r="P56" s="152">
        <v>2145335</v>
      </c>
      <c r="Q56" s="152">
        <v>0</v>
      </c>
      <c r="R56" s="152">
        <v>0</v>
      </c>
      <c r="S56" s="156">
        <v>854665</v>
      </c>
      <c r="T56" s="152">
        <f>SUM(O56:S56)</f>
        <v>15000000</v>
      </c>
      <c r="U56" s="152"/>
      <c r="V56" s="146"/>
      <c r="W56" s="149"/>
      <c r="X56" s="150"/>
      <c r="Y56" s="146"/>
      <c r="Z56" s="150"/>
      <c r="AA56" s="146"/>
      <c r="AB56" s="146"/>
      <c r="AC56" s="146"/>
      <c r="AD56" s="146"/>
      <c r="AE56" s="153"/>
      <c r="AF56" s="153"/>
      <c r="AG56" s="153"/>
      <c r="AH56" s="153"/>
      <c r="AI56" s="153"/>
    </row>
    <row r="57" spans="1:35" s="163" customFormat="1" ht="78" hidden="1" customHeight="1" x14ac:dyDescent="0.2">
      <c r="A57" s="163">
        <v>3</v>
      </c>
      <c r="C57" s="149">
        <v>2024</v>
      </c>
      <c r="D57" s="145">
        <v>45246</v>
      </c>
      <c r="E57" s="146" t="s">
        <v>202</v>
      </c>
      <c r="F57" s="146" t="s">
        <v>385</v>
      </c>
      <c r="G57" s="154" t="s">
        <v>126</v>
      </c>
      <c r="H57" s="147" t="s">
        <v>386</v>
      </c>
      <c r="I57" s="146" t="s">
        <v>155</v>
      </c>
      <c r="J57" s="160" t="s">
        <v>421</v>
      </c>
      <c r="K57" s="146" t="s">
        <v>388</v>
      </c>
      <c r="L57" s="146" t="s">
        <v>8</v>
      </c>
      <c r="M57" s="146">
        <v>879</v>
      </c>
      <c r="N57" s="150">
        <v>45246</v>
      </c>
      <c r="O57" s="152">
        <v>45574372</v>
      </c>
      <c r="P57" s="152">
        <v>0</v>
      </c>
      <c r="Q57" s="152">
        <v>0</v>
      </c>
      <c r="R57" s="152">
        <v>1500000</v>
      </c>
      <c r="S57" s="156">
        <v>44074372</v>
      </c>
      <c r="T57" s="152">
        <f>SUM(O57:S57)</f>
        <v>91148744</v>
      </c>
      <c r="U57" s="152">
        <v>0</v>
      </c>
      <c r="V57" s="146"/>
      <c r="W57" s="149">
        <v>12</v>
      </c>
      <c r="X57" s="150"/>
      <c r="Y57" s="146"/>
      <c r="Z57" s="150"/>
      <c r="AA57" s="146"/>
      <c r="AB57" s="146"/>
      <c r="AC57" s="146"/>
      <c r="AD57" s="146"/>
      <c r="AE57" s="153"/>
      <c r="AF57" s="153"/>
      <c r="AG57" s="153"/>
      <c r="AH57" s="153"/>
      <c r="AI57" s="153"/>
    </row>
    <row r="58" spans="1:35" s="163" customFormat="1" ht="74.25" hidden="1" customHeight="1" x14ac:dyDescent="0.2">
      <c r="A58" s="163">
        <v>4</v>
      </c>
      <c r="C58" s="150"/>
      <c r="D58" s="145">
        <f>+Tabla2[[#This Row],[Fecha de Postulación]]</f>
        <v>45203</v>
      </c>
      <c r="E58" s="146" t="s">
        <v>118</v>
      </c>
      <c r="F58" s="146" t="s">
        <v>381</v>
      </c>
      <c r="G58" s="154" t="s">
        <v>126</v>
      </c>
      <c r="H58" s="147" t="s">
        <v>382</v>
      </c>
      <c r="I58" s="146" t="s">
        <v>434</v>
      </c>
      <c r="J58" s="160" t="s">
        <v>441</v>
      </c>
      <c r="K58" s="146" t="s">
        <v>10</v>
      </c>
      <c r="L58" s="146" t="s">
        <v>389</v>
      </c>
      <c r="M58" s="146">
        <v>846</v>
      </c>
      <c r="N58" s="150">
        <v>45203</v>
      </c>
      <c r="O58" s="152">
        <v>149780815</v>
      </c>
      <c r="P58" s="152">
        <v>2500000</v>
      </c>
      <c r="Q58" s="152">
        <v>500000</v>
      </c>
      <c r="R58" s="152">
        <v>0</v>
      </c>
      <c r="S58" s="156">
        <v>64585123</v>
      </c>
      <c r="T58" s="152">
        <f>SUM(O58:S58)</f>
        <v>217365938</v>
      </c>
      <c r="U58" s="152">
        <v>10200000</v>
      </c>
      <c r="V58" s="146"/>
      <c r="W58" s="149">
        <v>48</v>
      </c>
      <c r="X58" s="150"/>
      <c r="Y58" s="146"/>
      <c r="Z58" s="150"/>
      <c r="AA58" s="146"/>
      <c r="AB58" s="146"/>
      <c r="AC58" s="146"/>
      <c r="AD58" s="146"/>
      <c r="AE58" s="153"/>
      <c r="AF58" s="153"/>
      <c r="AG58" s="153"/>
      <c r="AH58" s="153"/>
      <c r="AI58" s="153"/>
    </row>
    <row r="59" spans="1:35" s="126" customFormat="1" ht="61.5" hidden="1" customHeight="1" x14ac:dyDescent="0.2">
      <c r="A59" s="163">
        <v>5</v>
      </c>
      <c r="B59" s="163"/>
      <c r="C59" s="150"/>
      <c r="D59" s="145">
        <f>+Tabla2[[#This Row],[Fecha de Postulación]]</f>
        <v>45168</v>
      </c>
      <c r="E59" s="146" t="s">
        <v>298</v>
      </c>
      <c r="F59" s="146" t="s">
        <v>368</v>
      </c>
      <c r="G59" s="154" t="s">
        <v>126</v>
      </c>
      <c r="H59" s="147" t="s">
        <v>391</v>
      </c>
      <c r="I59" s="146" t="s">
        <v>277</v>
      </c>
      <c r="J59" s="160" t="s">
        <v>139</v>
      </c>
      <c r="K59" s="146" t="s">
        <v>10</v>
      </c>
      <c r="L59" s="146" t="s">
        <v>389</v>
      </c>
      <c r="M59" s="146">
        <v>792</v>
      </c>
      <c r="N59" s="150">
        <v>45168</v>
      </c>
      <c r="O59" s="152">
        <v>209000000</v>
      </c>
      <c r="P59" s="152">
        <v>12300000</v>
      </c>
      <c r="Q59" s="152"/>
      <c r="R59" s="152">
        <v>0</v>
      </c>
      <c r="S59" s="156">
        <v>12258000</v>
      </c>
      <c r="T59" s="152">
        <f>SUM(O59:S59)</f>
        <v>233558000</v>
      </c>
      <c r="U59" s="152"/>
      <c r="V59" s="146"/>
      <c r="W59" s="149"/>
      <c r="X59" s="150"/>
      <c r="Y59" s="146"/>
      <c r="Z59" s="150"/>
      <c r="AA59" s="146"/>
      <c r="AB59" s="146"/>
      <c r="AC59" s="146"/>
      <c r="AD59" s="146"/>
      <c r="AE59" s="153"/>
      <c r="AF59" s="153"/>
      <c r="AG59" s="153"/>
      <c r="AH59" s="153"/>
      <c r="AI59" s="153"/>
    </row>
    <row r="60" spans="1:35" s="126" customFormat="1" ht="61.5" hidden="1" customHeight="1" x14ac:dyDescent="0.2">
      <c r="A60" s="163">
        <v>6</v>
      </c>
      <c r="B60" s="163"/>
      <c r="C60" s="149">
        <v>2023</v>
      </c>
      <c r="D60" s="145">
        <v>45134</v>
      </c>
      <c r="E60" s="146" t="s">
        <v>298</v>
      </c>
      <c r="F60" s="146" t="s">
        <v>368</v>
      </c>
      <c r="G60" s="154" t="s">
        <v>126</v>
      </c>
      <c r="H60" s="147" t="s">
        <v>369</v>
      </c>
      <c r="I60" s="146" t="s">
        <v>155</v>
      </c>
      <c r="J60" s="160" t="s">
        <v>96</v>
      </c>
      <c r="K60" s="146" t="s">
        <v>10</v>
      </c>
      <c r="L60" s="146" t="s">
        <v>8</v>
      </c>
      <c r="M60" s="146">
        <v>790</v>
      </c>
      <c r="N60" s="150">
        <v>45168</v>
      </c>
      <c r="O60" s="152">
        <v>186245345</v>
      </c>
      <c r="P60" s="152">
        <v>10500000</v>
      </c>
      <c r="Q60" s="152">
        <v>0</v>
      </c>
      <c r="R60" s="152">
        <v>0</v>
      </c>
      <c r="S60" s="156">
        <v>10501500</v>
      </c>
      <c r="T60" s="152">
        <f>SUM(O60:S60)</f>
        <v>207246845</v>
      </c>
      <c r="U60" s="152">
        <v>9316000</v>
      </c>
      <c r="V60" s="146"/>
      <c r="W60" s="149">
        <v>24</v>
      </c>
      <c r="X60" s="150"/>
      <c r="Y60" s="146" t="s">
        <v>451</v>
      </c>
      <c r="Z60" s="150"/>
      <c r="AA60" s="146"/>
      <c r="AB60" s="146"/>
      <c r="AC60" s="146" t="s">
        <v>467</v>
      </c>
      <c r="AD60" s="146"/>
      <c r="AE60" s="153">
        <v>186320000</v>
      </c>
      <c r="AF60" s="153">
        <v>10500000</v>
      </c>
      <c r="AG60" s="153">
        <v>10500001</v>
      </c>
      <c r="AH60" s="153">
        <v>186320000</v>
      </c>
      <c r="AI60" s="153">
        <f>+Tabla2[[#This Row],[Monto capturado po INIA]]+Tabla2[[#This Row],[Monto aporte INIA]]+Tabla2[[#This Row],[Monto contrapartida]]</f>
        <v>207320001</v>
      </c>
    </row>
    <row r="61" spans="1:35" s="126" customFormat="1" ht="61.5" hidden="1" customHeight="1" x14ac:dyDescent="0.2">
      <c r="A61" s="163">
        <v>7</v>
      </c>
      <c r="B61" s="163"/>
      <c r="C61" s="145"/>
      <c r="D61" s="145">
        <v>45260</v>
      </c>
      <c r="E61" s="146" t="s">
        <v>298</v>
      </c>
      <c r="F61" s="146" t="s">
        <v>368</v>
      </c>
      <c r="G61" s="154" t="s">
        <v>126</v>
      </c>
      <c r="H61" s="147" t="s">
        <v>370</v>
      </c>
      <c r="I61" s="146" t="s">
        <v>155</v>
      </c>
      <c r="J61" s="160" t="s">
        <v>93</v>
      </c>
      <c r="K61" s="146" t="s">
        <v>10</v>
      </c>
      <c r="L61" s="146" t="s">
        <v>389</v>
      </c>
      <c r="M61" s="149">
        <v>789</v>
      </c>
      <c r="N61" s="150">
        <v>45168</v>
      </c>
      <c r="O61" s="152">
        <v>150000000</v>
      </c>
      <c r="P61" s="152">
        <v>15000000</v>
      </c>
      <c r="Q61" s="152"/>
      <c r="R61" s="152"/>
      <c r="S61" s="156">
        <v>15531254</v>
      </c>
      <c r="T61" s="152">
        <f>SUM(O61:S61)</f>
        <v>180531254</v>
      </c>
      <c r="U61" s="152"/>
      <c r="V61" s="146"/>
      <c r="W61" s="149">
        <v>36</v>
      </c>
      <c r="X61" s="150"/>
      <c r="Y61" s="146"/>
      <c r="Z61" s="150"/>
      <c r="AA61" s="146"/>
      <c r="AB61" s="146"/>
      <c r="AC61" s="146"/>
      <c r="AD61" s="146"/>
      <c r="AE61" s="153"/>
      <c r="AF61" s="153"/>
      <c r="AG61" s="153"/>
      <c r="AH61" s="153"/>
      <c r="AI61" s="153"/>
    </row>
    <row r="62" spans="1:35" s="126" customFormat="1" ht="94.5" hidden="1" customHeight="1" x14ac:dyDescent="0.2">
      <c r="A62" s="163">
        <v>8</v>
      </c>
      <c r="B62" s="163"/>
      <c r="C62" s="145"/>
      <c r="D62" s="145">
        <v>45626</v>
      </c>
      <c r="E62" s="146" t="s">
        <v>298</v>
      </c>
      <c r="F62" s="146" t="s">
        <v>368</v>
      </c>
      <c r="G62" s="154" t="s">
        <v>126</v>
      </c>
      <c r="H62" s="147" t="s">
        <v>390</v>
      </c>
      <c r="I62" s="146" t="s">
        <v>277</v>
      </c>
      <c r="J62" s="160" t="s">
        <v>441</v>
      </c>
      <c r="K62" s="146" t="s">
        <v>10</v>
      </c>
      <c r="L62" s="146" t="s">
        <v>389</v>
      </c>
      <c r="M62" s="146">
        <v>788</v>
      </c>
      <c r="N62" s="150">
        <v>45168</v>
      </c>
      <c r="O62" s="152">
        <v>161900000</v>
      </c>
      <c r="P62" s="152">
        <v>9000000</v>
      </c>
      <c r="Q62" s="152"/>
      <c r="R62" s="152">
        <v>0</v>
      </c>
      <c r="S62" s="156">
        <v>8999000</v>
      </c>
      <c r="T62" s="152">
        <f>SUM(O62:S62)</f>
        <v>179899000</v>
      </c>
      <c r="U62" s="152"/>
      <c r="V62" s="146"/>
      <c r="W62" s="149">
        <v>36</v>
      </c>
      <c r="X62" s="150"/>
      <c r="Y62" s="146"/>
      <c r="Z62" s="150"/>
      <c r="AA62" s="146"/>
      <c r="AB62" s="146"/>
      <c r="AC62" s="146"/>
      <c r="AD62" s="146"/>
      <c r="AE62" s="153"/>
      <c r="AF62" s="153"/>
      <c r="AG62" s="153"/>
      <c r="AH62" s="153"/>
      <c r="AI62" s="153"/>
    </row>
    <row r="63" spans="1:35" s="126" customFormat="1" ht="83.25" hidden="1" customHeight="1" x14ac:dyDescent="0.2">
      <c r="A63" s="163">
        <v>9</v>
      </c>
      <c r="B63" s="163"/>
      <c r="C63" s="150"/>
      <c r="D63" s="145">
        <f>+Tabla2[[#This Row],[Fecha de Postulación]]</f>
        <v>45291</v>
      </c>
      <c r="E63" s="146" t="s">
        <v>284</v>
      </c>
      <c r="F63" s="146" t="s">
        <v>453</v>
      </c>
      <c r="G63" s="154" t="s">
        <v>126</v>
      </c>
      <c r="H63" s="147" t="s">
        <v>454</v>
      </c>
      <c r="I63" s="146" t="s">
        <v>155</v>
      </c>
      <c r="J63" s="160" t="s">
        <v>355</v>
      </c>
      <c r="K63" s="146" t="s">
        <v>367</v>
      </c>
      <c r="L63" s="146" t="s">
        <v>389</v>
      </c>
      <c r="M63" s="146">
        <v>785</v>
      </c>
      <c r="N63" s="150">
        <v>45291</v>
      </c>
      <c r="O63" s="152">
        <v>15347285</v>
      </c>
      <c r="P63" s="152">
        <v>0</v>
      </c>
      <c r="Q63" s="152">
        <v>0</v>
      </c>
      <c r="R63" s="152">
        <v>0</v>
      </c>
      <c r="S63" s="156">
        <v>34072981</v>
      </c>
      <c r="T63" s="152">
        <f>SUM(O63:S63)</f>
        <v>49420266</v>
      </c>
      <c r="U63" s="152"/>
      <c r="V63" s="146"/>
      <c r="W63" s="149">
        <v>48</v>
      </c>
      <c r="X63" s="150"/>
      <c r="Y63" s="146"/>
      <c r="Z63" s="150"/>
      <c r="AA63" s="146"/>
      <c r="AB63" s="146"/>
      <c r="AC63" s="146"/>
      <c r="AD63" s="146"/>
      <c r="AE63" s="153"/>
      <c r="AF63" s="153"/>
      <c r="AG63" s="153"/>
      <c r="AH63" s="153"/>
      <c r="AI63" s="153"/>
    </row>
    <row r="64" spans="1:35" s="126" customFormat="1" ht="82.5" hidden="1" customHeight="1" x14ac:dyDescent="0.25">
      <c r="A64" s="163">
        <v>10</v>
      </c>
      <c r="B64" s="163"/>
      <c r="C64" s="150"/>
      <c r="D64" s="145">
        <f>+Tabla2[[#This Row],[Fecha de Postulación]]</f>
        <v>45291</v>
      </c>
      <c r="E64" s="146" t="s">
        <v>279</v>
      </c>
      <c r="F64" s="146" t="s">
        <v>494</v>
      </c>
      <c r="G64" s="154" t="s">
        <v>126</v>
      </c>
      <c r="H64" s="147" t="s">
        <v>493</v>
      </c>
      <c r="I64" s="147" t="s">
        <v>155</v>
      </c>
      <c r="J64" s="174" t="s">
        <v>395</v>
      </c>
      <c r="K64" s="146" t="s">
        <v>10</v>
      </c>
      <c r="L64" s="146" t="s">
        <v>389</v>
      </c>
      <c r="M64" s="146">
        <v>785</v>
      </c>
      <c r="N64" s="150">
        <v>45291</v>
      </c>
      <c r="O64" s="151">
        <v>15347285</v>
      </c>
      <c r="P64" s="152">
        <v>0</v>
      </c>
      <c r="Q64" s="152">
        <v>0</v>
      </c>
      <c r="R64" s="152">
        <v>0</v>
      </c>
      <c r="S64" s="159">
        <v>34072981</v>
      </c>
      <c r="T64" s="152">
        <f>SUM(O64:S64)</f>
        <v>49420266</v>
      </c>
      <c r="U64" s="152">
        <v>1534559</v>
      </c>
      <c r="V64" s="175">
        <v>0</v>
      </c>
      <c r="W64" s="149">
        <v>48</v>
      </c>
      <c r="X64" s="150"/>
      <c r="Y64" s="146"/>
      <c r="Z64" s="150"/>
      <c r="AA64" s="146"/>
      <c r="AB64" s="146"/>
      <c r="AC64" s="146"/>
      <c r="AD64" s="146"/>
      <c r="AE64" s="153"/>
      <c r="AF64" s="153"/>
      <c r="AG64" s="153"/>
      <c r="AH64" s="153"/>
      <c r="AI64" s="153"/>
    </row>
    <row r="65" spans="1:16037" s="126" customFormat="1" ht="96.75" hidden="1" customHeight="1" x14ac:dyDescent="0.2">
      <c r="A65" s="126">
        <v>1</v>
      </c>
      <c r="C65" s="150"/>
      <c r="D65" s="145">
        <f>+Tabla2[[#This Row],[Fecha de Postulación]]</f>
        <v>45118</v>
      </c>
      <c r="E65" s="146" t="s">
        <v>118</v>
      </c>
      <c r="F65" s="146" t="s">
        <v>375</v>
      </c>
      <c r="G65" s="154" t="s">
        <v>126</v>
      </c>
      <c r="H65" s="147" t="s">
        <v>356</v>
      </c>
      <c r="I65" s="146" t="s">
        <v>155</v>
      </c>
      <c r="J65" s="160" t="s">
        <v>355</v>
      </c>
      <c r="K65" s="146" t="s">
        <v>357</v>
      </c>
      <c r="L65" s="146" t="s">
        <v>389</v>
      </c>
      <c r="M65" s="146">
        <v>755</v>
      </c>
      <c r="N65" s="150">
        <v>45118</v>
      </c>
      <c r="O65" s="152">
        <v>18162100</v>
      </c>
      <c r="P65" s="152">
        <v>0</v>
      </c>
      <c r="Q65" s="152">
        <v>0</v>
      </c>
      <c r="R65" s="152">
        <v>0</v>
      </c>
      <c r="S65" s="156">
        <v>25057753</v>
      </c>
      <c r="T65" s="152">
        <f>SUM(O65:S65)</f>
        <v>43219853</v>
      </c>
      <c r="U65" s="152"/>
      <c r="V65" s="146"/>
      <c r="W65" s="149">
        <v>36</v>
      </c>
      <c r="X65" s="150"/>
      <c r="Y65" s="146"/>
      <c r="Z65" s="150"/>
      <c r="AA65" s="146"/>
      <c r="AB65" s="146"/>
      <c r="AC65" s="146"/>
      <c r="AD65" s="146"/>
      <c r="AE65" s="153"/>
      <c r="AF65" s="153"/>
      <c r="AG65" s="153"/>
      <c r="AH65" s="153"/>
      <c r="AI65" s="153"/>
    </row>
    <row r="66" spans="1:16037" s="126" customFormat="1" ht="125.25" hidden="1" customHeight="1" x14ac:dyDescent="0.2">
      <c r="A66" s="126">
        <v>5</v>
      </c>
      <c r="C66" s="150"/>
      <c r="D66" s="145">
        <f>+Tabla2[[#This Row],[Fecha de Postulación]]</f>
        <v>45097</v>
      </c>
      <c r="E66" s="146" t="s">
        <v>183</v>
      </c>
      <c r="F66" s="146" t="s">
        <v>376</v>
      </c>
      <c r="G66" s="154" t="s">
        <v>126</v>
      </c>
      <c r="H66" s="147" t="s">
        <v>359</v>
      </c>
      <c r="I66" s="146" t="s">
        <v>278</v>
      </c>
      <c r="J66" s="160" t="s">
        <v>55</v>
      </c>
      <c r="K66" s="146" t="s">
        <v>361</v>
      </c>
      <c r="L66" s="146" t="s">
        <v>389</v>
      </c>
      <c r="M66" s="146">
        <v>748</v>
      </c>
      <c r="N66" s="150">
        <v>45097</v>
      </c>
      <c r="O66" s="152">
        <v>21500000</v>
      </c>
      <c r="P66" s="152">
        <v>0</v>
      </c>
      <c r="Q66" s="152">
        <v>0</v>
      </c>
      <c r="R66" s="152">
        <v>0</v>
      </c>
      <c r="S66" s="156">
        <v>6727800</v>
      </c>
      <c r="T66" s="152">
        <f>SUM(O66:S66)</f>
        <v>28227800</v>
      </c>
      <c r="U66" s="152"/>
      <c r="V66" s="146"/>
      <c r="W66" s="149">
        <v>48</v>
      </c>
      <c r="X66" s="150"/>
      <c r="Y66" s="146"/>
      <c r="Z66" s="150"/>
      <c r="AA66" s="146"/>
      <c r="AB66" s="146"/>
      <c r="AC66" s="146"/>
      <c r="AD66" s="146"/>
      <c r="AE66" s="153"/>
      <c r="AF66" s="153"/>
      <c r="AG66" s="153"/>
      <c r="AH66" s="153"/>
      <c r="AI66" s="153"/>
    </row>
    <row r="67" spans="1:16037" s="126" customFormat="1" ht="96.75" hidden="1" customHeight="1" x14ac:dyDescent="0.2">
      <c r="A67" s="126">
        <v>6</v>
      </c>
      <c r="C67" s="150"/>
      <c r="D67" s="145">
        <f>+Tabla2[[#This Row],[Fecha de Postulación]]</f>
        <v>45050</v>
      </c>
      <c r="E67" s="146" t="s">
        <v>202</v>
      </c>
      <c r="F67" s="146" t="s">
        <v>362</v>
      </c>
      <c r="G67" s="154" t="s">
        <v>126</v>
      </c>
      <c r="H67" s="147" t="s">
        <v>364</v>
      </c>
      <c r="I67" s="146" t="s">
        <v>155</v>
      </c>
      <c r="J67" s="160" t="s">
        <v>421</v>
      </c>
      <c r="K67" s="146" t="s">
        <v>361</v>
      </c>
      <c r="L67" s="146" t="s">
        <v>389</v>
      </c>
      <c r="M67" s="146">
        <v>667</v>
      </c>
      <c r="N67" s="150">
        <v>45050</v>
      </c>
      <c r="O67" s="152">
        <v>86140000</v>
      </c>
      <c r="P67" s="152">
        <v>0</v>
      </c>
      <c r="Q67" s="152">
        <v>0</v>
      </c>
      <c r="R67" s="152">
        <v>103575</v>
      </c>
      <c r="S67" s="156">
        <v>0</v>
      </c>
      <c r="T67" s="152">
        <f>SUM(O67:S67)</f>
        <v>86243575</v>
      </c>
      <c r="U67" s="152"/>
      <c r="V67" s="146"/>
      <c r="W67" s="149">
        <v>36</v>
      </c>
      <c r="X67" s="150"/>
      <c r="Y67" s="146"/>
      <c r="Z67" s="150"/>
      <c r="AA67" s="146"/>
      <c r="AB67" s="146"/>
      <c r="AC67" s="146"/>
      <c r="AD67" s="146"/>
      <c r="AE67" s="153"/>
      <c r="AF67" s="153"/>
      <c r="AG67" s="153"/>
      <c r="AH67" s="153"/>
      <c r="AI67" s="153"/>
    </row>
    <row r="68" spans="1:16037" s="126" customFormat="1" ht="117" hidden="1" customHeight="1" x14ac:dyDescent="0.2">
      <c r="A68" s="126">
        <v>7</v>
      </c>
      <c r="C68" s="149">
        <v>2022</v>
      </c>
      <c r="D68" s="145">
        <f>+Tabla2[[#This Row],[Fecha de Postulación]]</f>
        <v>44854</v>
      </c>
      <c r="E68" s="146" t="s">
        <v>118</v>
      </c>
      <c r="F68" s="146" t="s">
        <v>325</v>
      </c>
      <c r="G68" s="154" t="s">
        <v>126</v>
      </c>
      <c r="H68" s="147" t="s">
        <v>322</v>
      </c>
      <c r="I68" s="146" t="s">
        <v>277</v>
      </c>
      <c r="J68" s="160" t="s">
        <v>212</v>
      </c>
      <c r="K68" s="146" t="s">
        <v>10</v>
      </c>
      <c r="L68" s="146" t="s">
        <v>240</v>
      </c>
      <c r="M68" s="146">
        <v>609</v>
      </c>
      <c r="N68" s="150">
        <v>44854</v>
      </c>
      <c r="O68" s="152">
        <v>115159785</v>
      </c>
      <c r="P68" s="152">
        <v>6800000</v>
      </c>
      <c r="Q68" s="152">
        <v>0</v>
      </c>
      <c r="R68" s="152">
        <v>0</v>
      </c>
      <c r="S68" s="156">
        <v>37077338</v>
      </c>
      <c r="T68" s="152">
        <f>SUM(O68:S68)</f>
        <v>159037123</v>
      </c>
      <c r="U68" s="152">
        <v>8040000</v>
      </c>
      <c r="V68" s="146">
        <v>0</v>
      </c>
      <c r="W68" s="149">
        <v>36</v>
      </c>
      <c r="X68" s="150" t="s">
        <v>340</v>
      </c>
      <c r="Y68" s="146" t="s">
        <v>451</v>
      </c>
      <c r="Z68" s="150"/>
      <c r="AA68" s="146"/>
      <c r="AB68" s="146" t="s">
        <v>341</v>
      </c>
      <c r="AC68" s="146" t="s">
        <v>342</v>
      </c>
      <c r="AD68" s="146"/>
      <c r="AE68" s="153">
        <v>115159785</v>
      </c>
      <c r="AF68" s="153">
        <v>11224832</v>
      </c>
      <c r="AG68" s="153">
        <v>45186471</v>
      </c>
      <c r="AH68" s="153">
        <v>115159785</v>
      </c>
      <c r="AI68" s="153">
        <f>+AE68+AF68+Tabla2[[#This Row],[Monto aporte INIA]]</f>
        <v>171571088</v>
      </c>
    </row>
    <row r="69" spans="1:16037" s="126" customFormat="1" ht="96.75" hidden="1" customHeight="1" x14ac:dyDescent="0.2">
      <c r="A69" s="126">
        <v>8</v>
      </c>
      <c r="C69" s="149">
        <v>2022</v>
      </c>
      <c r="D69" s="145">
        <f>+Tabla2[[#This Row],[Fecha de Postulación]]</f>
        <v>44854</v>
      </c>
      <c r="E69" s="146" t="s">
        <v>118</v>
      </c>
      <c r="F69" s="146" t="s">
        <v>325</v>
      </c>
      <c r="G69" s="154" t="s">
        <v>126</v>
      </c>
      <c r="H69" s="147" t="s">
        <v>323</v>
      </c>
      <c r="I69" s="146" t="s">
        <v>155</v>
      </c>
      <c r="J69" s="160" t="s">
        <v>100</v>
      </c>
      <c r="K69" s="146" t="s">
        <v>10</v>
      </c>
      <c r="L69" s="146" t="s">
        <v>240</v>
      </c>
      <c r="M69" s="146">
        <v>593</v>
      </c>
      <c r="N69" s="150">
        <v>44854</v>
      </c>
      <c r="O69" s="152">
        <v>117487105</v>
      </c>
      <c r="P69" s="152">
        <v>0</v>
      </c>
      <c r="Q69" s="152">
        <v>7000000</v>
      </c>
      <c r="R69" s="152">
        <v>0</v>
      </c>
      <c r="S69" s="156">
        <v>59576551</v>
      </c>
      <c r="T69" s="152">
        <f>SUM(O69:S69)</f>
        <v>184063656</v>
      </c>
      <c r="U69" s="152">
        <v>8200000</v>
      </c>
      <c r="V69" s="146">
        <v>0</v>
      </c>
      <c r="W69" s="149">
        <v>36</v>
      </c>
      <c r="X69" s="150" t="s">
        <v>344</v>
      </c>
      <c r="Y69" s="146" t="s">
        <v>343</v>
      </c>
      <c r="Z69" s="150"/>
      <c r="AA69" s="146"/>
      <c r="AB69" s="146" t="s">
        <v>341</v>
      </c>
      <c r="AC69" s="146" t="s">
        <v>345</v>
      </c>
      <c r="AD69" s="146"/>
      <c r="AE69" s="153">
        <v>119450000</v>
      </c>
      <c r="AF69" s="153">
        <v>2000000</v>
      </c>
      <c r="AG69" s="153">
        <v>70076551</v>
      </c>
      <c r="AH69" s="153">
        <v>0</v>
      </c>
      <c r="AI69" s="153">
        <f>+AE69+AF69+Tabla2[[#This Row],[Monto aporte INIA]]</f>
        <v>191526551</v>
      </c>
    </row>
    <row r="70" spans="1:16037" s="126" customFormat="1" ht="96.75" hidden="1" customHeight="1" x14ac:dyDescent="0.2">
      <c r="A70" s="126">
        <v>9</v>
      </c>
      <c r="C70" s="149">
        <v>2022</v>
      </c>
      <c r="D70" s="145">
        <f>+Tabla2[[#This Row],[Fecha de Postulación]]</f>
        <v>44776</v>
      </c>
      <c r="E70" s="146" t="s">
        <v>298</v>
      </c>
      <c r="F70" s="146" t="s">
        <v>298</v>
      </c>
      <c r="G70" s="154" t="s">
        <v>126</v>
      </c>
      <c r="H70" s="147" t="s">
        <v>299</v>
      </c>
      <c r="I70" s="146" t="s">
        <v>155</v>
      </c>
      <c r="J70" s="160" t="s">
        <v>212</v>
      </c>
      <c r="K70" s="146" t="s">
        <v>10</v>
      </c>
      <c r="L70" s="146" t="s">
        <v>240</v>
      </c>
      <c r="M70" s="146">
        <v>493</v>
      </c>
      <c r="N70" s="150">
        <v>44776</v>
      </c>
      <c r="O70" s="152">
        <v>164103020</v>
      </c>
      <c r="P70" s="152">
        <v>0</v>
      </c>
      <c r="Q70" s="152">
        <v>871902</v>
      </c>
      <c r="R70" s="152">
        <v>12000000</v>
      </c>
      <c r="S70" s="156">
        <v>10974617</v>
      </c>
      <c r="T70" s="152">
        <f>SUM(O70:S70)</f>
        <v>187949539</v>
      </c>
      <c r="U70" s="152">
        <v>8205151</v>
      </c>
      <c r="V70" s="146">
        <v>0</v>
      </c>
      <c r="W70" s="149">
        <v>36</v>
      </c>
      <c r="X70" s="150">
        <v>44974</v>
      </c>
      <c r="Y70" s="146" t="s">
        <v>346</v>
      </c>
      <c r="Z70" s="150"/>
      <c r="AA70" s="146"/>
      <c r="AB70" s="146" t="s">
        <v>347</v>
      </c>
      <c r="AC70" s="146" t="s">
        <v>348</v>
      </c>
      <c r="AD70" s="146"/>
      <c r="AE70" s="153">
        <v>164103020</v>
      </c>
      <c r="AF70" s="153">
        <v>23846519</v>
      </c>
      <c r="AG70" s="153">
        <f>+AF70</f>
        <v>23846519</v>
      </c>
      <c r="AH70" s="153">
        <v>0</v>
      </c>
      <c r="AI70" s="153">
        <f>+AE70+AF70</f>
        <v>187949539</v>
      </c>
    </row>
    <row r="71" spans="1:16037" s="126" customFormat="1" ht="96.75" hidden="1" customHeight="1" x14ac:dyDescent="0.2">
      <c r="A71" s="126">
        <v>10</v>
      </c>
      <c r="C71" s="149">
        <v>2022</v>
      </c>
      <c r="D71" s="145">
        <f>+Tabla2[[#This Row],[Fecha de Postulación]]</f>
        <v>44776</v>
      </c>
      <c r="E71" s="146" t="s">
        <v>298</v>
      </c>
      <c r="F71" s="146" t="s">
        <v>298</v>
      </c>
      <c r="G71" s="154" t="s">
        <v>126</v>
      </c>
      <c r="H71" s="147" t="s">
        <v>302</v>
      </c>
      <c r="I71" s="146" t="s">
        <v>277</v>
      </c>
      <c r="J71" s="160" t="s">
        <v>93</v>
      </c>
      <c r="K71" s="146" t="s">
        <v>10</v>
      </c>
      <c r="L71" s="146" t="s">
        <v>240</v>
      </c>
      <c r="M71" s="146">
        <v>487</v>
      </c>
      <c r="N71" s="150">
        <v>44776</v>
      </c>
      <c r="O71" s="152">
        <v>148500000</v>
      </c>
      <c r="P71" s="152">
        <v>0</v>
      </c>
      <c r="Q71" s="152">
        <v>0</v>
      </c>
      <c r="R71" s="152">
        <v>14400000</v>
      </c>
      <c r="S71" s="156">
        <v>13529712</v>
      </c>
      <c r="T71" s="152">
        <f>SUM(O71:S71)</f>
        <v>176429712</v>
      </c>
      <c r="U71" s="152">
        <v>7425000</v>
      </c>
      <c r="V71" s="146">
        <v>0</v>
      </c>
      <c r="W71" s="149">
        <v>36</v>
      </c>
      <c r="X71" s="150">
        <v>44974</v>
      </c>
      <c r="Y71" s="146" t="s">
        <v>451</v>
      </c>
      <c r="Z71" s="150"/>
      <c r="AA71" s="146"/>
      <c r="AB71" s="146" t="s">
        <v>347</v>
      </c>
      <c r="AC71" s="146" t="s">
        <v>349</v>
      </c>
      <c r="AD71" s="146"/>
      <c r="AE71" s="153">
        <v>148500000</v>
      </c>
      <c r="AF71" s="153">
        <v>27929710</v>
      </c>
      <c r="AG71" s="153">
        <f>+AF71</f>
        <v>27929710</v>
      </c>
      <c r="AH71" s="153">
        <v>0</v>
      </c>
      <c r="AI71" s="153">
        <f>+AE71+AF71</f>
        <v>176429710</v>
      </c>
    </row>
    <row r="72" spans="1:16037" s="126" customFormat="1" ht="96.75" hidden="1" customHeight="1" x14ac:dyDescent="0.2">
      <c r="A72" s="126">
        <v>11</v>
      </c>
      <c r="C72" s="149">
        <v>2022</v>
      </c>
      <c r="D72" s="145">
        <f>+Tabla2[[#This Row],[Fecha de Postulación]]</f>
        <v>44748</v>
      </c>
      <c r="E72" s="146" t="s">
        <v>202</v>
      </c>
      <c r="F72" s="146" t="s">
        <v>304</v>
      </c>
      <c r="G72" s="154" t="s">
        <v>126</v>
      </c>
      <c r="H72" s="147" t="s">
        <v>305</v>
      </c>
      <c r="I72" s="146" t="s">
        <v>155</v>
      </c>
      <c r="J72" s="160" t="s">
        <v>96</v>
      </c>
      <c r="K72" s="146" t="s">
        <v>10</v>
      </c>
      <c r="L72" s="146" t="s">
        <v>240</v>
      </c>
      <c r="M72" s="146">
        <v>464</v>
      </c>
      <c r="N72" s="150">
        <v>44748</v>
      </c>
      <c r="O72" s="152">
        <v>319267521</v>
      </c>
      <c r="P72" s="152">
        <v>0</v>
      </c>
      <c r="Q72" s="152">
        <v>0</v>
      </c>
      <c r="R72" s="152">
        <v>0</v>
      </c>
      <c r="S72" s="156">
        <v>162709522</v>
      </c>
      <c r="T72" s="152">
        <f>SUM(O72:S72)</f>
        <v>481977043</v>
      </c>
      <c r="U72" s="152">
        <v>0</v>
      </c>
      <c r="V72" s="146">
        <v>0</v>
      </c>
      <c r="W72" s="149">
        <v>48</v>
      </c>
      <c r="X72" s="150">
        <v>44992</v>
      </c>
      <c r="Y72" s="146" t="s">
        <v>328</v>
      </c>
      <c r="Z72" s="150"/>
      <c r="AA72" s="146"/>
      <c r="AB72" s="146" t="s">
        <v>350</v>
      </c>
      <c r="AC72" s="146">
        <v>1231208</v>
      </c>
      <c r="AD72" s="146"/>
      <c r="AE72" s="153">
        <v>268800000</v>
      </c>
      <c r="AF72" s="153">
        <v>0</v>
      </c>
      <c r="AG72" s="153">
        <v>0</v>
      </c>
      <c r="AH72" s="153">
        <v>40800000</v>
      </c>
      <c r="AI72" s="153">
        <f>+AE72</f>
        <v>268800000</v>
      </c>
    </row>
    <row r="73" spans="1:16037" s="126" customFormat="1" ht="109.5" hidden="1" customHeight="1" x14ac:dyDescent="0.2">
      <c r="A73" s="126">
        <v>12</v>
      </c>
      <c r="C73" s="149">
        <v>2022</v>
      </c>
      <c r="D73" s="145">
        <f>+Tabla2[[#This Row],[Fecha de Postulación]]</f>
        <v>44671</v>
      </c>
      <c r="E73" s="146" t="s">
        <v>202</v>
      </c>
      <c r="F73" s="146" t="s">
        <v>315</v>
      </c>
      <c r="G73" s="154" t="s">
        <v>126</v>
      </c>
      <c r="H73" s="147" t="s">
        <v>314</v>
      </c>
      <c r="I73" s="146" t="s">
        <v>155</v>
      </c>
      <c r="J73" s="160" t="s">
        <v>96</v>
      </c>
      <c r="K73" s="146" t="s">
        <v>10</v>
      </c>
      <c r="L73" s="146" t="s">
        <v>240</v>
      </c>
      <c r="M73" s="146">
        <v>418</v>
      </c>
      <c r="N73" s="150">
        <v>44671</v>
      </c>
      <c r="O73" s="152">
        <v>159156049</v>
      </c>
      <c r="P73" s="152">
        <v>0</v>
      </c>
      <c r="Q73" s="152">
        <v>24073545</v>
      </c>
      <c r="R73" s="152">
        <v>0</v>
      </c>
      <c r="S73" s="156">
        <v>57064535</v>
      </c>
      <c r="T73" s="152">
        <f>SUM(O73:S73)</f>
        <v>240294129</v>
      </c>
      <c r="U73" s="152">
        <v>150000000</v>
      </c>
      <c r="V73" s="146">
        <v>0</v>
      </c>
      <c r="W73" s="149">
        <v>24</v>
      </c>
      <c r="X73" s="150">
        <v>44785</v>
      </c>
      <c r="Y73" s="146"/>
      <c r="Z73" s="150"/>
      <c r="AA73" s="146"/>
      <c r="AB73" s="146" t="s">
        <v>351</v>
      </c>
      <c r="AC73" s="146" t="s">
        <v>352</v>
      </c>
      <c r="AD73" s="146"/>
      <c r="AE73" s="153">
        <v>160425000</v>
      </c>
      <c r="AF73" s="153">
        <v>24073545</v>
      </c>
      <c r="AG73" s="153">
        <v>94294747</v>
      </c>
      <c r="AH73" s="153">
        <v>15000000</v>
      </c>
      <c r="AI73" s="153">
        <f>+AE73+AF73+AG73</f>
        <v>278793292</v>
      </c>
    </row>
    <row r="74" spans="1:16037" s="126" customFormat="1" ht="67.5" hidden="1" customHeight="1" x14ac:dyDescent="0.2">
      <c r="A74" s="126">
        <v>1</v>
      </c>
      <c r="C74" s="150"/>
      <c r="D74" s="145">
        <f>+Tabla2[[#This Row],[Fecha de Postulación]]</f>
        <v>44644</v>
      </c>
      <c r="E74" s="146" t="s">
        <v>183</v>
      </c>
      <c r="F74" s="146" t="s">
        <v>455</v>
      </c>
      <c r="G74" s="154" t="s">
        <v>126</v>
      </c>
      <c r="H74" s="147" t="s">
        <v>394</v>
      </c>
      <c r="I74" s="146" t="s">
        <v>155</v>
      </c>
      <c r="J74" s="160" t="s">
        <v>355</v>
      </c>
      <c r="K74" s="146" t="s">
        <v>456</v>
      </c>
      <c r="L74" s="146" t="s">
        <v>389</v>
      </c>
      <c r="M74" s="146">
        <v>411</v>
      </c>
      <c r="N74" s="150">
        <v>44644</v>
      </c>
      <c r="O74" s="152">
        <v>14400000</v>
      </c>
      <c r="P74" s="152">
        <v>0</v>
      </c>
      <c r="Q74" s="152">
        <v>0</v>
      </c>
      <c r="R74" s="152">
        <v>0</v>
      </c>
      <c r="S74" s="156">
        <v>35949067</v>
      </c>
      <c r="T74" s="152">
        <f>SUM(O74:S74)</f>
        <v>50349067</v>
      </c>
      <c r="U74" s="152"/>
      <c r="V74" s="146"/>
      <c r="W74" s="149">
        <v>36</v>
      </c>
      <c r="X74" s="150"/>
      <c r="Y74" s="146"/>
      <c r="Z74" s="150"/>
      <c r="AA74" s="146"/>
      <c r="AB74" s="146"/>
      <c r="AC74" s="146"/>
      <c r="AD74" s="146"/>
      <c r="AE74" s="153"/>
      <c r="AF74" s="153"/>
      <c r="AG74" s="153"/>
      <c r="AH74" s="153"/>
      <c r="AI74" s="153"/>
    </row>
    <row r="75" spans="1:16037" s="126" customFormat="1" ht="178.5" hidden="1" customHeight="1" x14ac:dyDescent="0.2">
      <c r="A75" s="126">
        <v>2</v>
      </c>
      <c r="C75" s="149">
        <v>2021</v>
      </c>
      <c r="D75" s="145">
        <f>+Tabla2[[#This Row],[Fecha de Postulación]]</f>
        <v>44428</v>
      </c>
      <c r="E75" s="146" t="s">
        <v>118</v>
      </c>
      <c r="F75" s="146" t="s">
        <v>286</v>
      </c>
      <c r="G75" s="154" t="str">
        <f>'Perfiles '!D55</f>
        <v>16-Rayentué</v>
      </c>
      <c r="H75" s="147" t="s">
        <v>287</v>
      </c>
      <c r="I75" s="146" t="s">
        <v>277</v>
      </c>
      <c r="J75" s="160" t="s">
        <v>165</v>
      </c>
      <c r="K75" s="146" t="str">
        <f>'Perfiles '!H55</f>
        <v>INIA</v>
      </c>
      <c r="L75" s="146" t="s">
        <v>240</v>
      </c>
      <c r="M75" s="146">
        <v>400</v>
      </c>
      <c r="N75" s="150">
        <v>44428</v>
      </c>
      <c r="O75" s="152">
        <v>85000000</v>
      </c>
      <c r="P75" s="152">
        <v>0</v>
      </c>
      <c r="Q75" s="152">
        <v>0</v>
      </c>
      <c r="R75" s="152">
        <v>850000</v>
      </c>
      <c r="S75" s="156">
        <v>55485807</v>
      </c>
      <c r="T75" s="152">
        <f>SUM(O75:S75)</f>
        <v>141335807</v>
      </c>
      <c r="U75" s="152">
        <v>5950000</v>
      </c>
      <c r="V75" s="146">
        <v>0</v>
      </c>
      <c r="W75" s="149">
        <v>20</v>
      </c>
      <c r="X75" s="150">
        <v>44448</v>
      </c>
      <c r="Y75" s="146" t="s">
        <v>288</v>
      </c>
      <c r="Z75" s="150" t="s">
        <v>66</v>
      </c>
      <c r="AA75" s="146" t="s">
        <v>66</v>
      </c>
      <c r="AB75" s="146" t="s">
        <v>293</v>
      </c>
      <c r="AC75" s="146" t="s">
        <v>292</v>
      </c>
      <c r="AD75" s="146"/>
      <c r="AE75" s="153">
        <f>O75</f>
        <v>85000000</v>
      </c>
      <c r="AF75" s="153">
        <v>0</v>
      </c>
      <c r="AG75" s="153">
        <v>56335807</v>
      </c>
      <c r="AH75" s="153">
        <v>0</v>
      </c>
      <c r="AI75" s="153">
        <f>AE75+AF75+AG75+AH75</f>
        <v>141335807</v>
      </c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  <c r="CR75" s="164"/>
      <c r="CS75" s="164"/>
      <c r="CT75" s="164"/>
      <c r="CU75" s="164"/>
      <c r="CV75" s="164"/>
      <c r="CW75" s="164"/>
      <c r="CX75" s="164"/>
      <c r="CY75" s="164"/>
      <c r="CZ75" s="164"/>
      <c r="DA75" s="164"/>
      <c r="DB75" s="164"/>
      <c r="DC75" s="164"/>
      <c r="DD75" s="164"/>
      <c r="DE75" s="164"/>
      <c r="DF75" s="164"/>
      <c r="DG75" s="164"/>
      <c r="DH75" s="164"/>
      <c r="DI75" s="164"/>
      <c r="DJ75" s="164"/>
      <c r="DK75" s="164"/>
      <c r="DL75" s="164"/>
      <c r="DM75" s="164"/>
      <c r="DN75" s="164"/>
      <c r="DO75" s="164"/>
      <c r="DP75" s="164"/>
      <c r="DQ75" s="164"/>
      <c r="DR75" s="164"/>
      <c r="DS75" s="164"/>
      <c r="DT75" s="164"/>
      <c r="DU75" s="164"/>
      <c r="DV75" s="164"/>
      <c r="DW75" s="164"/>
      <c r="DX75" s="164"/>
      <c r="DY75" s="164"/>
      <c r="DZ75" s="164"/>
      <c r="EA75" s="164"/>
      <c r="EB75" s="164"/>
      <c r="EC75" s="164"/>
      <c r="ED75" s="164"/>
      <c r="EE75" s="164"/>
      <c r="EF75" s="164"/>
      <c r="EG75" s="164"/>
      <c r="EH75" s="164"/>
      <c r="EI75" s="164"/>
      <c r="EJ75" s="164"/>
      <c r="EK75" s="164"/>
      <c r="EL75" s="164"/>
      <c r="EM75" s="164"/>
      <c r="EN75" s="164"/>
      <c r="EO75" s="164"/>
      <c r="EP75" s="164"/>
      <c r="EQ75" s="164"/>
      <c r="ER75" s="164"/>
      <c r="ES75" s="164"/>
      <c r="ET75" s="164"/>
      <c r="EU75" s="164"/>
      <c r="EV75" s="164"/>
      <c r="EW75" s="164"/>
      <c r="EX75" s="164"/>
      <c r="EY75" s="164"/>
      <c r="EZ75" s="164"/>
      <c r="FA75" s="164"/>
      <c r="FB75" s="164"/>
      <c r="FC75" s="164"/>
      <c r="FD75" s="164"/>
      <c r="FE75" s="164"/>
      <c r="FF75" s="164"/>
      <c r="FG75" s="164"/>
      <c r="FH75" s="164"/>
      <c r="FI75" s="164"/>
      <c r="FJ75" s="164"/>
      <c r="FK75" s="164"/>
      <c r="FL75" s="164"/>
      <c r="FM75" s="164"/>
      <c r="FN75" s="164"/>
      <c r="FO75" s="164"/>
      <c r="FP75" s="164"/>
      <c r="FQ75" s="164"/>
      <c r="FR75" s="164"/>
      <c r="FS75" s="164"/>
      <c r="FT75" s="164"/>
      <c r="FU75" s="164"/>
      <c r="FV75" s="164"/>
      <c r="FW75" s="164"/>
      <c r="FX75" s="164"/>
      <c r="FY75" s="164"/>
      <c r="FZ75" s="164"/>
      <c r="GA75" s="164"/>
      <c r="GB75" s="164"/>
      <c r="GC75" s="164"/>
      <c r="GD75" s="164"/>
      <c r="GE75" s="164"/>
      <c r="GF75" s="164"/>
      <c r="GG75" s="164"/>
      <c r="GH75" s="164"/>
      <c r="GI75" s="164"/>
      <c r="GJ75" s="164"/>
      <c r="GK75" s="164"/>
      <c r="GL75" s="164"/>
      <c r="GM75" s="164"/>
      <c r="GN75" s="164"/>
      <c r="GO75" s="164"/>
      <c r="GP75" s="164"/>
      <c r="GQ75" s="164"/>
      <c r="GR75" s="164"/>
      <c r="GS75" s="164"/>
      <c r="GT75" s="164"/>
      <c r="GU75" s="164"/>
      <c r="GV75" s="164"/>
      <c r="GW75" s="164"/>
      <c r="GX75" s="164"/>
      <c r="GY75" s="164"/>
      <c r="GZ75" s="164"/>
      <c r="HA75" s="164"/>
      <c r="HB75" s="164"/>
      <c r="HC75" s="164"/>
      <c r="HD75" s="164"/>
      <c r="HE75" s="164"/>
      <c r="HF75" s="164"/>
      <c r="HG75" s="164"/>
      <c r="HH75" s="164"/>
      <c r="HI75" s="164"/>
      <c r="HJ75" s="164"/>
      <c r="HK75" s="164"/>
      <c r="HL75" s="164"/>
      <c r="HM75" s="164"/>
      <c r="HN75" s="164"/>
      <c r="HO75" s="164"/>
      <c r="HP75" s="164"/>
      <c r="HQ75" s="164"/>
      <c r="HR75" s="164"/>
      <c r="HS75" s="164"/>
      <c r="HT75" s="164"/>
      <c r="HU75" s="164"/>
      <c r="HV75" s="164"/>
      <c r="HW75" s="164"/>
      <c r="HX75" s="164"/>
      <c r="HY75" s="164"/>
      <c r="HZ75" s="164"/>
      <c r="IA75" s="164"/>
      <c r="IB75" s="164"/>
      <c r="IC75" s="164"/>
      <c r="ID75" s="164"/>
      <c r="IE75" s="164"/>
      <c r="IF75" s="164"/>
      <c r="IG75" s="164"/>
      <c r="IH75" s="164"/>
      <c r="II75" s="164"/>
      <c r="IJ75" s="164"/>
      <c r="IK75" s="164"/>
      <c r="IL75" s="164"/>
      <c r="IM75" s="164"/>
      <c r="IN75" s="164"/>
      <c r="IO75" s="164"/>
      <c r="IP75" s="164"/>
      <c r="IQ75" s="164"/>
      <c r="IR75" s="164"/>
      <c r="IS75" s="164"/>
      <c r="IT75" s="164"/>
      <c r="IU75" s="164"/>
      <c r="IV75" s="164"/>
      <c r="IW75" s="164"/>
      <c r="IX75" s="164"/>
      <c r="IY75" s="164"/>
      <c r="IZ75" s="164"/>
      <c r="JA75" s="164"/>
      <c r="JB75" s="164"/>
      <c r="JC75" s="164"/>
      <c r="JD75" s="164"/>
      <c r="JE75" s="164"/>
      <c r="JF75" s="164"/>
      <c r="JG75" s="164"/>
      <c r="JH75" s="164"/>
      <c r="JI75" s="164"/>
      <c r="JJ75" s="164"/>
      <c r="JK75" s="164"/>
      <c r="JL75" s="164"/>
      <c r="JM75" s="164"/>
      <c r="JN75" s="164"/>
      <c r="JO75" s="164"/>
      <c r="JP75" s="164"/>
      <c r="JQ75" s="164"/>
      <c r="JR75" s="164"/>
      <c r="JS75" s="164"/>
      <c r="JT75" s="164"/>
      <c r="JU75" s="164"/>
      <c r="JV75" s="164"/>
      <c r="JW75" s="164"/>
      <c r="JX75" s="164"/>
      <c r="JY75" s="164"/>
      <c r="JZ75" s="164"/>
      <c r="KA75" s="164"/>
      <c r="KB75" s="164"/>
      <c r="KC75" s="164"/>
      <c r="KD75" s="164"/>
      <c r="KE75" s="164"/>
      <c r="KF75" s="164"/>
      <c r="KG75" s="164"/>
      <c r="KH75" s="164"/>
      <c r="KI75" s="164"/>
      <c r="KJ75" s="164"/>
      <c r="KK75" s="164"/>
      <c r="KL75" s="164"/>
      <c r="KM75" s="164"/>
      <c r="KN75" s="164"/>
      <c r="KO75" s="164"/>
      <c r="KP75" s="164"/>
      <c r="KQ75" s="164"/>
      <c r="KR75" s="164"/>
      <c r="KS75" s="164"/>
      <c r="KT75" s="164"/>
      <c r="KU75" s="164"/>
      <c r="KV75" s="164"/>
      <c r="KW75" s="164"/>
      <c r="KX75" s="164"/>
      <c r="KY75" s="164"/>
      <c r="KZ75" s="164"/>
      <c r="LA75" s="164"/>
      <c r="LB75" s="164"/>
      <c r="LC75" s="164"/>
      <c r="LD75" s="164"/>
      <c r="LE75" s="164"/>
      <c r="LF75" s="164"/>
      <c r="LG75" s="164"/>
      <c r="LH75" s="164"/>
      <c r="LI75" s="164"/>
      <c r="LJ75" s="164"/>
      <c r="LK75" s="164"/>
      <c r="LL75" s="164"/>
      <c r="LM75" s="164"/>
      <c r="LN75" s="164"/>
      <c r="LO75" s="164"/>
      <c r="LP75" s="164"/>
      <c r="LQ75" s="164"/>
      <c r="LR75" s="164"/>
      <c r="LS75" s="164"/>
      <c r="LT75" s="164"/>
      <c r="LU75" s="164"/>
      <c r="LV75" s="164"/>
      <c r="LW75" s="164"/>
      <c r="LX75" s="164"/>
      <c r="LY75" s="164"/>
      <c r="LZ75" s="164"/>
      <c r="MA75" s="164"/>
      <c r="MB75" s="164"/>
      <c r="MC75" s="164"/>
      <c r="MD75" s="164"/>
      <c r="ME75" s="164"/>
      <c r="MF75" s="164"/>
      <c r="MG75" s="164"/>
      <c r="MH75" s="164"/>
      <c r="MI75" s="164"/>
      <c r="MJ75" s="164"/>
      <c r="MK75" s="164"/>
      <c r="ML75" s="164"/>
      <c r="MM75" s="164"/>
      <c r="MN75" s="164"/>
      <c r="MO75" s="164"/>
      <c r="MP75" s="164"/>
      <c r="MQ75" s="164"/>
      <c r="MR75" s="164"/>
      <c r="MS75" s="164"/>
      <c r="MT75" s="164"/>
      <c r="MU75" s="164"/>
      <c r="MV75" s="164"/>
      <c r="MW75" s="164"/>
      <c r="MX75" s="164"/>
      <c r="MY75" s="164"/>
      <c r="MZ75" s="164"/>
      <c r="NA75" s="164"/>
      <c r="NB75" s="164"/>
      <c r="NC75" s="164"/>
      <c r="ND75" s="164"/>
      <c r="NE75" s="164"/>
      <c r="NF75" s="164"/>
      <c r="NG75" s="164"/>
      <c r="NH75" s="164"/>
      <c r="NI75" s="164"/>
      <c r="NJ75" s="164"/>
      <c r="NK75" s="164"/>
      <c r="NL75" s="164"/>
      <c r="NM75" s="164"/>
      <c r="NN75" s="164"/>
      <c r="NO75" s="164"/>
      <c r="NP75" s="164"/>
      <c r="NQ75" s="164"/>
      <c r="NR75" s="164"/>
      <c r="NS75" s="164"/>
      <c r="NT75" s="164"/>
      <c r="NU75" s="164"/>
      <c r="NV75" s="164"/>
      <c r="NW75" s="164"/>
      <c r="NX75" s="164"/>
      <c r="NY75" s="164"/>
      <c r="NZ75" s="164"/>
      <c r="OA75" s="164"/>
      <c r="OB75" s="164"/>
      <c r="OC75" s="164"/>
      <c r="OD75" s="164"/>
      <c r="OE75" s="164"/>
      <c r="OF75" s="164"/>
      <c r="OG75" s="164"/>
      <c r="OH75" s="164"/>
      <c r="OI75" s="164"/>
      <c r="OJ75" s="164"/>
      <c r="OK75" s="164"/>
      <c r="OL75" s="164"/>
      <c r="OM75" s="164"/>
      <c r="ON75" s="164"/>
      <c r="OO75" s="164"/>
      <c r="OP75" s="164"/>
      <c r="OQ75" s="164"/>
      <c r="OR75" s="164"/>
      <c r="OS75" s="164"/>
      <c r="OT75" s="164"/>
      <c r="OU75" s="164"/>
      <c r="OV75" s="164"/>
      <c r="OW75" s="164"/>
      <c r="OX75" s="164"/>
      <c r="OY75" s="164"/>
      <c r="OZ75" s="164"/>
      <c r="PA75" s="164"/>
      <c r="PB75" s="164"/>
      <c r="PC75" s="164"/>
      <c r="PD75" s="164"/>
      <c r="PE75" s="164"/>
      <c r="PF75" s="164"/>
      <c r="PG75" s="164"/>
      <c r="PH75" s="164"/>
      <c r="PI75" s="164"/>
      <c r="PJ75" s="164"/>
      <c r="PK75" s="164"/>
      <c r="PL75" s="164"/>
      <c r="PM75" s="164"/>
      <c r="PN75" s="164"/>
      <c r="PO75" s="164"/>
      <c r="PP75" s="164"/>
      <c r="PQ75" s="164"/>
      <c r="PR75" s="164"/>
      <c r="PS75" s="164"/>
      <c r="PT75" s="164"/>
      <c r="PU75" s="164"/>
      <c r="PV75" s="164"/>
      <c r="PW75" s="164"/>
      <c r="PX75" s="164"/>
      <c r="PY75" s="164"/>
      <c r="PZ75" s="164"/>
      <c r="QA75" s="164"/>
      <c r="QB75" s="164"/>
      <c r="QC75" s="164"/>
      <c r="QD75" s="164"/>
      <c r="QE75" s="164"/>
      <c r="QF75" s="164"/>
      <c r="QG75" s="164"/>
      <c r="QH75" s="164"/>
      <c r="QI75" s="164"/>
      <c r="QJ75" s="164"/>
      <c r="QK75" s="164"/>
      <c r="QL75" s="164"/>
      <c r="QM75" s="164"/>
      <c r="QN75" s="164"/>
      <c r="QO75" s="164"/>
      <c r="QP75" s="164"/>
      <c r="QQ75" s="164"/>
      <c r="QR75" s="164"/>
      <c r="QS75" s="164"/>
      <c r="QT75" s="164"/>
      <c r="QU75" s="164"/>
      <c r="QV75" s="164"/>
      <c r="QW75" s="164"/>
      <c r="QX75" s="164"/>
      <c r="QY75" s="164"/>
      <c r="QZ75" s="164"/>
      <c r="RA75" s="164"/>
      <c r="RB75" s="164"/>
      <c r="RC75" s="164"/>
      <c r="RD75" s="164"/>
      <c r="RE75" s="164"/>
      <c r="RF75" s="164"/>
      <c r="RG75" s="164"/>
      <c r="RH75" s="164"/>
      <c r="RI75" s="164"/>
      <c r="RJ75" s="164"/>
      <c r="RK75" s="164"/>
      <c r="RL75" s="164"/>
      <c r="RM75" s="164"/>
      <c r="RN75" s="164"/>
      <c r="RO75" s="164"/>
      <c r="RP75" s="164"/>
      <c r="RQ75" s="164"/>
      <c r="RR75" s="164"/>
      <c r="RS75" s="164"/>
      <c r="RT75" s="164"/>
      <c r="RU75" s="164"/>
      <c r="RV75" s="164"/>
      <c r="RW75" s="164"/>
      <c r="RX75" s="164"/>
      <c r="RY75" s="164"/>
      <c r="RZ75" s="164"/>
      <c r="SA75" s="164"/>
      <c r="SB75" s="164"/>
      <c r="SC75" s="164"/>
      <c r="SD75" s="164"/>
      <c r="SE75" s="164"/>
      <c r="SF75" s="164"/>
      <c r="SG75" s="164"/>
      <c r="SH75" s="164"/>
      <c r="SI75" s="164"/>
      <c r="SJ75" s="164"/>
      <c r="SK75" s="164"/>
      <c r="SL75" s="164"/>
      <c r="SM75" s="164"/>
      <c r="SN75" s="164"/>
      <c r="SO75" s="164"/>
      <c r="SP75" s="164"/>
      <c r="SQ75" s="164"/>
      <c r="SR75" s="164"/>
      <c r="SS75" s="164"/>
      <c r="ST75" s="164"/>
      <c r="SU75" s="164"/>
      <c r="SV75" s="164"/>
      <c r="SW75" s="164"/>
      <c r="SX75" s="164"/>
      <c r="SY75" s="164"/>
      <c r="SZ75" s="164"/>
      <c r="TA75" s="164"/>
      <c r="TB75" s="164"/>
      <c r="TC75" s="164"/>
      <c r="TD75" s="164"/>
      <c r="TE75" s="164"/>
      <c r="TF75" s="164"/>
      <c r="TG75" s="164"/>
      <c r="TH75" s="164"/>
      <c r="TI75" s="164"/>
      <c r="TJ75" s="164"/>
      <c r="TK75" s="164"/>
      <c r="TL75" s="164"/>
      <c r="TM75" s="164"/>
      <c r="TN75" s="164"/>
      <c r="TO75" s="164"/>
      <c r="TP75" s="164"/>
      <c r="TQ75" s="164"/>
      <c r="TR75" s="164"/>
      <c r="TS75" s="164"/>
      <c r="TT75" s="164"/>
      <c r="TU75" s="164"/>
      <c r="TV75" s="164"/>
      <c r="TW75" s="164"/>
      <c r="TX75" s="164"/>
      <c r="TY75" s="164"/>
      <c r="TZ75" s="164"/>
      <c r="UA75" s="164"/>
      <c r="UB75" s="164"/>
      <c r="UC75" s="164"/>
      <c r="UD75" s="164"/>
      <c r="UE75" s="164"/>
      <c r="UF75" s="164"/>
      <c r="UG75" s="164"/>
      <c r="UH75" s="164"/>
      <c r="UI75" s="164"/>
      <c r="UJ75" s="164"/>
      <c r="UK75" s="164"/>
      <c r="UL75" s="164"/>
      <c r="UM75" s="164"/>
      <c r="UN75" s="164"/>
      <c r="UO75" s="164"/>
      <c r="UP75" s="164"/>
      <c r="UQ75" s="164"/>
      <c r="UR75" s="164"/>
      <c r="US75" s="164"/>
      <c r="UT75" s="164"/>
      <c r="UU75" s="164"/>
      <c r="UV75" s="164"/>
      <c r="UW75" s="164"/>
      <c r="UX75" s="164"/>
      <c r="UY75" s="164"/>
      <c r="UZ75" s="164"/>
      <c r="VA75" s="164"/>
      <c r="VB75" s="164"/>
      <c r="VC75" s="164"/>
      <c r="VD75" s="164"/>
      <c r="VE75" s="164"/>
      <c r="VF75" s="164"/>
      <c r="VG75" s="164"/>
      <c r="VH75" s="164"/>
      <c r="VI75" s="164"/>
      <c r="VJ75" s="164"/>
      <c r="VK75" s="164"/>
      <c r="VL75" s="164"/>
      <c r="VM75" s="164"/>
      <c r="VN75" s="164"/>
      <c r="VO75" s="164"/>
      <c r="VP75" s="164"/>
      <c r="VQ75" s="164"/>
      <c r="VR75" s="164"/>
      <c r="VS75" s="164"/>
      <c r="VT75" s="164"/>
      <c r="VU75" s="164"/>
      <c r="VV75" s="164"/>
      <c r="VW75" s="164"/>
      <c r="VX75" s="164"/>
      <c r="VY75" s="164"/>
      <c r="VZ75" s="164"/>
      <c r="WA75" s="164"/>
      <c r="WB75" s="164"/>
      <c r="WC75" s="164"/>
      <c r="WD75" s="164"/>
      <c r="WE75" s="164"/>
      <c r="WF75" s="164"/>
      <c r="WG75" s="164"/>
      <c r="WH75" s="164"/>
      <c r="WI75" s="164"/>
      <c r="WJ75" s="164"/>
      <c r="WK75" s="164"/>
      <c r="WL75" s="164"/>
      <c r="WM75" s="164"/>
      <c r="WN75" s="164"/>
      <c r="WO75" s="164"/>
      <c r="WP75" s="164"/>
      <c r="WQ75" s="164"/>
      <c r="WR75" s="164"/>
      <c r="WS75" s="164"/>
      <c r="WT75" s="164"/>
      <c r="WU75" s="164"/>
      <c r="WV75" s="164"/>
      <c r="WW75" s="164"/>
      <c r="WX75" s="164"/>
      <c r="WY75" s="164"/>
      <c r="WZ75" s="164"/>
      <c r="XA75" s="164"/>
      <c r="XB75" s="164"/>
      <c r="XC75" s="164"/>
      <c r="XD75" s="164"/>
      <c r="XE75" s="164"/>
      <c r="XF75" s="164"/>
      <c r="XG75" s="164"/>
      <c r="XH75" s="164"/>
      <c r="XI75" s="164"/>
      <c r="XJ75" s="164"/>
      <c r="XK75" s="164"/>
      <c r="XL75" s="164"/>
      <c r="XM75" s="164"/>
      <c r="XN75" s="164"/>
      <c r="XO75" s="164"/>
      <c r="XP75" s="164"/>
      <c r="XQ75" s="164"/>
      <c r="XR75" s="164"/>
      <c r="XS75" s="164"/>
      <c r="XT75" s="164"/>
      <c r="XU75" s="164"/>
      <c r="XV75" s="164"/>
      <c r="XW75" s="164"/>
      <c r="XX75" s="164"/>
      <c r="XY75" s="164"/>
      <c r="XZ75" s="164"/>
      <c r="YA75" s="164"/>
      <c r="YB75" s="164"/>
      <c r="YC75" s="164"/>
      <c r="YD75" s="164"/>
      <c r="YE75" s="164"/>
      <c r="YF75" s="164"/>
      <c r="YG75" s="164"/>
      <c r="YH75" s="164"/>
      <c r="YI75" s="164"/>
      <c r="YJ75" s="164"/>
      <c r="YK75" s="164"/>
      <c r="YL75" s="164"/>
      <c r="YM75" s="164"/>
      <c r="YN75" s="164"/>
      <c r="YO75" s="164"/>
      <c r="YP75" s="164"/>
      <c r="YQ75" s="164"/>
      <c r="YR75" s="164"/>
      <c r="YS75" s="164"/>
      <c r="YT75" s="164"/>
      <c r="YU75" s="164"/>
      <c r="YV75" s="164"/>
      <c r="YW75" s="164"/>
      <c r="YX75" s="164"/>
      <c r="YY75" s="164"/>
      <c r="YZ75" s="164"/>
      <c r="ZA75" s="164"/>
      <c r="ZB75" s="164"/>
      <c r="ZC75" s="164"/>
      <c r="ZD75" s="164"/>
      <c r="ZE75" s="164"/>
      <c r="ZF75" s="164"/>
      <c r="ZG75" s="164"/>
      <c r="ZH75" s="164"/>
      <c r="ZI75" s="164"/>
      <c r="ZJ75" s="164"/>
      <c r="ZK75" s="164"/>
      <c r="ZL75" s="164"/>
      <c r="ZM75" s="164"/>
      <c r="ZN75" s="164"/>
      <c r="ZO75" s="164"/>
      <c r="ZP75" s="164"/>
      <c r="ZQ75" s="164"/>
      <c r="ZR75" s="164"/>
      <c r="ZS75" s="164"/>
      <c r="ZT75" s="164"/>
      <c r="ZU75" s="164"/>
      <c r="ZV75" s="164"/>
      <c r="ZW75" s="164"/>
      <c r="ZX75" s="164"/>
      <c r="ZY75" s="164"/>
      <c r="ZZ75" s="164"/>
      <c r="AAA75" s="164"/>
      <c r="AAB75" s="164"/>
      <c r="AAC75" s="164"/>
      <c r="AAD75" s="164"/>
      <c r="AAE75" s="164"/>
      <c r="AAF75" s="164"/>
      <c r="AAG75" s="164"/>
      <c r="AAH75" s="164"/>
      <c r="AAI75" s="164"/>
      <c r="AAJ75" s="164"/>
      <c r="AAK75" s="164"/>
      <c r="AAL75" s="164"/>
      <c r="AAM75" s="164"/>
      <c r="AAN75" s="164"/>
      <c r="AAO75" s="164"/>
      <c r="AAP75" s="164"/>
      <c r="AAQ75" s="164"/>
      <c r="AAR75" s="164"/>
      <c r="AAS75" s="164"/>
      <c r="AAT75" s="164"/>
      <c r="AAU75" s="164"/>
      <c r="AAV75" s="164"/>
      <c r="AAW75" s="164"/>
      <c r="AAX75" s="164"/>
      <c r="AAY75" s="164"/>
      <c r="AAZ75" s="164"/>
      <c r="ABA75" s="164"/>
      <c r="ABB75" s="164"/>
      <c r="ABC75" s="164"/>
      <c r="ABD75" s="164"/>
      <c r="ABE75" s="164"/>
      <c r="ABF75" s="164"/>
      <c r="ABG75" s="164"/>
      <c r="ABH75" s="164"/>
      <c r="ABI75" s="164"/>
      <c r="ABJ75" s="164"/>
      <c r="ABK75" s="164"/>
      <c r="ABL75" s="164"/>
      <c r="ABM75" s="164"/>
      <c r="ABN75" s="164"/>
      <c r="ABO75" s="164"/>
      <c r="ABP75" s="164"/>
      <c r="ABQ75" s="164"/>
      <c r="ABR75" s="164"/>
      <c r="ABS75" s="164"/>
      <c r="ABT75" s="164"/>
      <c r="ABU75" s="164"/>
      <c r="ABV75" s="164"/>
      <c r="ABW75" s="164"/>
      <c r="ABX75" s="164"/>
      <c r="ABY75" s="164"/>
      <c r="ABZ75" s="164"/>
      <c r="ACA75" s="164"/>
      <c r="ACB75" s="164"/>
      <c r="ACC75" s="164"/>
      <c r="ACD75" s="164"/>
      <c r="ACE75" s="164"/>
      <c r="ACF75" s="164"/>
      <c r="ACG75" s="164"/>
      <c r="ACH75" s="164"/>
      <c r="ACI75" s="164"/>
      <c r="ACJ75" s="164"/>
      <c r="ACK75" s="164"/>
      <c r="ACL75" s="164"/>
      <c r="ACM75" s="164"/>
      <c r="ACN75" s="164"/>
      <c r="ACO75" s="164"/>
      <c r="ACP75" s="164"/>
      <c r="ACQ75" s="164"/>
      <c r="ACR75" s="164"/>
      <c r="ACS75" s="164"/>
      <c r="ACT75" s="164"/>
      <c r="ACU75" s="164"/>
      <c r="ACV75" s="164"/>
      <c r="ACW75" s="164"/>
      <c r="ACX75" s="164"/>
      <c r="ACY75" s="164"/>
      <c r="ACZ75" s="164"/>
      <c r="ADA75" s="164"/>
      <c r="ADB75" s="164"/>
      <c r="ADC75" s="164"/>
      <c r="ADD75" s="164"/>
      <c r="ADE75" s="164"/>
      <c r="ADF75" s="164"/>
      <c r="ADG75" s="164"/>
      <c r="ADH75" s="164"/>
      <c r="ADI75" s="164"/>
      <c r="ADJ75" s="164"/>
      <c r="ADK75" s="164"/>
      <c r="ADL75" s="164"/>
      <c r="ADM75" s="164"/>
      <c r="ADN75" s="164"/>
      <c r="ADO75" s="164"/>
      <c r="ADP75" s="164"/>
      <c r="ADQ75" s="164"/>
      <c r="ADR75" s="164"/>
      <c r="ADS75" s="164"/>
      <c r="ADT75" s="164"/>
      <c r="ADU75" s="164"/>
      <c r="ADV75" s="164"/>
      <c r="ADW75" s="164"/>
      <c r="ADX75" s="164"/>
      <c r="ADY75" s="164"/>
      <c r="ADZ75" s="164"/>
      <c r="AEA75" s="164"/>
      <c r="AEB75" s="164"/>
      <c r="AEC75" s="164"/>
      <c r="AED75" s="164"/>
      <c r="AEE75" s="164"/>
      <c r="AEF75" s="164"/>
      <c r="AEG75" s="164"/>
      <c r="AEH75" s="164"/>
      <c r="AEI75" s="164"/>
      <c r="AEJ75" s="164"/>
      <c r="AEK75" s="164"/>
      <c r="AEL75" s="164"/>
      <c r="AEM75" s="164"/>
      <c r="AEN75" s="164"/>
      <c r="AEO75" s="164"/>
      <c r="AEP75" s="164"/>
      <c r="AEQ75" s="164"/>
      <c r="AER75" s="164"/>
      <c r="AES75" s="164"/>
      <c r="AET75" s="164"/>
      <c r="AEU75" s="164"/>
      <c r="AEV75" s="164"/>
      <c r="AEW75" s="164"/>
      <c r="AEX75" s="164"/>
      <c r="AEY75" s="164"/>
      <c r="AEZ75" s="164"/>
      <c r="AFA75" s="164"/>
      <c r="AFB75" s="164"/>
      <c r="AFC75" s="164"/>
      <c r="AFD75" s="164"/>
      <c r="AFE75" s="164"/>
      <c r="AFF75" s="164"/>
      <c r="AFG75" s="164"/>
      <c r="AFH75" s="164"/>
      <c r="AFI75" s="164"/>
      <c r="AFJ75" s="164"/>
      <c r="AFK75" s="164"/>
      <c r="AFL75" s="164"/>
      <c r="AFM75" s="164"/>
      <c r="AFN75" s="164"/>
      <c r="AFO75" s="164"/>
      <c r="AFP75" s="164"/>
      <c r="AFQ75" s="164"/>
      <c r="AFR75" s="164"/>
      <c r="AFS75" s="164"/>
      <c r="AFT75" s="164"/>
      <c r="AFU75" s="164"/>
      <c r="AFV75" s="164"/>
      <c r="AFW75" s="164"/>
      <c r="AFX75" s="164"/>
      <c r="AFY75" s="164"/>
      <c r="AFZ75" s="164"/>
      <c r="AGA75" s="164"/>
      <c r="AGB75" s="164"/>
      <c r="AGC75" s="164"/>
      <c r="AGD75" s="164"/>
      <c r="AGE75" s="164"/>
      <c r="AGF75" s="164"/>
      <c r="AGG75" s="164"/>
      <c r="AGH75" s="164"/>
      <c r="AGI75" s="164"/>
      <c r="AGJ75" s="164"/>
      <c r="AGK75" s="164"/>
      <c r="AGL75" s="164"/>
      <c r="AGM75" s="164"/>
      <c r="AGN75" s="164"/>
      <c r="AGO75" s="164"/>
      <c r="AGP75" s="164"/>
      <c r="AGQ75" s="164"/>
      <c r="AGR75" s="164"/>
      <c r="AGS75" s="164"/>
      <c r="AGT75" s="164"/>
      <c r="AGU75" s="164"/>
      <c r="AGV75" s="164"/>
      <c r="AGW75" s="164"/>
      <c r="AGX75" s="164"/>
      <c r="AGY75" s="164"/>
      <c r="AGZ75" s="164"/>
      <c r="AHA75" s="164"/>
      <c r="AHB75" s="164"/>
      <c r="AHC75" s="164"/>
      <c r="AHD75" s="164"/>
      <c r="AHE75" s="164"/>
      <c r="AHF75" s="164"/>
      <c r="AHG75" s="164"/>
      <c r="AHH75" s="164"/>
      <c r="AHI75" s="164"/>
      <c r="AHJ75" s="164"/>
      <c r="AHK75" s="164"/>
      <c r="AHL75" s="164"/>
      <c r="AHM75" s="164"/>
      <c r="AHN75" s="164"/>
      <c r="AHO75" s="164"/>
      <c r="AHP75" s="164"/>
      <c r="AHQ75" s="164"/>
      <c r="AHR75" s="164"/>
      <c r="AHS75" s="164"/>
      <c r="AHT75" s="164"/>
      <c r="AHU75" s="164"/>
      <c r="AHV75" s="164"/>
      <c r="AHW75" s="164"/>
      <c r="AHX75" s="164"/>
      <c r="AHY75" s="164"/>
      <c r="AHZ75" s="164"/>
      <c r="AIA75" s="164"/>
      <c r="AIB75" s="164"/>
      <c r="AIC75" s="164"/>
      <c r="AID75" s="164"/>
      <c r="AIE75" s="164"/>
      <c r="AIF75" s="164"/>
      <c r="AIG75" s="164"/>
      <c r="AIH75" s="164"/>
      <c r="AII75" s="164"/>
      <c r="AIJ75" s="164"/>
      <c r="AIK75" s="164"/>
      <c r="AIL75" s="164"/>
      <c r="AIM75" s="164"/>
      <c r="AIN75" s="164"/>
      <c r="AIO75" s="164"/>
      <c r="AIP75" s="164"/>
      <c r="AIQ75" s="164"/>
      <c r="AIR75" s="164"/>
      <c r="AIS75" s="164"/>
      <c r="AIT75" s="164"/>
      <c r="AIU75" s="164"/>
      <c r="AIV75" s="164"/>
      <c r="AIW75" s="164"/>
      <c r="AIX75" s="164"/>
      <c r="AIY75" s="164"/>
      <c r="AIZ75" s="164"/>
      <c r="AJA75" s="164"/>
      <c r="AJB75" s="164"/>
      <c r="AJC75" s="164"/>
      <c r="AJD75" s="164"/>
      <c r="AJE75" s="164"/>
      <c r="AJF75" s="164"/>
      <c r="AJG75" s="164"/>
      <c r="AJH75" s="164"/>
      <c r="AJI75" s="164"/>
      <c r="AJJ75" s="164"/>
      <c r="AJK75" s="164"/>
      <c r="AJL75" s="164"/>
      <c r="AJM75" s="164"/>
      <c r="AJN75" s="164"/>
      <c r="AJO75" s="164"/>
      <c r="AJP75" s="164"/>
      <c r="AJQ75" s="164"/>
      <c r="AJR75" s="164"/>
      <c r="AJS75" s="164"/>
      <c r="AJT75" s="164"/>
      <c r="AJU75" s="164"/>
      <c r="AJV75" s="164"/>
      <c r="AJW75" s="164"/>
      <c r="AJX75" s="164"/>
      <c r="AJY75" s="164"/>
      <c r="AJZ75" s="164"/>
      <c r="AKA75" s="164"/>
      <c r="AKB75" s="164"/>
      <c r="AKC75" s="164"/>
      <c r="AKD75" s="164"/>
      <c r="AKE75" s="164"/>
      <c r="AKF75" s="164"/>
      <c r="AKG75" s="164"/>
      <c r="AKH75" s="164"/>
      <c r="AKI75" s="164"/>
      <c r="AKJ75" s="164"/>
      <c r="AKK75" s="164"/>
      <c r="AKL75" s="164"/>
      <c r="AKM75" s="164"/>
      <c r="AKN75" s="164"/>
      <c r="AKO75" s="164"/>
      <c r="AKP75" s="164"/>
      <c r="AKQ75" s="164"/>
      <c r="AKR75" s="164"/>
      <c r="AKS75" s="164"/>
      <c r="AKT75" s="164"/>
      <c r="AKU75" s="164"/>
      <c r="AKV75" s="164"/>
      <c r="AKW75" s="164"/>
      <c r="AKX75" s="164"/>
      <c r="AKY75" s="164"/>
      <c r="AKZ75" s="164"/>
      <c r="ALA75" s="164"/>
      <c r="ALB75" s="164"/>
      <c r="ALC75" s="164"/>
      <c r="ALD75" s="164"/>
      <c r="ALE75" s="164"/>
      <c r="ALF75" s="164"/>
      <c r="ALG75" s="164"/>
      <c r="ALH75" s="164"/>
      <c r="ALI75" s="164"/>
      <c r="ALJ75" s="164"/>
      <c r="ALK75" s="164"/>
      <c r="ALL75" s="164"/>
      <c r="ALM75" s="164"/>
      <c r="ALN75" s="164"/>
      <c r="ALO75" s="164"/>
      <c r="ALP75" s="164"/>
      <c r="ALQ75" s="164"/>
      <c r="ALR75" s="164"/>
      <c r="ALS75" s="164"/>
      <c r="ALT75" s="164"/>
      <c r="ALU75" s="164"/>
      <c r="ALV75" s="164"/>
      <c r="ALW75" s="164"/>
      <c r="ALX75" s="164"/>
      <c r="ALY75" s="164"/>
      <c r="ALZ75" s="164"/>
      <c r="AMA75" s="164"/>
      <c r="AMB75" s="164"/>
      <c r="AMC75" s="164"/>
      <c r="AMD75" s="164"/>
      <c r="AME75" s="164"/>
      <c r="AMF75" s="164"/>
      <c r="AMG75" s="164"/>
      <c r="AMH75" s="164"/>
      <c r="AMI75" s="164"/>
      <c r="AMJ75" s="164"/>
      <c r="AMK75" s="164"/>
      <c r="AML75" s="164"/>
      <c r="AMM75" s="164"/>
      <c r="AMN75" s="164"/>
      <c r="AMO75" s="164"/>
      <c r="AMP75" s="164"/>
      <c r="AMQ75" s="164"/>
      <c r="AMR75" s="164"/>
      <c r="AMS75" s="164"/>
      <c r="AMT75" s="164"/>
      <c r="AMU75" s="164"/>
      <c r="AMV75" s="164"/>
      <c r="AMW75" s="164"/>
      <c r="AMX75" s="164"/>
      <c r="AMY75" s="164"/>
      <c r="AMZ75" s="164"/>
      <c r="ANA75" s="164"/>
      <c r="ANB75" s="164"/>
      <c r="ANC75" s="164"/>
      <c r="AND75" s="164"/>
      <c r="ANE75" s="164"/>
      <c r="ANF75" s="164"/>
      <c r="ANG75" s="164"/>
      <c r="ANH75" s="164"/>
      <c r="ANI75" s="164"/>
      <c r="ANJ75" s="164"/>
      <c r="ANK75" s="164"/>
      <c r="ANL75" s="164"/>
      <c r="ANM75" s="164"/>
      <c r="ANN75" s="164"/>
      <c r="ANO75" s="164"/>
      <c r="ANP75" s="164"/>
      <c r="ANQ75" s="164"/>
      <c r="ANR75" s="164"/>
      <c r="ANS75" s="164"/>
      <c r="ANT75" s="164"/>
      <c r="ANU75" s="164"/>
      <c r="ANV75" s="164"/>
      <c r="ANW75" s="164"/>
      <c r="ANX75" s="164"/>
      <c r="ANY75" s="164"/>
      <c r="ANZ75" s="164"/>
      <c r="AOA75" s="164"/>
      <c r="AOB75" s="164"/>
      <c r="AOC75" s="164"/>
      <c r="AOD75" s="164"/>
      <c r="AOE75" s="164"/>
      <c r="AOF75" s="164"/>
      <c r="AOG75" s="164"/>
      <c r="AOH75" s="164"/>
      <c r="AOI75" s="164"/>
      <c r="AOJ75" s="164"/>
      <c r="AOK75" s="164"/>
      <c r="AOL75" s="164"/>
      <c r="AOM75" s="164"/>
      <c r="AON75" s="164"/>
      <c r="AOO75" s="164"/>
      <c r="AOP75" s="164"/>
      <c r="AOQ75" s="164"/>
      <c r="AOR75" s="164"/>
      <c r="AOS75" s="164"/>
      <c r="AOT75" s="164"/>
      <c r="AOU75" s="164"/>
      <c r="AOV75" s="164"/>
      <c r="AOW75" s="164"/>
      <c r="AOX75" s="164"/>
      <c r="AOY75" s="164"/>
      <c r="AOZ75" s="164"/>
      <c r="APA75" s="164"/>
      <c r="APB75" s="164"/>
      <c r="APC75" s="164"/>
      <c r="APD75" s="164"/>
      <c r="APE75" s="164"/>
      <c r="APF75" s="164"/>
      <c r="APG75" s="164"/>
      <c r="APH75" s="164"/>
      <c r="API75" s="164"/>
      <c r="APJ75" s="164"/>
      <c r="APK75" s="164"/>
      <c r="APL75" s="164"/>
      <c r="APM75" s="164"/>
      <c r="APN75" s="164"/>
      <c r="APO75" s="164"/>
      <c r="APP75" s="164"/>
      <c r="APQ75" s="164"/>
      <c r="APR75" s="164"/>
      <c r="APS75" s="164"/>
      <c r="APT75" s="164"/>
      <c r="APU75" s="164"/>
      <c r="APV75" s="164"/>
      <c r="APW75" s="164"/>
      <c r="APX75" s="164"/>
      <c r="APY75" s="164"/>
      <c r="APZ75" s="164"/>
      <c r="AQA75" s="164"/>
      <c r="AQB75" s="164"/>
      <c r="AQC75" s="164"/>
      <c r="AQD75" s="164"/>
      <c r="AQE75" s="164"/>
      <c r="AQF75" s="164"/>
      <c r="AQG75" s="164"/>
      <c r="AQH75" s="164"/>
      <c r="AQI75" s="164"/>
      <c r="AQJ75" s="164"/>
      <c r="AQK75" s="164"/>
      <c r="AQL75" s="164"/>
      <c r="AQM75" s="164"/>
      <c r="AQN75" s="164"/>
      <c r="AQO75" s="164"/>
      <c r="AQP75" s="164"/>
      <c r="AQQ75" s="164"/>
      <c r="AQR75" s="164"/>
      <c r="AQS75" s="164"/>
      <c r="AQT75" s="164"/>
      <c r="AQU75" s="164"/>
      <c r="AQV75" s="164"/>
      <c r="AQW75" s="164"/>
      <c r="AQX75" s="164"/>
      <c r="AQY75" s="164"/>
      <c r="AQZ75" s="164"/>
      <c r="ARA75" s="164"/>
      <c r="ARB75" s="164"/>
      <c r="ARC75" s="164"/>
      <c r="ARD75" s="164"/>
      <c r="ARE75" s="164"/>
      <c r="ARF75" s="164"/>
      <c r="ARG75" s="164"/>
      <c r="ARH75" s="164"/>
      <c r="ARI75" s="164"/>
      <c r="ARJ75" s="164"/>
      <c r="ARK75" s="164"/>
      <c r="ARL75" s="164"/>
      <c r="ARM75" s="164"/>
      <c r="ARN75" s="164"/>
      <c r="ARO75" s="164"/>
      <c r="ARP75" s="164"/>
      <c r="ARQ75" s="164"/>
      <c r="ARR75" s="164"/>
      <c r="ARS75" s="164"/>
      <c r="ART75" s="164"/>
      <c r="ARU75" s="164"/>
      <c r="ARV75" s="164"/>
      <c r="ARW75" s="164"/>
      <c r="ARX75" s="164"/>
      <c r="ARY75" s="164"/>
      <c r="ARZ75" s="164"/>
      <c r="ASA75" s="164"/>
      <c r="ASB75" s="164"/>
      <c r="ASC75" s="164"/>
      <c r="ASD75" s="164"/>
      <c r="ASE75" s="164"/>
      <c r="ASF75" s="164"/>
      <c r="ASG75" s="164"/>
      <c r="ASH75" s="164"/>
      <c r="ASI75" s="164"/>
      <c r="ASJ75" s="164"/>
      <c r="ASK75" s="164"/>
      <c r="ASL75" s="164"/>
      <c r="ASM75" s="164"/>
      <c r="ASN75" s="164"/>
      <c r="ASO75" s="164"/>
      <c r="ASP75" s="164"/>
      <c r="ASQ75" s="164"/>
      <c r="ASR75" s="164"/>
      <c r="ASS75" s="164"/>
      <c r="AST75" s="164"/>
      <c r="ASU75" s="164"/>
      <c r="ASV75" s="164"/>
      <c r="ASW75" s="164"/>
      <c r="ASX75" s="164"/>
      <c r="ASY75" s="164"/>
      <c r="ASZ75" s="164"/>
      <c r="ATA75" s="164"/>
      <c r="ATB75" s="164"/>
      <c r="ATC75" s="164"/>
      <c r="ATD75" s="164"/>
      <c r="ATE75" s="164"/>
      <c r="ATF75" s="164"/>
      <c r="ATG75" s="164"/>
      <c r="ATH75" s="164"/>
      <c r="ATI75" s="164"/>
      <c r="ATJ75" s="164"/>
      <c r="ATK75" s="164"/>
      <c r="ATL75" s="164"/>
      <c r="ATM75" s="164"/>
      <c r="ATN75" s="164"/>
      <c r="ATO75" s="164"/>
      <c r="ATP75" s="164"/>
      <c r="ATQ75" s="164"/>
      <c r="ATR75" s="164"/>
      <c r="ATS75" s="164"/>
      <c r="ATT75" s="164"/>
      <c r="ATU75" s="164"/>
      <c r="ATV75" s="164"/>
      <c r="ATW75" s="164"/>
      <c r="ATX75" s="164"/>
      <c r="ATY75" s="164"/>
      <c r="ATZ75" s="164"/>
      <c r="AUA75" s="164"/>
      <c r="AUB75" s="164"/>
      <c r="AUC75" s="164"/>
      <c r="AUD75" s="164"/>
      <c r="AUE75" s="164"/>
      <c r="AUF75" s="164"/>
      <c r="AUG75" s="164"/>
      <c r="AUH75" s="164"/>
      <c r="AUI75" s="164"/>
      <c r="AUJ75" s="164"/>
      <c r="AUK75" s="164"/>
      <c r="AUL75" s="164"/>
      <c r="AUM75" s="164"/>
      <c r="AUN75" s="164"/>
      <c r="AUO75" s="164"/>
      <c r="AUP75" s="164"/>
      <c r="AUQ75" s="164"/>
      <c r="AUR75" s="164"/>
      <c r="AUS75" s="164"/>
      <c r="AUT75" s="164"/>
      <c r="AUU75" s="164"/>
      <c r="AUV75" s="164"/>
      <c r="AUW75" s="164"/>
      <c r="AUX75" s="164"/>
      <c r="AUY75" s="164"/>
      <c r="AUZ75" s="164"/>
      <c r="AVA75" s="164"/>
      <c r="AVB75" s="164"/>
      <c r="AVC75" s="164"/>
      <c r="AVD75" s="164"/>
      <c r="AVE75" s="164"/>
      <c r="AVF75" s="164"/>
      <c r="AVG75" s="164"/>
      <c r="AVH75" s="164"/>
      <c r="AVI75" s="164"/>
      <c r="AVJ75" s="164"/>
      <c r="AVK75" s="164"/>
      <c r="AVL75" s="164"/>
      <c r="AVM75" s="164"/>
      <c r="AVN75" s="164"/>
      <c r="AVO75" s="164"/>
      <c r="AVP75" s="164"/>
      <c r="AVQ75" s="164"/>
      <c r="AVR75" s="164"/>
      <c r="AVS75" s="164"/>
      <c r="AVT75" s="164"/>
      <c r="AVU75" s="164"/>
      <c r="AVV75" s="164"/>
      <c r="AVW75" s="164"/>
      <c r="AVX75" s="164"/>
      <c r="AVY75" s="164"/>
      <c r="AVZ75" s="164"/>
      <c r="AWA75" s="164"/>
      <c r="AWB75" s="164"/>
      <c r="AWC75" s="164"/>
      <c r="AWD75" s="164"/>
      <c r="AWE75" s="164"/>
      <c r="AWF75" s="164"/>
      <c r="AWG75" s="164"/>
      <c r="AWH75" s="164"/>
      <c r="AWI75" s="164"/>
      <c r="AWJ75" s="164"/>
      <c r="AWK75" s="164"/>
      <c r="AWL75" s="164"/>
      <c r="AWM75" s="164"/>
      <c r="AWN75" s="164"/>
      <c r="AWO75" s="164"/>
      <c r="AWP75" s="164"/>
      <c r="AWQ75" s="164"/>
      <c r="AWR75" s="164"/>
      <c r="AWS75" s="164"/>
      <c r="AWT75" s="164"/>
      <c r="AWU75" s="164"/>
      <c r="AWV75" s="164"/>
      <c r="AWW75" s="164"/>
      <c r="AWX75" s="164"/>
      <c r="AWY75" s="164"/>
      <c r="AWZ75" s="164"/>
      <c r="AXA75" s="164"/>
      <c r="AXB75" s="164"/>
      <c r="AXC75" s="164"/>
      <c r="AXD75" s="164"/>
      <c r="AXE75" s="164"/>
      <c r="AXF75" s="164"/>
      <c r="AXG75" s="164"/>
      <c r="AXH75" s="164"/>
      <c r="AXI75" s="164"/>
      <c r="AXJ75" s="164"/>
      <c r="AXK75" s="164"/>
      <c r="AXL75" s="164"/>
      <c r="AXM75" s="164"/>
      <c r="AXN75" s="164"/>
      <c r="AXO75" s="164"/>
      <c r="AXP75" s="164"/>
      <c r="AXQ75" s="164"/>
      <c r="AXR75" s="164"/>
      <c r="AXS75" s="164"/>
      <c r="AXT75" s="164"/>
      <c r="AXU75" s="164"/>
      <c r="AXV75" s="164"/>
      <c r="AXW75" s="164"/>
      <c r="AXX75" s="164"/>
      <c r="AXY75" s="164"/>
      <c r="AXZ75" s="164"/>
      <c r="AYA75" s="164"/>
      <c r="AYB75" s="164"/>
      <c r="AYC75" s="164"/>
      <c r="AYD75" s="164"/>
      <c r="AYE75" s="164"/>
      <c r="AYF75" s="164"/>
      <c r="AYG75" s="164"/>
      <c r="AYH75" s="164"/>
      <c r="AYI75" s="164"/>
      <c r="AYJ75" s="164"/>
      <c r="AYK75" s="164"/>
      <c r="AYL75" s="164"/>
      <c r="AYM75" s="164"/>
      <c r="AYN75" s="164"/>
      <c r="AYO75" s="164"/>
      <c r="AYP75" s="164"/>
      <c r="AYQ75" s="164"/>
      <c r="AYR75" s="164"/>
      <c r="AYS75" s="164"/>
      <c r="AYT75" s="164"/>
      <c r="AYU75" s="164"/>
      <c r="AYV75" s="164"/>
      <c r="AYW75" s="164"/>
      <c r="AYX75" s="164"/>
      <c r="AYY75" s="164"/>
      <c r="AYZ75" s="164"/>
      <c r="AZA75" s="164"/>
      <c r="AZB75" s="164"/>
      <c r="AZC75" s="164"/>
      <c r="AZD75" s="164"/>
      <c r="AZE75" s="164"/>
      <c r="AZF75" s="164"/>
      <c r="AZG75" s="164"/>
      <c r="AZH75" s="164"/>
      <c r="AZI75" s="164"/>
      <c r="AZJ75" s="164"/>
      <c r="AZK75" s="164"/>
      <c r="AZL75" s="164"/>
      <c r="AZM75" s="164"/>
      <c r="AZN75" s="164"/>
      <c r="AZO75" s="164"/>
      <c r="AZP75" s="164"/>
      <c r="AZQ75" s="164"/>
      <c r="AZR75" s="164"/>
      <c r="AZS75" s="164"/>
      <c r="AZT75" s="164"/>
      <c r="AZU75" s="164"/>
      <c r="AZV75" s="164"/>
      <c r="AZW75" s="164"/>
      <c r="AZX75" s="164"/>
      <c r="AZY75" s="164"/>
      <c r="AZZ75" s="164"/>
      <c r="BAA75" s="164"/>
      <c r="BAB75" s="164"/>
      <c r="BAC75" s="164"/>
      <c r="BAD75" s="164"/>
      <c r="BAE75" s="164"/>
      <c r="BAF75" s="164"/>
      <c r="BAG75" s="164"/>
      <c r="BAH75" s="164"/>
      <c r="BAI75" s="164"/>
      <c r="BAJ75" s="164"/>
      <c r="BAK75" s="164"/>
      <c r="BAL75" s="164"/>
      <c r="BAM75" s="164"/>
      <c r="BAN75" s="164"/>
      <c r="BAO75" s="164"/>
      <c r="BAP75" s="164"/>
      <c r="BAQ75" s="164"/>
      <c r="BAR75" s="164"/>
      <c r="BAS75" s="164"/>
      <c r="BAT75" s="164"/>
      <c r="BAU75" s="164"/>
      <c r="BAV75" s="164"/>
      <c r="BAW75" s="164"/>
      <c r="BAX75" s="164"/>
      <c r="BAY75" s="164"/>
      <c r="BAZ75" s="164"/>
      <c r="BBA75" s="164"/>
      <c r="BBB75" s="164"/>
      <c r="BBC75" s="164"/>
      <c r="BBD75" s="164"/>
      <c r="BBE75" s="164"/>
      <c r="BBF75" s="164"/>
      <c r="BBG75" s="164"/>
      <c r="BBH75" s="164"/>
      <c r="BBI75" s="164"/>
      <c r="BBJ75" s="164"/>
      <c r="BBK75" s="164"/>
      <c r="BBL75" s="164"/>
      <c r="BBM75" s="164"/>
      <c r="BBN75" s="164"/>
      <c r="BBO75" s="164"/>
      <c r="BBP75" s="164"/>
      <c r="BBQ75" s="164"/>
      <c r="BBR75" s="164"/>
      <c r="BBS75" s="164"/>
      <c r="BBT75" s="164"/>
      <c r="BBU75" s="164"/>
      <c r="BBV75" s="164"/>
      <c r="BBW75" s="164"/>
      <c r="BBX75" s="164"/>
      <c r="BBY75" s="164"/>
      <c r="BBZ75" s="164"/>
      <c r="BCA75" s="164"/>
      <c r="BCB75" s="164"/>
      <c r="BCC75" s="164"/>
      <c r="BCD75" s="164"/>
      <c r="BCE75" s="164"/>
      <c r="BCF75" s="164"/>
      <c r="BCG75" s="164"/>
      <c r="BCH75" s="164"/>
      <c r="BCI75" s="164"/>
      <c r="BCJ75" s="164"/>
      <c r="BCK75" s="164"/>
      <c r="BCL75" s="164"/>
      <c r="BCM75" s="164"/>
      <c r="BCN75" s="164"/>
      <c r="BCO75" s="164"/>
      <c r="BCP75" s="164"/>
      <c r="BCQ75" s="164"/>
      <c r="BCR75" s="164"/>
      <c r="BCS75" s="164"/>
      <c r="BCT75" s="164"/>
      <c r="BCU75" s="164"/>
      <c r="BCV75" s="164"/>
      <c r="BCW75" s="164"/>
      <c r="BCX75" s="164"/>
      <c r="BCY75" s="164"/>
      <c r="BCZ75" s="164"/>
      <c r="BDA75" s="164"/>
      <c r="BDB75" s="164"/>
      <c r="BDC75" s="164"/>
      <c r="BDD75" s="164"/>
      <c r="BDE75" s="164"/>
      <c r="BDF75" s="164"/>
      <c r="BDG75" s="164"/>
      <c r="BDH75" s="164"/>
      <c r="BDI75" s="164"/>
      <c r="BDJ75" s="164"/>
      <c r="BDK75" s="164"/>
      <c r="BDL75" s="164"/>
      <c r="BDM75" s="164"/>
      <c r="BDN75" s="164"/>
      <c r="BDO75" s="164"/>
      <c r="BDP75" s="164"/>
      <c r="BDQ75" s="164"/>
      <c r="BDR75" s="164"/>
      <c r="BDS75" s="164"/>
      <c r="BDT75" s="164"/>
      <c r="BDU75" s="164"/>
      <c r="BDV75" s="164"/>
      <c r="BDW75" s="164"/>
      <c r="BDX75" s="164"/>
      <c r="BDY75" s="164"/>
      <c r="BDZ75" s="164"/>
      <c r="BEA75" s="164"/>
      <c r="BEB75" s="164"/>
      <c r="BEC75" s="164"/>
      <c r="BED75" s="164"/>
      <c r="BEE75" s="164"/>
      <c r="BEF75" s="164"/>
      <c r="BEG75" s="164"/>
      <c r="BEH75" s="164"/>
      <c r="BEI75" s="164"/>
      <c r="BEJ75" s="164"/>
      <c r="BEK75" s="164"/>
      <c r="BEL75" s="164"/>
      <c r="BEM75" s="164"/>
      <c r="BEN75" s="164"/>
      <c r="BEO75" s="164"/>
      <c r="BEP75" s="164"/>
      <c r="BEQ75" s="164"/>
      <c r="BER75" s="164"/>
      <c r="BES75" s="164"/>
      <c r="BET75" s="164"/>
      <c r="BEU75" s="164"/>
      <c r="BEV75" s="164"/>
      <c r="BEW75" s="164"/>
      <c r="BEX75" s="164"/>
      <c r="BEY75" s="164"/>
      <c r="BEZ75" s="164"/>
      <c r="BFA75" s="164"/>
      <c r="BFB75" s="164"/>
      <c r="BFC75" s="164"/>
      <c r="BFD75" s="164"/>
      <c r="BFE75" s="164"/>
      <c r="BFF75" s="164"/>
      <c r="BFG75" s="164"/>
      <c r="BFH75" s="164"/>
      <c r="BFI75" s="164"/>
      <c r="BFJ75" s="164"/>
      <c r="BFK75" s="164"/>
      <c r="BFL75" s="164"/>
      <c r="BFM75" s="164"/>
      <c r="BFN75" s="164"/>
      <c r="BFO75" s="164"/>
      <c r="BFP75" s="164"/>
      <c r="BFQ75" s="164"/>
      <c r="BFR75" s="164"/>
      <c r="BFS75" s="164"/>
      <c r="BFT75" s="164"/>
      <c r="BFU75" s="164"/>
      <c r="BFV75" s="164"/>
      <c r="BFW75" s="164"/>
      <c r="BFX75" s="164"/>
      <c r="BFY75" s="164"/>
      <c r="BFZ75" s="164"/>
      <c r="BGA75" s="164"/>
      <c r="BGB75" s="164"/>
      <c r="BGC75" s="164"/>
      <c r="BGD75" s="164"/>
      <c r="BGE75" s="164"/>
      <c r="BGF75" s="164"/>
      <c r="BGG75" s="164"/>
      <c r="BGH75" s="164"/>
      <c r="BGI75" s="164"/>
      <c r="BGJ75" s="164"/>
      <c r="BGK75" s="164"/>
      <c r="BGL75" s="164"/>
      <c r="BGM75" s="164"/>
      <c r="BGN75" s="164"/>
      <c r="BGO75" s="164"/>
      <c r="BGP75" s="164"/>
      <c r="BGQ75" s="164"/>
      <c r="BGR75" s="164"/>
      <c r="BGS75" s="164"/>
      <c r="BGT75" s="164"/>
      <c r="BGU75" s="164"/>
      <c r="BGV75" s="164"/>
      <c r="BGW75" s="164"/>
      <c r="BGX75" s="164"/>
      <c r="BGY75" s="164"/>
      <c r="BGZ75" s="164"/>
      <c r="BHA75" s="164"/>
      <c r="BHB75" s="164"/>
      <c r="BHC75" s="164"/>
      <c r="BHD75" s="164"/>
      <c r="BHE75" s="164"/>
      <c r="BHF75" s="164"/>
      <c r="BHG75" s="164"/>
      <c r="BHH75" s="164"/>
      <c r="BHI75" s="164"/>
      <c r="BHJ75" s="164"/>
      <c r="BHK75" s="164"/>
      <c r="BHL75" s="164"/>
      <c r="BHM75" s="164"/>
      <c r="BHN75" s="164"/>
      <c r="BHO75" s="164"/>
      <c r="BHP75" s="164"/>
      <c r="BHQ75" s="164"/>
      <c r="BHR75" s="164"/>
      <c r="BHS75" s="164"/>
      <c r="BHT75" s="164"/>
      <c r="BHU75" s="164"/>
      <c r="BHV75" s="164"/>
      <c r="BHW75" s="164"/>
      <c r="BHX75" s="164"/>
      <c r="BHY75" s="164"/>
      <c r="BHZ75" s="164"/>
      <c r="BIA75" s="164"/>
      <c r="BIB75" s="164"/>
      <c r="BIC75" s="164"/>
      <c r="BID75" s="164"/>
      <c r="BIE75" s="164"/>
      <c r="BIF75" s="164"/>
      <c r="BIG75" s="164"/>
      <c r="BIH75" s="164"/>
      <c r="BII75" s="164"/>
      <c r="BIJ75" s="164"/>
      <c r="BIK75" s="164"/>
      <c r="BIL75" s="164"/>
      <c r="BIM75" s="164"/>
      <c r="BIN75" s="164"/>
      <c r="BIO75" s="164"/>
      <c r="BIP75" s="164"/>
      <c r="BIQ75" s="164"/>
      <c r="BIR75" s="164"/>
      <c r="BIS75" s="164"/>
      <c r="BIT75" s="164"/>
      <c r="BIU75" s="164"/>
      <c r="BIV75" s="164"/>
      <c r="BIW75" s="164"/>
      <c r="BIX75" s="164"/>
      <c r="BIY75" s="164"/>
      <c r="BIZ75" s="164"/>
      <c r="BJA75" s="164"/>
      <c r="BJB75" s="164"/>
      <c r="BJC75" s="164"/>
      <c r="BJD75" s="164"/>
      <c r="BJE75" s="164"/>
      <c r="BJF75" s="164"/>
      <c r="BJG75" s="164"/>
      <c r="BJH75" s="164"/>
      <c r="BJI75" s="164"/>
      <c r="BJJ75" s="164"/>
      <c r="BJK75" s="164"/>
      <c r="BJL75" s="164"/>
      <c r="BJM75" s="164"/>
      <c r="BJN75" s="164"/>
      <c r="BJO75" s="164"/>
      <c r="BJP75" s="164"/>
      <c r="BJQ75" s="164"/>
      <c r="BJR75" s="164"/>
      <c r="BJS75" s="164"/>
      <c r="BJT75" s="164"/>
      <c r="BJU75" s="164"/>
      <c r="BJV75" s="164"/>
      <c r="BJW75" s="164"/>
      <c r="BJX75" s="164"/>
      <c r="BJY75" s="164"/>
      <c r="BJZ75" s="164"/>
      <c r="BKA75" s="164"/>
      <c r="BKB75" s="164"/>
      <c r="BKC75" s="164"/>
      <c r="BKD75" s="164"/>
      <c r="BKE75" s="164"/>
      <c r="BKF75" s="164"/>
      <c r="BKG75" s="164"/>
      <c r="BKH75" s="164"/>
      <c r="BKI75" s="164"/>
      <c r="BKJ75" s="164"/>
      <c r="BKK75" s="164"/>
      <c r="BKL75" s="164"/>
      <c r="BKM75" s="164"/>
      <c r="BKN75" s="164"/>
      <c r="BKO75" s="164"/>
      <c r="BKP75" s="164"/>
      <c r="BKQ75" s="164"/>
      <c r="BKR75" s="164"/>
      <c r="BKS75" s="164"/>
      <c r="BKT75" s="164"/>
      <c r="BKU75" s="164"/>
      <c r="BKV75" s="164"/>
      <c r="BKW75" s="164"/>
      <c r="BKX75" s="164"/>
      <c r="BKY75" s="164"/>
      <c r="BKZ75" s="164"/>
      <c r="BLA75" s="164"/>
      <c r="BLB75" s="164"/>
      <c r="BLC75" s="164"/>
      <c r="BLD75" s="164"/>
      <c r="BLE75" s="164"/>
      <c r="BLF75" s="164"/>
      <c r="BLG75" s="164"/>
      <c r="BLH75" s="164"/>
      <c r="BLI75" s="164"/>
      <c r="BLJ75" s="164"/>
      <c r="BLK75" s="164"/>
      <c r="BLL75" s="164"/>
      <c r="BLM75" s="164"/>
      <c r="BLN75" s="164"/>
      <c r="BLO75" s="164"/>
      <c r="BLP75" s="164"/>
      <c r="BLQ75" s="164"/>
      <c r="BLR75" s="164"/>
      <c r="BLS75" s="164"/>
      <c r="BLT75" s="164"/>
      <c r="BLU75" s="164"/>
      <c r="BLV75" s="164"/>
      <c r="BLW75" s="164"/>
      <c r="BLX75" s="164"/>
      <c r="BLY75" s="164"/>
      <c r="BLZ75" s="164"/>
      <c r="BMA75" s="164"/>
      <c r="BMB75" s="164"/>
      <c r="BMC75" s="164"/>
      <c r="BMD75" s="164"/>
      <c r="BME75" s="164"/>
      <c r="BMF75" s="164"/>
      <c r="BMG75" s="164"/>
      <c r="BMH75" s="164"/>
      <c r="BMI75" s="164"/>
      <c r="BMJ75" s="164"/>
      <c r="BMK75" s="164"/>
      <c r="BML75" s="164"/>
      <c r="BMM75" s="164"/>
      <c r="BMN75" s="164"/>
      <c r="BMO75" s="164"/>
      <c r="BMP75" s="164"/>
      <c r="BMQ75" s="164"/>
      <c r="BMR75" s="164"/>
      <c r="BMS75" s="164"/>
      <c r="BMT75" s="164"/>
      <c r="BMU75" s="164"/>
      <c r="BMV75" s="164"/>
      <c r="BMW75" s="164"/>
      <c r="BMX75" s="164"/>
      <c r="BMY75" s="164"/>
      <c r="BMZ75" s="164"/>
      <c r="BNA75" s="164"/>
      <c r="BNB75" s="164"/>
      <c r="BNC75" s="164"/>
      <c r="BND75" s="164"/>
      <c r="BNE75" s="164"/>
      <c r="BNF75" s="164"/>
      <c r="BNG75" s="164"/>
      <c r="BNH75" s="164"/>
      <c r="BNI75" s="164"/>
      <c r="BNJ75" s="164"/>
      <c r="BNK75" s="164"/>
      <c r="BNL75" s="164"/>
      <c r="BNM75" s="164"/>
      <c r="BNN75" s="164"/>
      <c r="BNO75" s="164"/>
      <c r="BNP75" s="164"/>
      <c r="BNQ75" s="164"/>
      <c r="BNR75" s="164"/>
      <c r="BNS75" s="164"/>
      <c r="BNT75" s="164"/>
      <c r="BNU75" s="164"/>
      <c r="BNV75" s="164"/>
      <c r="BNW75" s="164"/>
      <c r="BNX75" s="164"/>
      <c r="BNY75" s="164"/>
      <c r="BNZ75" s="164"/>
      <c r="BOA75" s="164"/>
      <c r="BOB75" s="164"/>
      <c r="BOC75" s="164"/>
      <c r="BOD75" s="164"/>
      <c r="BOE75" s="164"/>
      <c r="BOF75" s="164"/>
      <c r="BOG75" s="164"/>
      <c r="BOH75" s="164"/>
      <c r="BOI75" s="164"/>
      <c r="BOJ75" s="164"/>
      <c r="BOK75" s="164"/>
      <c r="BOL75" s="164"/>
      <c r="BOM75" s="164"/>
      <c r="BON75" s="164"/>
      <c r="BOO75" s="164"/>
      <c r="BOP75" s="164"/>
      <c r="BOQ75" s="164"/>
      <c r="BOR75" s="164"/>
      <c r="BOS75" s="164"/>
      <c r="BOT75" s="164"/>
      <c r="BOU75" s="164"/>
      <c r="BOV75" s="164"/>
      <c r="BOW75" s="164"/>
      <c r="BOX75" s="164"/>
      <c r="BOY75" s="164"/>
      <c r="BOZ75" s="164"/>
      <c r="BPA75" s="164"/>
      <c r="BPB75" s="164"/>
      <c r="BPC75" s="164"/>
      <c r="BPD75" s="164"/>
      <c r="BPE75" s="164"/>
      <c r="BPF75" s="164"/>
      <c r="BPG75" s="164"/>
      <c r="BPH75" s="164"/>
      <c r="BPI75" s="164"/>
      <c r="BPJ75" s="164"/>
      <c r="BPK75" s="164"/>
      <c r="BPL75" s="164"/>
      <c r="BPM75" s="164"/>
      <c r="BPN75" s="164"/>
      <c r="BPO75" s="164"/>
      <c r="BPP75" s="164"/>
      <c r="BPQ75" s="164"/>
      <c r="BPR75" s="164"/>
      <c r="BPS75" s="164"/>
      <c r="BPT75" s="164"/>
      <c r="BPU75" s="164"/>
      <c r="BPV75" s="164"/>
      <c r="BPW75" s="164"/>
      <c r="BPX75" s="164"/>
      <c r="BPY75" s="164"/>
      <c r="BPZ75" s="164"/>
      <c r="BQA75" s="164"/>
      <c r="BQB75" s="164"/>
      <c r="BQC75" s="164"/>
      <c r="BQD75" s="164"/>
      <c r="BQE75" s="164"/>
      <c r="BQF75" s="164"/>
      <c r="BQG75" s="164"/>
      <c r="BQH75" s="164"/>
      <c r="BQI75" s="164"/>
      <c r="BQJ75" s="164"/>
      <c r="BQK75" s="164"/>
      <c r="BQL75" s="164"/>
      <c r="BQM75" s="164"/>
      <c r="BQN75" s="164"/>
      <c r="BQO75" s="164"/>
      <c r="BQP75" s="164"/>
      <c r="BQQ75" s="164"/>
      <c r="BQR75" s="164"/>
      <c r="BQS75" s="164"/>
      <c r="BQT75" s="164"/>
      <c r="BQU75" s="164"/>
      <c r="BQV75" s="164"/>
      <c r="BQW75" s="164"/>
      <c r="BQX75" s="164"/>
      <c r="BQY75" s="164"/>
      <c r="BQZ75" s="164"/>
      <c r="BRA75" s="164"/>
      <c r="BRB75" s="164"/>
      <c r="BRC75" s="164"/>
      <c r="BRD75" s="164"/>
      <c r="BRE75" s="164"/>
      <c r="BRF75" s="164"/>
      <c r="BRG75" s="164"/>
      <c r="BRH75" s="164"/>
      <c r="BRI75" s="164"/>
      <c r="BRJ75" s="164"/>
      <c r="BRK75" s="164"/>
      <c r="BRL75" s="164"/>
      <c r="BRM75" s="164"/>
      <c r="BRN75" s="164"/>
      <c r="BRO75" s="164"/>
      <c r="BRP75" s="164"/>
      <c r="BRQ75" s="164"/>
      <c r="BRR75" s="164"/>
      <c r="BRS75" s="164"/>
      <c r="BRT75" s="164"/>
      <c r="BRU75" s="164"/>
      <c r="BRV75" s="164"/>
      <c r="BRW75" s="164"/>
      <c r="BRX75" s="164"/>
      <c r="BRY75" s="164"/>
      <c r="BRZ75" s="164"/>
      <c r="BSA75" s="164"/>
      <c r="BSB75" s="164"/>
      <c r="BSC75" s="164"/>
      <c r="BSD75" s="164"/>
      <c r="BSE75" s="164"/>
      <c r="BSF75" s="164"/>
      <c r="BSG75" s="164"/>
      <c r="BSH75" s="164"/>
      <c r="BSI75" s="164"/>
      <c r="BSJ75" s="164"/>
      <c r="BSK75" s="164"/>
      <c r="BSL75" s="164"/>
      <c r="BSM75" s="164"/>
      <c r="BSN75" s="164"/>
      <c r="BSO75" s="164"/>
      <c r="BSP75" s="164"/>
      <c r="BSQ75" s="164"/>
      <c r="BSR75" s="164"/>
      <c r="BSS75" s="164"/>
      <c r="BST75" s="164"/>
      <c r="BSU75" s="164"/>
      <c r="BSV75" s="164"/>
      <c r="BSW75" s="164"/>
      <c r="BSX75" s="164"/>
      <c r="BSY75" s="164"/>
      <c r="BSZ75" s="164"/>
      <c r="BTA75" s="164"/>
      <c r="BTB75" s="164"/>
      <c r="BTC75" s="164"/>
      <c r="BTD75" s="164"/>
      <c r="BTE75" s="164"/>
      <c r="BTF75" s="164"/>
      <c r="BTG75" s="164"/>
      <c r="BTH75" s="164"/>
      <c r="BTI75" s="164"/>
      <c r="BTJ75" s="164"/>
      <c r="BTK75" s="164"/>
      <c r="BTL75" s="164"/>
      <c r="BTM75" s="164"/>
      <c r="BTN75" s="164"/>
      <c r="BTO75" s="164"/>
      <c r="BTP75" s="164"/>
      <c r="BTQ75" s="164"/>
      <c r="BTR75" s="164"/>
      <c r="BTS75" s="164"/>
      <c r="BTT75" s="164"/>
      <c r="BTU75" s="164"/>
      <c r="BTV75" s="164"/>
      <c r="BTW75" s="164"/>
      <c r="BTX75" s="164"/>
      <c r="BTY75" s="164"/>
      <c r="BTZ75" s="164"/>
      <c r="BUA75" s="164"/>
      <c r="BUB75" s="164"/>
      <c r="BUC75" s="164"/>
      <c r="BUD75" s="164"/>
      <c r="BUE75" s="164"/>
      <c r="BUF75" s="164"/>
      <c r="BUG75" s="164"/>
      <c r="BUH75" s="164"/>
      <c r="BUI75" s="164"/>
      <c r="BUJ75" s="164"/>
      <c r="BUK75" s="164"/>
      <c r="BUL75" s="164"/>
      <c r="BUM75" s="164"/>
      <c r="BUN75" s="164"/>
      <c r="BUO75" s="164"/>
      <c r="BUP75" s="164"/>
      <c r="BUQ75" s="164"/>
      <c r="BUR75" s="164"/>
      <c r="BUS75" s="164"/>
      <c r="BUT75" s="164"/>
      <c r="BUU75" s="164"/>
      <c r="BUV75" s="164"/>
      <c r="BUW75" s="164"/>
      <c r="BUX75" s="164"/>
      <c r="BUY75" s="164"/>
      <c r="BUZ75" s="164"/>
      <c r="BVA75" s="164"/>
      <c r="BVB75" s="164"/>
      <c r="BVC75" s="164"/>
      <c r="BVD75" s="164"/>
      <c r="BVE75" s="164"/>
      <c r="BVF75" s="164"/>
      <c r="BVG75" s="164"/>
      <c r="BVH75" s="164"/>
      <c r="BVI75" s="164"/>
      <c r="BVJ75" s="164"/>
      <c r="BVK75" s="164"/>
      <c r="BVL75" s="164"/>
      <c r="BVM75" s="164"/>
      <c r="BVN75" s="164"/>
      <c r="BVO75" s="164"/>
      <c r="BVP75" s="164"/>
      <c r="BVQ75" s="164"/>
      <c r="BVR75" s="164"/>
      <c r="BVS75" s="164"/>
      <c r="BVT75" s="164"/>
      <c r="BVU75" s="164"/>
      <c r="BVV75" s="164"/>
      <c r="BVW75" s="164"/>
      <c r="BVX75" s="164"/>
      <c r="BVY75" s="164"/>
      <c r="BVZ75" s="164"/>
      <c r="BWA75" s="164"/>
      <c r="BWB75" s="164"/>
      <c r="BWC75" s="164"/>
      <c r="BWD75" s="164"/>
      <c r="BWE75" s="164"/>
      <c r="BWF75" s="164"/>
      <c r="BWG75" s="164"/>
      <c r="BWH75" s="164"/>
      <c r="BWI75" s="164"/>
      <c r="BWJ75" s="164"/>
      <c r="BWK75" s="164"/>
      <c r="BWL75" s="164"/>
      <c r="BWM75" s="164"/>
      <c r="BWN75" s="164"/>
      <c r="BWO75" s="164"/>
      <c r="BWP75" s="164"/>
      <c r="BWQ75" s="164"/>
      <c r="BWR75" s="164"/>
      <c r="BWS75" s="164"/>
      <c r="BWT75" s="164"/>
      <c r="BWU75" s="164"/>
      <c r="BWV75" s="164"/>
      <c r="BWW75" s="164"/>
      <c r="BWX75" s="164"/>
      <c r="BWY75" s="164"/>
      <c r="BWZ75" s="164"/>
      <c r="BXA75" s="164"/>
      <c r="BXB75" s="164"/>
      <c r="BXC75" s="164"/>
      <c r="BXD75" s="164"/>
      <c r="BXE75" s="164"/>
      <c r="BXF75" s="164"/>
      <c r="BXG75" s="164"/>
      <c r="BXH75" s="164"/>
      <c r="BXI75" s="164"/>
      <c r="BXJ75" s="164"/>
      <c r="BXK75" s="164"/>
      <c r="BXL75" s="164"/>
      <c r="BXM75" s="164"/>
      <c r="BXN75" s="164"/>
      <c r="BXO75" s="164"/>
      <c r="BXP75" s="164"/>
      <c r="BXQ75" s="164"/>
      <c r="BXR75" s="164"/>
      <c r="BXS75" s="164"/>
      <c r="BXT75" s="164"/>
      <c r="BXU75" s="164"/>
      <c r="BXV75" s="164"/>
      <c r="BXW75" s="164"/>
      <c r="BXX75" s="164"/>
      <c r="BXY75" s="164"/>
      <c r="BXZ75" s="164"/>
      <c r="BYA75" s="164"/>
      <c r="BYB75" s="164"/>
      <c r="BYC75" s="164"/>
      <c r="BYD75" s="164"/>
      <c r="BYE75" s="164"/>
      <c r="BYF75" s="164"/>
      <c r="BYG75" s="164"/>
      <c r="BYH75" s="164"/>
      <c r="BYI75" s="164"/>
      <c r="BYJ75" s="164"/>
      <c r="BYK75" s="164"/>
      <c r="BYL75" s="164"/>
      <c r="BYM75" s="164"/>
      <c r="BYN75" s="164"/>
      <c r="BYO75" s="164"/>
      <c r="BYP75" s="164"/>
      <c r="BYQ75" s="164"/>
      <c r="BYR75" s="164"/>
      <c r="BYS75" s="164"/>
      <c r="BYT75" s="164"/>
      <c r="BYU75" s="164"/>
      <c r="BYV75" s="164"/>
      <c r="BYW75" s="164"/>
      <c r="BYX75" s="164"/>
      <c r="BYY75" s="164"/>
      <c r="BYZ75" s="164"/>
      <c r="BZA75" s="164"/>
      <c r="BZB75" s="164"/>
      <c r="BZC75" s="164"/>
      <c r="BZD75" s="164"/>
      <c r="BZE75" s="164"/>
      <c r="BZF75" s="164"/>
      <c r="BZG75" s="164"/>
      <c r="BZH75" s="164"/>
      <c r="BZI75" s="164"/>
      <c r="BZJ75" s="164"/>
      <c r="BZK75" s="164"/>
      <c r="BZL75" s="164"/>
      <c r="BZM75" s="164"/>
      <c r="BZN75" s="164"/>
      <c r="BZO75" s="164"/>
      <c r="BZP75" s="164"/>
      <c r="BZQ75" s="164"/>
      <c r="BZR75" s="164"/>
      <c r="BZS75" s="164"/>
      <c r="BZT75" s="164"/>
      <c r="BZU75" s="164"/>
      <c r="BZV75" s="164"/>
      <c r="BZW75" s="164"/>
      <c r="BZX75" s="164"/>
      <c r="BZY75" s="164"/>
      <c r="BZZ75" s="164"/>
      <c r="CAA75" s="164"/>
      <c r="CAB75" s="164"/>
      <c r="CAC75" s="164"/>
      <c r="CAD75" s="164"/>
      <c r="CAE75" s="164"/>
      <c r="CAF75" s="164"/>
      <c r="CAG75" s="164"/>
      <c r="CAH75" s="164"/>
      <c r="CAI75" s="164"/>
      <c r="CAJ75" s="164"/>
      <c r="CAK75" s="164"/>
      <c r="CAL75" s="164"/>
      <c r="CAM75" s="164"/>
      <c r="CAN75" s="164"/>
      <c r="CAO75" s="164"/>
      <c r="CAP75" s="164"/>
      <c r="CAQ75" s="164"/>
      <c r="CAR75" s="164"/>
      <c r="CAS75" s="164"/>
      <c r="CAT75" s="164"/>
      <c r="CAU75" s="164"/>
      <c r="CAV75" s="164"/>
      <c r="CAW75" s="164"/>
      <c r="CAX75" s="164"/>
      <c r="CAY75" s="164"/>
      <c r="CAZ75" s="164"/>
      <c r="CBA75" s="164"/>
      <c r="CBB75" s="164"/>
      <c r="CBC75" s="164"/>
      <c r="CBD75" s="164"/>
      <c r="CBE75" s="164"/>
      <c r="CBF75" s="164"/>
      <c r="CBG75" s="164"/>
      <c r="CBH75" s="164"/>
      <c r="CBI75" s="164"/>
      <c r="CBJ75" s="164"/>
      <c r="CBK75" s="164"/>
      <c r="CBL75" s="164"/>
      <c r="CBM75" s="164"/>
      <c r="CBN75" s="164"/>
      <c r="CBO75" s="164"/>
      <c r="CBP75" s="164"/>
      <c r="CBQ75" s="164"/>
      <c r="CBR75" s="164"/>
      <c r="CBS75" s="164"/>
      <c r="CBT75" s="164"/>
      <c r="CBU75" s="164"/>
      <c r="CBV75" s="164"/>
      <c r="CBW75" s="164"/>
      <c r="CBX75" s="164"/>
      <c r="CBY75" s="164"/>
      <c r="CBZ75" s="164"/>
      <c r="CCA75" s="164"/>
      <c r="CCB75" s="164"/>
      <c r="CCC75" s="164"/>
      <c r="CCD75" s="164"/>
      <c r="CCE75" s="164"/>
      <c r="CCF75" s="164"/>
      <c r="CCG75" s="164"/>
      <c r="CCH75" s="164"/>
      <c r="CCI75" s="164"/>
      <c r="CCJ75" s="164"/>
      <c r="CCK75" s="164"/>
      <c r="CCL75" s="164"/>
      <c r="CCM75" s="164"/>
      <c r="CCN75" s="164"/>
      <c r="CCO75" s="164"/>
      <c r="CCP75" s="164"/>
      <c r="CCQ75" s="164"/>
      <c r="CCR75" s="164"/>
      <c r="CCS75" s="164"/>
      <c r="CCT75" s="164"/>
      <c r="CCU75" s="164"/>
      <c r="CCV75" s="164"/>
      <c r="CCW75" s="164"/>
      <c r="CCX75" s="164"/>
      <c r="CCY75" s="164"/>
      <c r="CCZ75" s="164"/>
      <c r="CDA75" s="164"/>
      <c r="CDB75" s="164"/>
      <c r="CDC75" s="164"/>
      <c r="CDD75" s="164"/>
      <c r="CDE75" s="164"/>
      <c r="CDF75" s="164"/>
      <c r="CDG75" s="164"/>
      <c r="CDH75" s="164"/>
      <c r="CDI75" s="164"/>
      <c r="CDJ75" s="164"/>
      <c r="CDK75" s="164"/>
      <c r="CDL75" s="164"/>
      <c r="CDM75" s="164"/>
      <c r="CDN75" s="164"/>
      <c r="CDO75" s="164"/>
      <c r="CDP75" s="164"/>
      <c r="CDQ75" s="164"/>
      <c r="CDR75" s="164"/>
      <c r="CDS75" s="164"/>
      <c r="CDT75" s="164"/>
      <c r="CDU75" s="164"/>
      <c r="CDV75" s="164"/>
      <c r="CDW75" s="164"/>
      <c r="CDX75" s="164"/>
      <c r="CDY75" s="164"/>
      <c r="CDZ75" s="164"/>
      <c r="CEA75" s="164"/>
      <c r="CEB75" s="164"/>
      <c r="CEC75" s="164"/>
      <c r="CED75" s="164"/>
      <c r="CEE75" s="164"/>
      <c r="CEF75" s="164"/>
      <c r="CEG75" s="164"/>
      <c r="CEH75" s="164"/>
      <c r="CEI75" s="164"/>
      <c r="CEJ75" s="164"/>
      <c r="CEK75" s="164"/>
      <c r="CEL75" s="164"/>
      <c r="CEM75" s="164"/>
      <c r="CEN75" s="164"/>
      <c r="CEO75" s="164"/>
      <c r="CEP75" s="164"/>
      <c r="CEQ75" s="164"/>
      <c r="CER75" s="164"/>
      <c r="CES75" s="164"/>
      <c r="CET75" s="164"/>
      <c r="CEU75" s="164"/>
      <c r="CEV75" s="164"/>
      <c r="CEW75" s="164"/>
      <c r="CEX75" s="164"/>
      <c r="CEY75" s="164"/>
      <c r="CEZ75" s="164"/>
      <c r="CFA75" s="164"/>
      <c r="CFB75" s="164"/>
      <c r="CFC75" s="164"/>
      <c r="CFD75" s="164"/>
      <c r="CFE75" s="164"/>
      <c r="CFF75" s="164"/>
      <c r="CFG75" s="164"/>
      <c r="CFH75" s="164"/>
      <c r="CFI75" s="164"/>
      <c r="CFJ75" s="164"/>
      <c r="CFK75" s="164"/>
      <c r="CFL75" s="164"/>
      <c r="CFM75" s="164"/>
      <c r="CFN75" s="164"/>
      <c r="CFO75" s="164"/>
      <c r="CFP75" s="164"/>
      <c r="CFQ75" s="164"/>
      <c r="CFR75" s="164"/>
      <c r="CFS75" s="164"/>
      <c r="CFT75" s="164"/>
      <c r="CFU75" s="164"/>
      <c r="CFV75" s="164"/>
      <c r="CFW75" s="164"/>
      <c r="CFX75" s="164"/>
      <c r="CFY75" s="164"/>
      <c r="CFZ75" s="164"/>
      <c r="CGA75" s="164"/>
      <c r="CGB75" s="164"/>
      <c r="CGC75" s="164"/>
      <c r="CGD75" s="164"/>
      <c r="CGE75" s="164"/>
      <c r="CGF75" s="164"/>
      <c r="CGG75" s="164"/>
      <c r="CGH75" s="164"/>
      <c r="CGI75" s="164"/>
      <c r="CGJ75" s="164"/>
      <c r="CGK75" s="164"/>
      <c r="CGL75" s="164"/>
      <c r="CGM75" s="164"/>
      <c r="CGN75" s="164"/>
      <c r="CGO75" s="164"/>
      <c r="CGP75" s="164"/>
      <c r="CGQ75" s="164"/>
      <c r="CGR75" s="164"/>
      <c r="CGS75" s="164"/>
      <c r="CGT75" s="164"/>
      <c r="CGU75" s="164"/>
      <c r="CGV75" s="164"/>
      <c r="CGW75" s="164"/>
      <c r="CGX75" s="164"/>
      <c r="CGY75" s="164"/>
      <c r="CGZ75" s="164"/>
      <c r="CHA75" s="164"/>
      <c r="CHB75" s="164"/>
      <c r="CHC75" s="164"/>
      <c r="CHD75" s="164"/>
      <c r="CHE75" s="164"/>
      <c r="CHF75" s="164"/>
      <c r="CHG75" s="164"/>
      <c r="CHH75" s="164"/>
      <c r="CHI75" s="164"/>
      <c r="CHJ75" s="164"/>
      <c r="CHK75" s="164"/>
      <c r="CHL75" s="164"/>
      <c r="CHM75" s="164"/>
      <c r="CHN75" s="164"/>
      <c r="CHO75" s="164"/>
      <c r="CHP75" s="164"/>
      <c r="CHQ75" s="164"/>
      <c r="CHR75" s="164"/>
      <c r="CHS75" s="164"/>
      <c r="CHT75" s="164"/>
      <c r="CHU75" s="164"/>
      <c r="CHV75" s="164"/>
      <c r="CHW75" s="164"/>
      <c r="CHX75" s="164"/>
      <c r="CHY75" s="164"/>
      <c r="CHZ75" s="164"/>
      <c r="CIA75" s="164"/>
      <c r="CIB75" s="164"/>
      <c r="CIC75" s="164"/>
      <c r="CID75" s="164"/>
      <c r="CIE75" s="164"/>
      <c r="CIF75" s="164"/>
      <c r="CIG75" s="164"/>
      <c r="CIH75" s="164"/>
      <c r="CII75" s="164"/>
      <c r="CIJ75" s="164"/>
      <c r="CIK75" s="164"/>
      <c r="CIL75" s="164"/>
      <c r="CIM75" s="164"/>
      <c r="CIN75" s="164"/>
      <c r="CIO75" s="164"/>
      <c r="CIP75" s="164"/>
      <c r="CIQ75" s="164"/>
      <c r="CIR75" s="164"/>
      <c r="CIS75" s="164"/>
      <c r="CIT75" s="164"/>
      <c r="CIU75" s="164"/>
      <c r="CIV75" s="164"/>
      <c r="CIW75" s="164"/>
      <c r="CIX75" s="164"/>
      <c r="CIY75" s="164"/>
      <c r="CIZ75" s="164"/>
      <c r="CJA75" s="164"/>
      <c r="CJB75" s="164"/>
      <c r="CJC75" s="164"/>
      <c r="CJD75" s="164"/>
      <c r="CJE75" s="164"/>
      <c r="CJF75" s="164"/>
      <c r="CJG75" s="164"/>
      <c r="CJH75" s="164"/>
      <c r="CJI75" s="164"/>
      <c r="CJJ75" s="164"/>
      <c r="CJK75" s="164"/>
      <c r="CJL75" s="164"/>
      <c r="CJM75" s="164"/>
      <c r="CJN75" s="164"/>
      <c r="CJO75" s="164"/>
      <c r="CJP75" s="164"/>
      <c r="CJQ75" s="164"/>
      <c r="CJR75" s="164"/>
      <c r="CJS75" s="164"/>
      <c r="CJT75" s="164"/>
      <c r="CJU75" s="164"/>
      <c r="CJV75" s="164"/>
      <c r="CJW75" s="164"/>
      <c r="CJX75" s="164"/>
      <c r="CJY75" s="164"/>
      <c r="CJZ75" s="164"/>
      <c r="CKA75" s="164"/>
      <c r="CKB75" s="164"/>
      <c r="CKC75" s="164"/>
      <c r="CKD75" s="164"/>
      <c r="CKE75" s="164"/>
      <c r="CKF75" s="164"/>
      <c r="CKG75" s="164"/>
      <c r="CKH75" s="164"/>
      <c r="CKI75" s="164"/>
      <c r="CKJ75" s="164"/>
      <c r="CKK75" s="164"/>
      <c r="CKL75" s="164"/>
      <c r="CKM75" s="164"/>
      <c r="CKN75" s="164"/>
      <c r="CKO75" s="164"/>
      <c r="CKP75" s="164"/>
      <c r="CKQ75" s="164"/>
      <c r="CKR75" s="164"/>
      <c r="CKS75" s="164"/>
      <c r="CKT75" s="164"/>
      <c r="CKU75" s="164"/>
      <c r="CKV75" s="164"/>
      <c r="CKW75" s="164"/>
      <c r="CKX75" s="164"/>
      <c r="CKY75" s="164"/>
      <c r="CKZ75" s="164"/>
      <c r="CLA75" s="164"/>
      <c r="CLB75" s="164"/>
      <c r="CLC75" s="164"/>
      <c r="CLD75" s="164"/>
      <c r="CLE75" s="164"/>
      <c r="CLF75" s="164"/>
      <c r="CLG75" s="164"/>
      <c r="CLH75" s="164"/>
      <c r="CLI75" s="164"/>
      <c r="CLJ75" s="164"/>
      <c r="CLK75" s="164"/>
      <c r="CLL75" s="164"/>
      <c r="CLM75" s="164"/>
      <c r="CLN75" s="164"/>
      <c r="CLO75" s="164"/>
      <c r="CLP75" s="164"/>
      <c r="CLQ75" s="164"/>
      <c r="CLR75" s="164"/>
      <c r="CLS75" s="164"/>
      <c r="CLT75" s="164"/>
      <c r="CLU75" s="164"/>
      <c r="CLV75" s="164"/>
      <c r="CLW75" s="164"/>
      <c r="CLX75" s="164"/>
      <c r="CLY75" s="164"/>
      <c r="CLZ75" s="164"/>
      <c r="CMA75" s="164"/>
      <c r="CMB75" s="164"/>
      <c r="CMC75" s="164"/>
      <c r="CMD75" s="164"/>
      <c r="CME75" s="164"/>
      <c r="CMF75" s="164"/>
      <c r="CMG75" s="164"/>
      <c r="CMH75" s="164"/>
      <c r="CMI75" s="164"/>
      <c r="CMJ75" s="164"/>
      <c r="CMK75" s="164"/>
      <c r="CML75" s="164"/>
      <c r="CMM75" s="164"/>
      <c r="CMN75" s="164"/>
      <c r="CMO75" s="164"/>
      <c r="CMP75" s="164"/>
      <c r="CMQ75" s="164"/>
      <c r="CMR75" s="164"/>
      <c r="CMS75" s="164"/>
      <c r="CMT75" s="164"/>
      <c r="CMU75" s="164"/>
      <c r="CMV75" s="164"/>
      <c r="CMW75" s="164"/>
      <c r="CMX75" s="164"/>
      <c r="CMY75" s="164"/>
      <c r="CMZ75" s="164"/>
      <c r="CNA75" s="164"/>
      <c r="CNB75" s="164"/>
      <c r="CNC75" s="164"/>
      <c r="CND75" s="164"/>
      <c r="CNE75" s="164"/>
      <c r="CNF75" s="164"/>
      <c r="CNG75" s="164"/>
      <c r="CNH75" s="164"/>
      <c r="CNI75" s="164"/>
      <c r="CNJ75" s="164"/>
      <c r="CNK75" s="164"/>
      <c r="CNL75" s="164"/>
      <c r="CNM75" s="164"/>
      <c r="CNN75" s="164"/>
      <c r="CNO75" s="164"/>
      <c r="CNP75" s="164"/>
      <c r="CNQ75" s="164"/>
      <c r="CNR75" s="164"/>
      <c r="CNS75" s="164"/>
      <c r="CNT75" s="164"/>
      <c r="CNU75" s="164"/>
      <c r="CNV75" s="164"/>
      <c r="CNW75" s="164"/>
      <c r="CNX75" s="164"/>
      <c r="CNY75" s="164"/>
      <c r="CNZ75" s="164"/>
      <c r="COA75" s="164"/>
      <c r="COB75" s="164"/>
      <c r="COC75" s="164"/>
      <c r="COD75" s="164"/>
      <c r="COE75" s="164"/>
      <c r="COF75" s="164"/>
      <c r="COG75" s="164"/>
      <c r="COH75" s="164"/>
      <c r="COI75" s="164"/>
      <c r="COJ75" s="164"/>
      <c r="COK75" s="164"/>
      <c r="COL75" s="164"/>
      <c r="COM75" s="164"/>
      <c r="CON75" s="164"/>
      <c r="COO75" s="164"/>
      <c r="COP75" s="164"/>
      <c r="COQ75" s="164"/>
      <c r="COR75" s="164"/>
      <c r="COS75" s="164"/>
      <c r="COT75" s="164"/>
      <c r="COU75" s="164"/>
      <c r="COV75" s="164"/>
      <c r="COW75" s="164"/>
      <c r="COX75" s="164"/>
      <c r="COY75" s="164"/>
      <c r="COZ75" s="164"/>
      <c r="CPA75" s="164"/>
      <c r="CPB75" s="164"/>
      <c r="CPC75" s="164"/>
      <c r="CPD75" s="164"/>
      <c r="CPE75" s="164"/>
      <c r="CPF75" s="164"/>
      <c r="CPG75" s="164"/>
      <c r="CPH75" s="164"/>
      <c r="CPI75" s="164"/>
      <c r="CPJ75" s="164"/>
      <c r="CPK75" s="164"/>
      <c r="CPL75" s="164"/>
      <c r="CPM75" s="164"/>
      <c r="CPN75" s="164"/>
      <c r="CPO75" s="164"/>
      <c r="CPP75" s="164"/>
      <c r="CPQ75" s="164"/>
      <c r="CPR75" s="164"/>
      <c r="CPS75" s="164"/>
      <c r="CPT75" s="164"/>
      <c r="CPU75" s="164"/>
      <c r="CPV75" s="164"/>
      <c r="CPW75" s="164"/>
      <c r="CPX75" s="164"/>
      <c r="CPY75" s="164"/>
      <c r="CPZ75" s="164"/>
      <c r="CQA75" s="164"/>
      <c r="CQB75" s="164"/>
      <c r="CQC75" s="164"/>
      <c r="CQD75" s="164"/>
      <c r="CQE75" s="164"/>
      <c r="CQF75" s="164"/>
      <c r="CQG75" s="164"/>
      <c r="CQH75" s="164"/>
      <c r="CQI75" s="164"/>
      <c r="CQJ75" s="164"/>
      <c r="CQK75" s="164"/>
      <c r="CQL75" s="164"/>
      <c r="CQM75" s="164"/>
      <c r="CQN75" s="164"/>
      <c r="CQO75" s="164"/>
      <c r="CQP75" s="164"/>
      <c r="CQQ75" s="164"/>
      <c r="CQR75" s="164"/>
      <c r="CQS75" s="164"/>
      <c r="CQT75" s="164"/>
      <c r="CQU75" s="164"/>
      <c r="CQV75" s="164"/>
      <c r="CQW75" s="164"/>
      <c r="CQX75" s="164"/>
      <c r="CQY75" s="164"/>
      <c r="CQZ75" s="164"/>
      <c r="CRA75" s="164"/>
      <c r="CRB75" s="164"/>
      <c r="CRC75" s="164"/>
      <c r="CRD75" s="164"/>
      <c r="CRE75" s="164"/>
      <c r="CRF75" s="164"/>
      <c r="CRG75" s="164"/>
      <c r="CRH75" s="164"/>
      <c r="CRI75" s="164"/>
      <c r="CRJ75" s="164"/>
      <c r="CRK75" s="164"/>
      <c r="CRL75" s="164"/>
      <c r="CRM75" s="164"/>
      <c r="CRN75" s="164"/>
      <c r="CRO75" s="164"/>
      <c r="CRP75" s="164"/>
      <c r="CRQ75" s="164"/>
      <c r="CRR75" s="164"/>
      <c r="CRS75" s="164"/>
      <c r="CRT75" s="164"/>
      <c r="CRU75" s="164"/>
      <c r="CRV75" s="164"/>
      <c r="CRW75" s="164"/>
      <c r="CRX75" s="164"/>
      <c r="CRY75" s="164"/>
      <c r="CRZ75" s="164"/>
      <c r="CSA75" s="164"/>
      <c r="CSB75" s="164"/>
      <c r="CSC75" s="164"/>
      <c r="CSD75" s="164"/>
      <c r="CSE75" s="164"/>
      <c r="CSF75" s="164"/>
      <c r="CSG75" s="164"/>
      <c r="CSH75" s="164"/>
      <c r="CSI75" s="164"/>
      <c r="CSJ75" s="164"/>
      <c r="CSK75" s="164"/>
      <c r="CSL75" s="164"/>
      <c r="CSM75" s="164"/>
      <c r="CSN75" s="164"/>
      <c r="CSO75" s="164"/>
      <c r="CSP75" s="164"/>
      <c r="CSQ75" s="164"/>
      <c r="CSR75" s="164"/>
      <c r="CSS75" s="164"/>
      <c r="CST75" s="164"/>
      <c r="CSU75" s="164"/>
      <c r="CSV75" s="164"/>
      <c r="CSW75" s="164"/>
      <c r="CSX75" s="164"/>
      <c r="CSY75" s="164"/>
      <c r="CSZ75" s="164"/>
      <c r="CTA75" s="164"/>
      <c r="CTB75" s="164"/>
      <c r="CTC75" s="164"/>
      <c r="CTD75" s="164"/>
      <c r="CTE75" s="164"/>
      <c r="CTF75" s="164"/>
      <c r="CTG75" s="164"/>
      <c r="CTH75" s="164"/>
      <c r="CTI75" s="164"/>
      <c r="CTJ75" s="164"/>
      <c r="CTK75" s="164"/>
      <c r="CTL75" s="164"/>
      <c r="CTM75" s="164"/>
      <c r="CTN75" s="164"/>
      <c r="CTO75" s="164"/>
      <c r="CTP75" s="164"/>
      <c r="CTQ75" s="164"/>
      <c r="CTR75" s="164"/>
      <c r="CTS75" s="164"/>
      <c r="CTT75" s="164"/>
      <c r="CTU75" s="164"/>
      <c r="CTV75" s="164"/>
      <c r="CTW75" s="164"/>
      <c r="CTX75" s="164"/>
      <c r="CTY75" s="164"/>
      <c r="CTZ75" s="164"/>
      <c r="CUA75" s="164"/>
      <c r="CUB75" s="164"/>
      <c r="CUC75" s="164"/>
      <c r="CUD75" s="164"/>
      <c r="CUE75" s="164"/>
      <c r="CUF75" s="164"/>
      <c r="CUG75" s="164"/>
      <c r="CUH75" s="164"/>
      <c r="CUI75" s="164"/>
      <c r="CUJ75" s="164"/>
      <c r="CUK75" s="164"/>
      <c r="CUL75" s="164"/>
      <c r="CUM75" s="164"/>
      <c r="CUN75" s="164"/>
      <c r="CUO75" s="164"/>
      <c r="CUP75" s="164"/>
      <c r="CUQ75" s="164"/>
      <c r="CUR75" s="164"/>
      <c r="CUS75" s="164"/>
      <c r="CUT75" s="164"/>
      <c r="CUU75" s="164"/>
      <c r="CUV75" s="164"/>
      <c r="CUW75" s="164"/>
      <c r="CUX75" s="164"/>
      <c r="CUY75" s="164"/>
      <c r="CUZ75" s="164"/>
      <c r="CVA75" s="164"/>
      <c r="CVB75" s="164"/>
      <c r="CVC75" s="164"/>
      <c r="CVD75" s="164"/>
      <c r="CVE75" s="164"/>
      <c r="CVF75" s="164"/>
      <c r="CVG75" s="164"/>
      <c r="CVH75" s="164"/>
      <c r="CVI75" s="164"/>
      <c r="CVJ75" s="164"/>
      <c r="CVK75" s="164"/>
      <c r="CVL75" s="164"/>
      <c r="CVM75" s="164"/>
      <c r="CVN75" s="164"/>
      <c r="CVO75" s="164"/>
      <c r="CVP75" s="164"/>
      <c r="CVQ75" s="164"/>
      <c r="CVR75" s="164"/>
      <c r="CVS75" s="164"/>
      <c r="CVT75" s="164"/>
      <c r="CVU75" s="164"/>
      <c r="CVV75" s="164"/>
      <c r="CVW75" s="164"/>
      <c r="CVX75" s="164"/>
      <c r="CVY75" s="164"/>
      <c r="CVZ75" s="164"/>
      <c r="CWA75" s="164"/>
      <c r="CWB75" s="164"/>
      <c r="CWC75" s="164"/>
      <c r="CWD75" s="164"/>
      <c r="CWE75" s="164"/>
      <c r="CWF75" s="164"/>
      <c r="CWG75" s="164"/>
      <c r="CWH75" s="164"/>
      <c r="CWI75" s="164"/>
      <c r="CWJ75" s="164"/>
      <c r="CWK75" s="164"/>
      <c r="CWL75" s="164"/>
      <c r="CWM75" s="164"/>
      <c r="CWN75" s="164"/>
      <c r="CWO75" s="164"/>
      <c r="CWP75" s="164"/>
      <c r="CWQ75" s="164"/>
      <c r="CWR75" s="164"/>
      <c r="CWS75" s="164"/>
      <c r="CWT75" s="164"/>
      <c r="CWU75" s="164"/>
      <c r="CWV75" s="164"/>
      <c r="CWW75" s="164"/>
      <c r="CWX75" s="164"/>
      <c r="CWY75" s="164"/>
      <c r="CWZ75" s="164"/>
      <c r="CXA75" s="164"/>
      <c r="CXB75" s="164"/>
      <c r="CXC75" s="164"/>
      <c r="CXD75" s="164"/>
      <c r="CXE75" s="164"/>
      <c r="CXF75" s="164"/>
      <c r="CXG75" s="164"/>
      <c r="CXH75" s="164"/>
      <c r="CXI75" s="164"/>
      <c r="CXJ75" s="164"/>
      <c r="CXK75" s="164"/>
      <c r="CXL75" s="164"/>
      <c r="CXM75" s="164"/>
      <c r="CXN75" s="164"/>
      <c r="CXO75" s="164"/>
      <c r="CXP75" s="164"/>
      <c r="CXQ75" s="164"/>
      <c r="CXR75" s="164"/>
      <c r="CXS75" s="164"/>
      <c r="CXT75" s="164"/>
      <c r="CXU75" s="164"/>
      <c r="CXV75" s="164"/>
      <c r="CXW75" s="164"/>
      <c r="CXX75" s="164"/>
      <c r="CXY75" s="164"/>
      <c r="CXZ75" s="164"/>
      <c r="CYA75" s="164"/>
      <c r="CYB75" s="164"/>
      <c r="CYC75" s="164"/>
      <c r="CYD75" s="164"/>
      <c r="CYE75" s="164"/>
      <c r="CYF75" s="164"/>
      <c r="CYG75" s="164"/>
      <c r="CYH75" s="164"/>
      <c r="CYI75" s="164"/>
      <c r="CYJ75" s="164"/>
      <c r="CYK75" s="164"/>
      <c r="CYL75" s="164"/>
      <c r="CYM75" s="164"/>
      <c r="CYN75" s="164"/>
      <c r="CYO75" s="164"/>
      <c r="CYP75" s="164"/>
      <c r="CYQ75" s="164"/>
      <c r="CYR75" s="164"/>
      <c r="CYS75" s="164"/>
      <c r="CYT75" s="164"/>
      <c r="CYU75" s="164"/>
      <c r="CYV75" s="164"/>
      <c r="CYW75" s="164"/>
      <c r="CYX75" s="164"/>
      <c r="CYY75" s="164"/>
      <c r="CYZ75" s="164"/>
      <c r="CZA75" s="164"/>
      <c r="CZB75" s="164"/>
      <c r="CZC75" s="164"/>
      <c r="CZD75" s="164"/>
      <c r="CZE75" s="164"/>
      <c r="CZF75" s="164"/>
      <c r="CZG75" s="164"/>
      <c r="CZH75" s="164"/>
      <c r="CZI75" s="164"/>
      <c r="CZJ75" s="164"/>
      <c r="CZK75" s="164"/>
      <c r="CZL75" s="164"/>
      <c r="CZM75" s="164"/>
      <c r="CZN75" s="164"/>
      <c r="CZO75" s="164"/>
      <c r="CZP75" s="164"/>
      <c r="CZQ75" s="164"/>
      <c r="CZR75" s="164"/>
      <c r="CZS75" s="164"/>
      <c r="CZT75" s="164"/>
      <c r="CZU75" s="164"/>
      <c r="CZV75" s="164"/>
      <c r="CZW75" s="164"/>
      <c r="CZX75" s="164"/>
      <c r="CZY75" s="164"/>
      <c r="CZZ75" s="164"/>
      <c r="DAA75" s="164"/>
      <c r="DAB75" s="164"/>
      <c r="DAC75" s="164"/>
      <c r="DAD75" s="164"/>
      <c r="DAE75" s="164"/>
      <c r="DAF75" s="164"/>
      <c r="DAG75" s="164"/>
      <c r="DAH75" s="164"/>
      <c r="DAI75" s="164"/>
      <c r="DAJ75" s="164"/>
      <c r="DAK75" s="164"/>
      <c r="DAL75" s="164"/>
      <c r="DAM75" s="164"/>
      <c r="DAN75" s="164"/>
      <c r="DAO75" s="164"/>
      <c r="DAP75" s="164"/>
      <c r="DAQ75" s="164"/>
      <c r="DAR75" s="164"/>
      <c r="DAS75" s="164"/>
      <c r="DAT75" s="164"/>
      <c r="DAU75" s="164"/>
      <c r="DAV75" s="164"/>
      <c r="DAW75" s="164"/>
      <c r="DAX75" s="164"/>
      <c r="DAY75" s="164"/>
      <c r="DAZ75" s="164"/>
      <c r="DBA75" s="164"/>
      <c r="DBB75" s="164"/>
      <c r="DBC75" s="164"/>
      <c r="DBD75" s="164"/>
      <c r="DBE75" s="164"/>
      <c r="DBF75" s="164"/>
      <c r="DBG75" s="164"/>
      <c r="DBH75" s="164"/>
      <c r="DBI75" s="164"/>
      <c r="DBJ75" s="164"/>
      <c r="DBK75" s="164"/>
      <c r="DBL75" s="164"/>
      <c r="DBM75" s="164"/>
      <c r="DBN75" s="164"/>
      <c r="DBO75" s="164"/>
      <c r="DBP75" s="164"/>
      <c r="DBQ75" s="164"/>
      <c r="DBR75" s="164"/>
      <c r="DBS75" s="164"/>
      <c r="DBT75" s="164"/>
      <c r="DBU75" s="164"/>
      <c r="DBV75" s="164"/>
      <c r="DBW75" s="164"/>
      <c r="DBX75" s="164"/>
      <c r="DBY75" s="164"/>
      <c r="DBZ75" s="164"/>
      <c r="DCA75" s="164"/>
      <c r="DCB75" s="164"/>
      <c r="DCC75" s="164"/>
      <c r="DCD75" s="164"/>
      <c r="DCE75" s="164"/>
      <c r="DCF75" s="164"/>
      <c r="DCG75" s="164"/>
      <c r="DCH75" s="164"/>
      <c r="DCI75" s="164"/>
      <c r="DCJ75" s="164"/>
      <c r="DCK75" s="164"/>
      <c r="DCL75" s="164"/>
      <c r="DCM75" s="164"/>
      <c r="DCN75" s="164"/>
      <c r="DCO75" s="164"/>
      <c r="DCP75" s="164"/>
      <c r="DCQ75" s="164"/>
      <c r="DCR75" s="164"/>
      <c r="DCS75" s="164"/>
      <c r="DCT75" s="164"/>
      <c r="DCU75" s="164"/>
      <c r="DCV75" s="164"/>
      <c r="DCW75" s="164"/>
      <c r="DCX75" s="164"/>
      <c r="DCY75" s="164"/>
      <c r="DCZ75" s="164"/>
      <c r="DDA75" s="164"/>
      <c r="DDB75" s="164"/>
      <c r="DDC75" s="164"/>
      <c r="DDD75" s="164"/>
      <c r="DDE75" s="164"/>
      <c r="DDF75" s="164"/>
      <c r="DDG75" s="164"/>
      <c r="DDH75" s="164"/>
      <c r="DDI75" s="164"/>
      <c r="DDJ75" s="164"/>
      <c r="DDK75" s="164"/>
      <c r="DDL75" s="164"/>
      <c r="DDM75" s="164"/>
      <c r="DDN75" s="164"/>
      <c r="DDO75" s="164"/>
      <c r="DDP75" s="164"/>
      <c r="DDQ75" s="164"/>
      <c r="DDR75" s="164"/>
      <c r="DDS75" s="164"/>
      <c r="DDT75" s="164"/>
      <c r="DDU75" s="164"/>
      <c r="DDV75" s="164"/>
      <c r="DDW75" s="164"/>
      <c r="DDX75" s="164"/>
      <c r="DDY75" s="164"/>
      <c r="DDZ75" s="164"/>
      <c r="DEA75" s="164"/>
      <c r="DEB75" s="164"/>
      <c r="DEC75" s="164"/>
      <c r="DED75" s="164"/>
      <c r="DEE75" s="164"/>
      <c r="DEF75" s="164"/>
      <c r="DEG75" s="164"/>
      <c r="DEH75" s="164"/>
      <c r="DEI75" s="164"/>
      <c r="DEJ75" s="164"/>
      <c r="DEK75" s="164"/>
      <c r="DEL75" s="164"/>
      <c r="DEM75" s="164"/>
      <c r="DEN75" s="164"/>
      <c r="DEO75" s="164"/>
      <c r="DEP75" s="164"/>
      <c r="DEQ75" s="164"/>
      <c r="DER75" s="164"/>
      <c r="DES75" s="164"/>
      <c r="DET75" s="164"/>
      <c r="DEU75" s="164"/>
      <c r="DEV75" s="164"/>
      <c r="DEW75" s="164"/>
      <c r="DEX75" s="164"/>
      <c r="DEY75" s="164"/>
      <c r="DEZ75" s="164"/>
      <c r="DFA75" s="164"/>
      <c r="DFB75" s="164"/>
      <c r="DFC75" s="164"/>
      <c r="DFD75" s="164"/>
      <c r="DFE75" s="164"/>
      <c r="DFF75" s="164"/>
      <c r="DFG75" s="164"/>
      <c r="DFH75" s="164"/>
      <c r="DFI75" s="164"/>
      <c r="DFJ75" s="164"/>
      <c r="DFK75" s="164"/>
      <c r="DFL75" s="164"/>
      <c r="DFM75" s="164"/>
      <c r="DFN75" s="164"/>
      <c r="DFO75" s="164"/>
      <c r="DFP75" s="164"/>
      <c r="DFQ75" s="164"/>
      <c r="DFR75" s="164"/>
      <c r="DFS75" s="164"/>
      <c r="DFT75" s="164"/>
      <c r="DFU75" s="164"/>
      <c r="DFV75" s="164"/>
      <c r="DFW75" s="164"/>
      <c r="DFX75" s="164"/>
      <c r="DFY75" s="164"/>
      <c r="DFZ75" s="164"/>
      <c r="DGA75" s="164"/>
      <c r="DGB75" s="164"/>
      <c r="DGC75" s="164"/>
      <c r="DGD75" s="164"/>
      <c r="DGE75" s="164"/>
      <c r="DGF75" s="164"/>
      <c r="DGG75" s="164"/>
      <c r="DGH75" s="164"/>
      <c r="DGI75" s="164"/>
      <c r="DGJ75" s="164"/>
      <c r="DGK75" s="164"/>
      <c r="DGL75" s="164"/>
      <c r="DGM75" s="164"/>
      <c r="DGN75" s="164"/>
      <c r="DGO75" s="164"/>
      <c r="DGP75" s="164"/>
      <c r="DGQ75" s="164"/>
      <c r="DGR75" s="164"/>
      <c r="DGS75" s="164"/>
      <c r="DGT75" s="164"/>
      <c r="DGU75" s="164"/>
      <c r="DGV75" s="164"/>
      <c r="DGW75" s="164"/>
      <c r="DGX75" s="164"/>
      <c r="DGY75" s="164"/>
      <c r="DGZ75" s="164"/>
      <c r="DHA75" s="164"/>
      <c r="DHB75" s="164"/>
      <c r="DHC75" s="164"/>
      <c r="DHD75" s="164"/>
      <c r="DHE75" s="164"/>
      <c r="DHF75" s="164"/>
      <c r="DHG75" s="164"/>
      <c r="DHH75" s="164"/>
      <c r="DHI75" s="164"/>
      <c r="DHJ75" s="164"/>
      <c r="DHK75" s="164"/>
      <c r="DHL75" s="164"/>
      <c r="DHM75" s="164"/>
      <c r="DHN75" s="164"/>
      <c r="DHO75" s="164"/>
      <c r="DHP75" s="164"/>
      <c r="DHQ75" s="164"/>
      <c r="DHR75" s="164"/>
      <c r="DHS75" s="164"/>
      <c r="DHT75" s="164"/>
      <c r="DHU75" s="164"/>
      <c r="DHV75" s="164"/>
      <c r="DHW75" s="164"/>
      <c r="DHX75" s="164"/>
      <c r="DHY75" s="164"/>
      <c r="DHZ75" s="164"/>
      <c r="DIA75" s="164"/>
      <c r="DIB75" s="164"/>
      <c r="DIC75" s="164"/>
      <c r="DID75" s="164"/>
      <c r="DIE75" s="164"/>
      <c r="DIF75" s="164"/>
      <c r="DIG75" s="164"/>
      <c r="DIH75" s="164"/>
      <c r="DII75" s="164"/>
      <c r="DIJ75" s="164"/>
      <c r="DIK75" s="164"/>
      <c r="DIL75" s="164"/>
      <c r="DIM75" s="164"/>
      <c r="DIN75" s="164"/>
      <c r="DIO75" s="164"/>
      <c r="DIP75" s="164"/>
      <c r="DIQ75" s="164"/>
      <c r="DIR75" s="164"/>
      <c r="DIS75" s="164"/>
      <c r="DIT75" s="164"/>
      <c r="DIU75" s="164"/>
      <c r="DIV75" s="164"/>
      <c r="DIW75" s="164"/>
      <c r="DIX75" s="164"/>
      <c r="DIY75" s="164"/>
      <c r="DIZ75" s="164"/>
      <c r="DJA75" s="164"/>
      <c r="DJB75" s="164"/>
      <c r="DJC75" s="164"/>
      <c r="DJD75" s="164"/>
      <c r="DJE75" s="164"/>
      <c r="DJF75" s="164"/>
      <c r="DJG75" s="164"/>
      <c r="DJH75" s="164"/>
      <c r="DJI75" s="164"/>
      <c r="DJJ75" s="164"/>
      <c r="DJK75" s="164"/>
      <c r="DJL75" s="164"/>
      <c r="DJM75" s="164"/>
      <c r="DJN75" s="164"/>
      <c r="DJO75" s="164"/>
      <c r="DJP75" s="164"/>
      <c r="DJQ75" s="164"/>
      <c r="DJR75" s="164"/>
      <c r="DJS75" s="164"/>
      <c r="DJT75" s="164"/>
      <c r="DJU75" s="164"/>
      <c r="DJV75" s="164"/>
      <c r="DJW75" s="164"/>
      <c r="DJX75" s="164"/>
      <c r="DJY75" s="164"/>
      <c r="DJZ75" s="164"/>
      <c r="DKA75" s="164"/>
      <c r="DKB75" s="164"/>
      <c r="DKC75" s="164"/>
      <c r="DKD75" s="164"/>
      <c r="DKE75" s="164"/>
      <c r="DKF75" s="164"/>
      <c r="DKG75" s="164"/>
      <c r="DKH75" s="164"/>
      <c r="DKI75" s="164"/>
      <c r="DKJ75" s="164"/>
      <c r="DKK75" s="164"/>
      <c r="DKL75" s="164"/>
      <c r="DKM75" s="164"/>
      <c r="DKN75" s="164"/>
      <c r="DKO75" s="164"/>
      <c r="DKP75" s="164"/>
      <c r="DKQ75" s="164"/>
      <c r="DKR75" s="164"/>
      <c r="DKS75" s="164"/>
      <c r="DKT75" s="164"/>
      <c r="DKU75" s="164"/>
      <c r="DKV75" s="164"/>
      <c r="DKW75" s="164"/>
      <c r="DKX75" s="164"/>
      <c r="DKY75" s="164"/>
      <c r="DKZ75" s="164"/>
      <c r="DLA75" s="164"/>
      <c r="DLB75" s="164"/>
      <c r="DLC75" s="164"/>
      <c r="DLD75" s="164"/>
      <c r="DLE75" s="164"/>
      <c r="DLF75" s="164"/>
      <c r="DLG75" s="164"/>
      <c r="DLH75" s="164"/>
      <c r="DLI75" s="164"/>
      <c r="DLJ75" s="164"/>
      <c r="DLK75" s="164"/>
      <c r="DLL75" s="164"/>
      <c r="DLM75" s="164"/>
      <c r="DLN75" s="164"/>
      <c r="DLO75" s="164"/>
      <c r="DLP75" s="164"/>
      <c r="DLQ75" s="164"/>
      <c r="DLR75" s="164"/>
      <c r="DLS75" s="164"/>
      <c r="DLT75" s="164"/>
      <c r="DLU75" s="164"/>
      <c r="DLV75" s="164"/>
      <c r="DLW75" s="164"/>
      <c r="DLX75" s="164"/>
      <c r="DLY75" s="164"/>
      <c r="DLZ75" s="164"/>
      <c r="DMA75" s="164"/>
      <c r="DMB75" s="164"/>
      <c r="DMC75" s="164"/>
      <c r="DMD75" s="164"/>
      <c r="DME75" s="164"/>
      <c r="DMF75" s="164"/>
      <c r="DMG75" s="164"/>
      <c r="DMH75" s="164"/>
      <c r="DMI75" s="164"/>
      <c r="DMJ75" s="164"/>
      <c r="DMK75" s="164"/>
      <c r="DML75" s="164"/>
      <c r="DMM75" s="164"/>
      <c r="DMN75" s="164"/>
      <c r="DMO75" s="164"/>
      <c r="DMP75" s="164"/>
      <c r="DMQ75" s="164"/>
      <c r="DMR75" s="164"/>
      <c r="DMS75" s="164"/>
      <c r="DMT75" s="164"/>
      <c r="DMU75" s="164"/>
      <c r="DMV75" s="164"/>
      <c r="DMW75" s="164"/>
      <c r="DMX75" s="164"/>
      <c r="DMY75" s="164"/>
      <c r="DMZ75" s="164"/>
      <c r="DNA75" s="164"/>
      <c r="DNB75" s="164"/>
      <c r="DNC75" s="164"/>
      <c r="DND75" s="164"/>
      <c r="DNE75" s="164"/>
      <c r="DNF75" s="164"/>
      <c r="DNG75" s="164"/>
      <c r="DNH75" s="164"/>
      <c r="DNI75" s="164"/>
      <c r="DNJ75" s="164"/>
      <c r="DNK75" s="164"/>
      <c r="DNL75" s="164"/>
      <c r="DNM75" s="164"/>
      <c r="DNN75" s="164"/>
      <c r="DNO75" s="164"/>
      <c r="DNP75" s="164"/>
      <c r="DNQ75" s="164"/>
      <c r="DNR75" s="164"/>
      <c r="DNS75" s="164"/>
      <c r="DNT75" s="164"/>
      <c r="DNU75" s="164"/>
      <c r="DNV75" s="164"/>
      <c r="DNW75" s="164"/>
      <c r="DNX75" s="164"/>
      <c r="DNY75" s="164"/>
      <c r="DNZ75" s="164"/>
      <c r="DOA75" s="164"/>
      <c r="DOB75" s="164"/>
      <c r="DOC75" s="164"/>
      <c r="DOD75" s="164"/>
      <c r="DOE75" s="164"/>
      <c r="DOF75" s="164"/>
      <c r="DOG75" s="164"/>
      <c r="DOH75" s="164"/>
      <c r="DOI75" s="164"/>
      <c r="DOJ75" s="164"/>
      <c r="DOK75" s="164"/>
      <c r="DOL75" s="164"/>
      <c r="DOM75" s="164"/>
      <c r="DON75" s="164"/>
      <c r="DOO75" s="164"/>
      <c r="DOP75" s="164"/>
      <c r="DOQ75" s="164"/>
      <c r="DOR75" s="164"/>
      <c r="DOS75" s="164"/>
      <c r="DOT75" s="164"/>
      <c r="DOU75" s="164"/>
      <c r="DOV75" s="164"/>
      <c r="DOW75" s="164"/>
      <c r="DOX75" s="164"/>
      <c r="DOY75" s="164"/>
      <c r="DOZ75" s="164"/>
      <c r="DPA75" s="164"/>
      <c r="DPB75" s="164"/>
      <c r="DPC75" s="164"/>
      <c r="DPD75" s="164"/>
      <c r="DPE75" s="164"/>
      <c r="DPF75" s="164"/>
      <c r="DPG75" s="164"/>
      <c r="DPH75" s="164"/>
      <c r="DPI75" s="164"/>
      <c r="DPJ75" s="164"/>
      <c r="DPK75" s="164"/>
      <c r="DPL75" s="164"/>
      <c r="DPM75" s="164"/>
      <c r="DPN75" s="164"/>
      <c r="DPO75" s="164"/>
      <c r="DPP75" s="164"/>
      <c r="DPQ75" s="164"/>
      <c r="DPR75" s="164"/>
      <c r="DPS75" s="164"/>
      <c r="DPT75" s="164"/>
      <c r="DPU75" s="164"/>
      <c r="DPV75" s="164"/>
      <c r="DPW75" s="164"/>
      <c r="DPX75" s="164"/>
      <c r="DPY75" s="164"/>
      <c r="DPZ75" s="164"/>
      <c r="DQA75" s="164"/>
      <c r="DQB75" s="164"/>
      <c r="DQC75" s="164"/>
      <c r="DQD75" s="164"/>
      <c r="DQE75" s="164"/>
      <c r="DQF75" s="164"/>
      <c r="DQG75" s="164"/>
      <c r="DQH75" s="164"/>
      <c r="DQI75" s="164"/>
      <c r="DQJ75" s="164"/>
      <c r="DQK75" s="164"/>
      <c r="DQL75" s="164"/>
      <c r="DQM75" s="164"/>
      <c r="DQN75" s="164"/>
      <c r="DQO75" s="164"/>
      <c r="DQP75" s="164"/>
      <c r="DQQ75" s="164"/>
      <c r="DQR75" s="164"/>
      <c r="DQS75" s="164"/>
      <c r="DQT75" s="164"/>
      <c r="DQU75" s="164"/>
      <c r="DQV75" s="164"/>
      <c r="DQW75" s="164"/>
      <c r="DQX75" s="164"/>
      <c r="DQY75" s="164"/>
      <c r="DQZ75" s="164"/>
      <c r="DRA75" s="164"/>
      <c r="DRB75" s="164"/>
      <c r="DRC75" s="164"/>
      <c r="DRD75" s="164"/>
      <c r="DRE75" s="164"/>
      <c r="DRF75" s="164"/>
      <c r="DRG75" s="164"/>
      <c r="DRH75" s="164"/>
      <c r="DRI75" s="164"/>
      <c r="DRJ75" s="164"/>
      <c r="DRK75" s="164"/>
      <c r="DRL75" s="164"/>
      <c r="DRM75" s="164"/>
      <c r="DRN75" s="164"/>
      <c r="DRO75" s="164"/>
      <c r="DRP75" s="164"/>
      <c r="DRQ75" s="164"/>
      <c r="DRR75" s="164"/>
      <c r="DRS75" s="164"/>
      <c r="DRT75" s="164"/>
      <c r="DRU75" s="164"/>
      <c r="DRV75" s="164"/>
      <c r="DRW75" s="164"/>
      <c r="DRX75" s="164"/>
      <c r="DRY75" s="164"/>
      <c r="DRZ75" s="164"/>
      <c r="DSA75" s="164"/>
      <c r="DSB75" s="164"/>
      <c r="DSC75" s="164"/>
      <c r="DSD75" s="164"/>
      <c r="DSE75" s="164"/>
      <c r="DSF75" s="164"/>
      <c r="DSG75" s="164"/>
      <c r="DSH75" s="164"/>
      <c r="DSI75" s="164"/>
      <c r="DSJ75" s="164"/>
      <c r="DSK75" s="164"/>
      <c r="DSL75" s="164"/>
      <c r="DSM75" s="164"/>
      <c r="DSN75" s="164"/>
      <c r="DSO75" s="164"/>
      <c r="DSP75" s="164"/>
      <c r="DSQ75" s="164"/>
      <c r="DSR75" s="164"/>
      <c r="DSS75" s="164"/>
      <c r="DST75" s="164"/>
      <c r="DSU75" s="164"/>
      <c r="DSV75" s="164"/>
      <c r="DSW75" s="164"/>
      <c r="DSX75" s="164"/>
      <c r="DSY75" s="164"/>
      <c r="DSZ75" s="164"/>
      <c r="DTA75" s="164"/>
      <c r="DTB75" s="164"/>
      <c r="DTC75" s="164"/>
      <c r="DTD75" s="164"/>
      <c r="DTE75" s="164"/>
      <c r="DTF75" s="164"/>
      <c r="DTG75" s="164"/>
      <c r="DTH75" s="164"/>
      <c r="DTI75" s="164"/>
      <c r="DTJ75" s="164"/>
      <c r="DTK75" s="164"/>
      <c r="DTL75" s="164"/>
      <c r="DTM75" s="164"/>
      <c r="DTN75" s="164"/>
      <c r="DTO75" s="164"/>
      <c r="DTP75" s="164"/>
      <c r="DTQ75" s="164"/>
      <c r="DTR75" s="164"/>
      <c r="DTS75" s="164"/>
      <c r="DTT75" s="164"/>
      <c r="DTU75" s="164"/>
      <c r="DTV75" s="164"/>
      <c r="DTW75" s="164"/>
      <c r="DTX75" s="164"/>
      <c r="DTY75" s="164"/>
      <c r="DTZ75" s="164"/>
      <c r="DUA75" s="164"/>
      <c r="DUB75" s="164"/>
      <c r="DUC75" s="164"/>
      <c r="DUD75" s="164"/>
      <c r="DUE75" s="164"/>
      <c r="DUF75" s="164"/>
      <c r="DUG75" s="164"/>
      <c r="DUH75" s="164"/>
      <c r="DUI75" s="164"/>
      <c r="DUJ75" s="164"/>
      <c r="DUK75" s="164"/>
      <c r="DUL75" s="164"/>
      <c r="DUM75" s="164"/>
      <c r="DUN75" s="164"/>
      <c r="DUO75" s="164"/>
      <c r="DUP75" s="164"/>
      <c r="DUQ75" s="164"/>
      <c r="DUR75" s="164"/>
      <c r="DUS75" s="164"/>
      <c r="DUT75" s="164"/>
      <c r="DUU75" s="164"/>
      <c r="DUV75" s="164"/>
      <c r="DUW75" s="164"/>
      <c r="DUX75" s="164"/>
      <c r="DUY75" s="164"/>
      <c r="DUZ75" s="164"/>
      <c r="DVA75" s="164"/>
      <c r="DVB75" s="164"/>
      <c r="DVC75" s="164"/>
      <c r="DVD75" s="164"/>
      <c r="DVE75" s="164"/>
      <c r="DVF75" s="164"/>
      <c r="DVG75" s="164"/>
      <c r="DVH75" s="164"/>
      <c r="DVI75" s="164"/>
      <c r="DVJ75" s="164"/>
      <c r="DVK75" s="164"/>
      <c r="DVL75" s="164"/>
      <c r="DVM75" s="164"/>
      <c r="DVN75" s="164"/>
      <c r="DVO75" s="164"/>
      <c r="DVP75" s="164"/>
      <c r="DVQ75" s="164"/>
      <c r="DVR75" s="164"/>
      <c r="DVS75" s="164"/>
      <c r="DVT75" s="164"/>
      <c r="DVU75" s="164"/>
      <c r="DVV75" s="164"/>
      <c r="DVW75" s="164"/>
      <c r="DVX75" s="164"/>
      <c r="DVY75" s="164"/>
      <c r="DVZ75" s="164"/>
      <c r="DWA75" s="164"/>
      <c r="DWB75" s="164"/>
      <c r="DWC75" s="164"/>
      <c r="DWD75" s="164"/>
      <c r="DWE75" s="164"/>
      <c r="DWF75" s="164"/>
      <c r="DWG75" s="164"/>
      <c r="DWH75" s="164"/>
      <c r="DWI75" s="164"/>
      <c r="DWJ75" s="164"/>
      <c r="DWK75" s="164"/>
      <c r="DWL75" s="164"/>
      <c r="DWM75" s="164"/>
      <c r="DWN75" s="164"/>
      <c r="DWO75" s="164"/>
      <c r="DWP75" s="164"/>
      <c r="DWQ75" s="164"/>
      <c r="DWR75" s="164"/>
      <c r="DWS75" s="164"/>
      <c r="DWT75" s="164"/>
      <c r="DWU75" s="164"/>
      <c r="DWV75" s="164"/>
      <c r="DWW75" s="164"/>
      <c r="DWX75" s="164"/>
      <c r="DWY75" s="164"/>
      <c r="DWZ75" s="164"/>
      <c r="DXA75" s="164"/>
      <c r="DXB75" s="164"/>
      <c r="DXC75" s="164"/>
      <c r="DXD75" s="164"/>
      <c r="DXE75" s="164"/>
      <c r="DXF75" s="164"/>
      <c r="DXG75" s="164"/>
      <c r="DXH75" s="164"/>
      <c r="DXI75" s="164"/>
      <c r="DXJ75" s="164"/>
      <c r="DXK75" s="164"/>
      <c r="DXL75" s="164"/>
      <c r="DXM75" s="164"/>
      <c r="DXN75" s="164"/>
      <c r="DXO75" s="164"/>
      <c r="DXP75" s="164"/>
      <c r="DXQ75" s="164"/>
      <c r="DXR75" s="164"/>
      <c r="DXS75" s="164"/>
      <c r="DXT75" s="164"/>
      <c r="DXU75" s="164"/>
      <c r="DXV75" s="164"/>
      <c r="DXW75" s="164"/>
      <c r="DXX75" s="164"/>
      <c r="DXY75" s="164"/>
      <c r="DXZ75" s="164"/>
      <c r="DYA75" s="164"/>
      <c r="DYB75" s="164"/>
      <c r="DYC75" s="164"/>
      <c r="DYD75" s="164"/>
      <c r="DYE75" s="164"/>
      <c r="DYF75" s="164"/>
      <c r="DYG75" s="164"/>
      <c r="DYH75" s="164"/>
      <c r="DYI75" s="164"/>
      <c r="DYJ75" s="164"/>
      <c r="DYK75" s="164"/>
      <c r="DYL75" s="164"/>
      <c r="DYM75" s="164"/>
      <c r="DYN75" s="164"/>
      <c r="DYO75" s="164"/>
      <c r="DYP75" s="164"/>
      <c r="DYQ75" s="164"/>
      <c r="DYR75" s="164"/>
      <c r="DYS75" s="164"/>
      <c r="DYT75" s="164"/>
      <c r="DYU75" s="164"/>
      <c r="DYV75" s="164"/>
      <c r="DYW75" s="164"/>
      <c r="DYX75" s="164"/>
      <c r="DYY75" s="164"/>
      <c r="DYZ75" s="164"/>
      <c r="DZA75" s="164"/>
      <c r="DZB75" s="164"/>
      <c r="DZC75" s="164"/>
      <c r="DZD75" s="164"/>
      <c r="DZE75" s="164"/>
      <c r="DZF75" s="164"/>
      <c r="DZG75" s="164"/>
      <c r="DZH75" s="164"/>
      <c r="DZI75" s="164"/>
      <c r="DZJ75" s="164"/>
      <c r="DZK75" s="164"/>
      <c r="DZL75" s="164"/>
      <c r="DZM75" s="164"/>
      <c r="DZN75" s="164"/>
      <c r="DZO75" s="164"/>
      <c r="DZP75" s="164"/>
      <c r="DZQ75" s="164"/>
      <c r="DZR75" s="164"/>
      <c r="DZS75" s="164"/>
      <c r="DZT75" s="164"/>
      <c r="DZU75" s="164"/>
      <c r="DZV75" s="164"/>
      <c r="DZW75" s="164"/>
      <c r="DZX75" s="164"/>
      <c r="DZY75" s="164"/>
      <c r="DZZ75" s="164"/>
      <c r="EAA75" s="164"/>
      <c r="EAB75" s="164"/>
      <c r="EAC75" s="164"/>
      <c r="EAD75" s="164"/>
      <c r="EAE75" s="164"/>
      <c r="EAF75" s="164"/>
      <c r="EAG75" s="164"/>
      <c r="EAH75" s="164"/>
      <c r="EAI75" s="164"/>
      <c r="EAJ75" s="164"/>
      <c r="EAK75" s="164"/>
      <c r="EAL75" s="164"/>
      <c r="EAM75" s="164"/>
      <c r="EAN75" s="164"/>
      <c r="EAO75" s="164"/>
      <c r="EAP75" s="164"/>
      <c r="EAQ75" s="164"/>
      <c r="EAR75" s="164"/>
      <c r="EAS75" s="164"/>
      <c r="EAT75" s="164"/>
      <c r="EAU75" s="164"/>
      <c r="EAV75" s="164"/>
      <c r="EAW75" s="164"/>
      <c r="EAX75" s="164"/>
      <c r="EAY75" s="164"/>
      <c r="EAZ75" s="164"/>
      <c r="EBA75" s="164"/>
      <c r="EBB75" s="164"/>
      <c r="EBC75" s="164"/>
      <c r="EBD75" s="164"/>
      <c r="EBE75" s="164"/>
      <c r="EBF75" s="164"/>
      <c r="EBG75" s="164"/>
      <c r="EBH75" s="164"/>
      <c r="EBI75" s="164"/>
      <c r="EBJ75" s="164"/>
      <c r="EBK75" s="164"/>
      <c r="EBL75" s="164"/>
      <c r="EBM75" s="164"/>
      <c r="EBN75" s="164"/>
      <c r="EBO75" s="164"/>
      <c r="EBP75" s="164"/>
      <c r="EBQ75" s="164"/>
      <c r="EBR75" s="164"/>
      <c r="EBS75" s="164"/>
      <c r="EBT75" s="164"/>
      <c r="EBU75" s="164"/>
      <c r="EBV75" s="164"/>
      <c r="EBW75" s="164"/>
      <c r="EBX75" s="164"/>
      <c r="EBY75" s="164"/>
      <c r="EBZ75" s="164"/>
      <c r="ECA75" s="164"/>
      <c r="ECB75" s="164"/>
      <c r="ECC75" s="164"/>
      <c r="ECD75" s="164"/>
      <c r="ECE75" s="164"/>
      <c r="ECF75" s="164"/>
      <c r="ECG75" s="164"/>
      <c r="ECH75" s="164"/>
      <c r="ECI75" s="164"/>
      <c r="ECJ75" s="164"/>
      <c r="ECK75" s="164"/>
      <c r="ECL75" s="164"/>
      <c r="ECM75" s="164"/>
      <c r="ECN75" s="164"/>
      <c r="ECO75" s="164"/>
      <c r="ECP75" s="164"/>
      <c r="ECQ75" s="164"/>
      <c r="ECR75" s="164"/>
      <c r="ECS75" s="164"/>
      <c r="ECT75" s="164"/>
      <c r="ECU75" s="164"/>
      <c r="ECV75" s="164"/>
      <c r="ECW75" s="164"/>
      <c r="ECX75" s="164"/>
      <c r="ECY75" s="164"/>
      <c r="ECZ75" s="164"/>
      <c r="EDA75" s="164"/>
      <c r="EDB75" s="164"/>
      <c r="EDC75" s="164"/>
      <c r="EDD75" s="164"/>
      <c r="EDE75" s="164"/>
      <c r="EDF75" s="164"/>
      <c r="EDG75" s="164"/>
      <c r="EDH75" s="164"/>
      <c r="EDI75" s="164"/>
      <c r="EDJ75" s="164"/>
      <c r="EDK75" s="164"/>
      <c r="EDL75" s="164"/>
      <c r="EDM75" s="164"/>
      <c r="EDN75" s="164"/>
      <c r="EDO75" s="164"/>
      <c r="EDP75" s="164"/>
      <c r="EDQ75" s="164"/>
      <c r="EDR75" s="164"/>
      <c r="EDS75" s="164"/>
      <c r="EDT75" s="164"/>
      <c r="EDU75" s="164"/>
      <c r="EDV75" s="164"/>
      <c r="EDW75" s="164"/>
      <c r="EDX75" s="164"/>
      <c r="EDY75" s="164"/>
      <c r="EDZ75" s="164"/>
      <c r="EEA75" s="164"/>
      <c r="EEB75" s="164"/>
      <c r="EEC75" s="164"/>
      <c r="EED75" s="164"/>
      <c r="EEE75" s="164"/>
      <c r="EEF75" s="164"/>
      <c r="EEG75" s="164"/>
      <c r="EEH75" s="164"/>
      <c r="EEI75" s="164"/>
      <c r="EEJ75" s="164"/>
      <c r="EEK75" s="164"/>
      <c r="EEL75" s="164"/>
      <c r="EEM75" s="164"/>
      <c r="EEN75" s="164"/>
      <c r="EEO75" s="164"/>
      <c r="EEP75" s="164"/>
      <c r="EEQ75" s="164"/>
      <c r="EER75" s="164"/>
      <c r="EES75" s="164"/>
      <c r="EET75" s="164"/>
      <c r="EEU75" s="164"/>
      <c r="EEV75" s="164"/>
      <c r="EEW75" s="164"/>
      <c r="EEX75" s="164"/>
      <c r="EEY75" s="164"/>
      <c r="EEZ75" s="164"/>
      <c r="EFA75" s="164"/>
      <c r="EFB75" s="164"/>
      <c r="EFC75" s="164"/>
      <c r="EFD75" s="164"/>
      <c r="EFE75" s="164"/>
      <c r="EFF75" s="164"/>
      <c r="EFG75" s="164"/>
      <c r="EFH75" s="164"/>
      <c r="EFI75" s="164"/>
      <c r="EFJ75" s="164"/>
      <c r="EFK75" s="164"/>
      <c r="EFL75" s="164"/>
      <c r="EFM75" s="164"/>
      <c r="EFN75" s="164"/>
      <c r="EFO75" s="164"/>
      <c r="EFP75" s="164"/>
      <c r="EFQ75" s="164"/>
      <c r="EFR75" s="164"/>
      <c r="EFS75" s="164"/>
      <c r="EFT75" s="164"/>
      <c r="EFU75" s="164"/>
      <c r="EFV75" s="164"/>
      <c r="EFW75" s="164"/>
      <c r="EFX75" s="164"/>
      <c r="EFY75" s="164"/>
      <c r="EFZ75" s="164"/>
      <c r="EGA75" s="164"/>
      <c r="EGB75" s="164"/>
      <c r="EGC75" s="164"/>
      <c r="EGD75" s="164"/>
      <c r="EGE75" s="164"/>
      <c r="EGF75" s="164"/>
      <c r="EGG75" s="164"/>
      <c r="EGH75" s="164"/>
      <c r="EGI75" s="164"/>
      <c r="EGJ75" s="164"/>
      <c r="EGK75" s="164"/>
      <c r="EGL75" s="164"/>
      <c r="EGM75" s="164"/>
      <c r="EGN75" s="164"/>
      <c r="EGO75" s="164"/>
      <c r="EGP75" s="164"/>
      <c r="EGQ75" s="164"/>
      <c r="EGR75" s="164"/>
      <c r="EGS75" s="164"/>
      <c r="EGT75" s="164"/>
      <c r="EGU75" s="164"/>
      <c r="EGV75" s="164"/>
      <c r="EGW75" s="164"/>
      <c r="EGX75" s="164"/>
      <c r="EGY75" s="164"/>
      <c r="EGZ75" s="164"/>
      <c r="EHA75" s="164"/>
      <c r="EHB75" s="164"/>
      <c r="EHC75" s="164"/>
      <c r="EHD75" s="164"/>
      <c r="EHE75" s="164"/>
      <c r="EHF75" s="164"/>
      <c r="EHG75" s="164"/>
      <c r="EHH75" s="164"/>
      <c r="EHI75" s="164"/>
      <c r="EHJ75" s="164"/>
      <c r="EHK75" s="164"/>
      <c r="EHL75" s="164"/>
      <c r="EHM75" s="164"/>
      <c r="EHN75" s="164"/>
      <c r="EHO75" s="164"/>
      <c r="EHP75" s="164"/>
      <c r="EHQ75" s="164"/>
      <c r="EHR75" s="164"/>
      <c r="EHS75" s="164"/>
      <c r="EHT75" s="164"/>
      <c r="EHU75" s="164"/>
      <c r="EHV75" s="164"/>
      <c r="EHW75" s="164"/>
      <c r="EHX75" s="164"/>
      <c r="EHY75" s="164"/>
      <c r="EHZ75" s="164"/>
      <c r="EIA75" s="164"/>
      <c r="EIB75" s="164"/>
      <c r="EIC75" s="164"/>
      <c r="EID75" s="164"/>
      <c r="EIE75" s="164"/>
      <c r="EIF75" s="164"/>
      <c r="EIG75" s="164"/>
      <c r="EIH75" s="164"/>
      <c r="EII75" s="164"/>
      <c r="EIJ75" s="164"/>
      <c r="EIK75" s="164"/>
      <c r="EIL75" s="164"/>
      <c r="EIM75" s="164"/>
      <c r="EIN75" s="164"/>
      <c r="EIO75" s="164"/>
      <c r="EIP75" s="164"/>
      <c r="EIQ75" s="164"/>
      <c r="EIR75" s="164"/>
      <c r="EIS75" s="164"/>
      <c r="EIT75" s="164"/>
      <c r="EIU75" s="164"/>
      <c r="EIV75" s="164"/>
      <c r="EIW75" s="164"/>
      <c r="EIX75" s="164"/>
      <c r="EIY75" s="164"/>
      <c r="EIZ75" s="164"/>
      <c r="EJA75" s="164"/>
      <c r="EJB75" s="164"/>
      <c r="EJC75" s="164"/>
      <c r="EJD75" s="164"/>
      <c r="EJE75" s="164"/>
      <c r="EJF75" s="164"/>
      <c r="EJG75" s="164"/>
      <c r="EJH75" s="164"/>
      <c r="EJI75" s="164"/>
      <c r="EJJ75" s="164"/>
      <c r="EJK75" s="164"/>
      <c r="EJL75" s="164"/>
      <c r="EJM75" s="164"/>
      <c r="EJN75" s="164"/>
      <c r="EJO75" s="164"/>
      <c r="EJP75" s="164"/>
      <c r="EJQ75" s="164"/>
      <c r="EJR75" s="164"/>
      <c r="EJS75" s="164"/>
      <c r="EJT75" s="164"/>
      <c r="EJU75" s="164"/>
      <c r="EJV75" s="164"/>
      <c r="EJW75" s="164"/>
      <c r="EJX75" s="164"/>
      <c r="EJY75" s="164"/>
      <c r="EJZ75" s="164"/>
      <c r="EKA75" s="164"/>
      <c r="EKB75" s="164"/>
      <c r="EKC75" s="164"/>
      <c r="EKD75" s="164"/>
      <c r="EKE75" s="164"/>
      <c r="EKF75" s="164"/>
      <c r="EKG75" s="164"/>
      <c r="EKH75" s="164"/>
      <c r="EKI75" s="164"/>
      <c r="EKJ75" s="164"/>
      <c r="EKK75" s="164"/>
      <c r="EKL75" s="164"/>
      <c r="EKM75" s="164"/>
      <c r="EKN75" s="164"/>
      <c r="EKO75" s="164"/>
      <c r="EKP75" s="164"/>
      <c r="EKQ75" s="164"/>
      <c r="EKR75" s="164"/>
      <c r="EKS75" s="164"/>
      <c r="EKT75" s="164"/>
      <c r="EKU75" s="164"/>
      <c r="EKV75" s="164"/>
      <c r="EKW75" s="164"/>
      <c r="EKX75" s="164"/>
      <c r="EKY75" s="164"/>
      <c r="EKZ75" s="164"/>
      <c r="ELA75" s="164"/>
      <c r="ELB75" s="164"/>
      <c r="ELC75" s="164"/>
      <c r="ELD75" s="164"/>
      <c r="ELE75" s="164"/>
      <c r="ELF75" s="164"/>
      <c r="ELG75" s="164"/>
      <c r="ELH75" s="164"/>
      <c r="ELI75" s="164"/>
      <c r="ELJ75" s="164"/>
      <c r="ELK75" s="164"/>
      <c r="ELL75" s="164"/>
      <c r="ELM75" s="164"/>
      <c r="ELN75" s="164"/>
      <c r="ELO75" s="164"/>
      <c r="ELP75" s="164"/>
      <c r="ELQ75" s="164"/>
      <c r="ELR75" s="164"/>
      <c r="ELS75" s="164"/>
      <c r="ELT75" s="164"/>
      <c r="ELU75" s="164"/>
      <c r="ELV75" s="164"/>
      <c r="ELW75" s="164"/>
      <c r="ELX75" s="164"/>
      <c r="ELY75" s="164"/>
      <c r="ELZ75" s="164"/>
      <c r="EMA75" s="164"/>
      <c r="EMB75" s="164"/>
      <c r="EMC75" s="164"/>
      <c r="EMD75" s="164"/>
      <c r="EME75" s="164"/>
      <c r="EMF75" s="164"/>
      <c r="EMG75" s="164"/>
      <c r="EMH75" s="164"/>
      <c r="EMI75" s="164"/>
      <c r="EMJ75" s="164"/>
      <c r="EMK75" s="164"/>
      <c r="EML75" s="164"/>
      <c r="EMM75" s="164"/>
      <c r="EMN75" s="164"/>
      <c r="EMO75" s="164"/>
      <c r="EMP75" s="164"/>
      <c r="EMQ75" s="164"/>
      <c r="EMR75" s="164"/>
      <c r="EMS75" s="164"/>
      <c r="EMT75" s="164"/>
      <c r="EMU75" s="164"/>
      <c r="EMV75" s="164"/>
      <c r="EMW75" s="164"/>
      <c r="EMX75" s="164"/>
      <c r="EMY75" s="164"/>
      <c r="EMZ75" s="164"/>
      <c r="ENA75" s="164"/>
      <c r="ENB75" s="164"/>
      <c r="ENC75" s="164"/>
      <c r="END75" s="164"/>
      <c r="ENE75" s="164"/>
      <c r="ENF75" s="164"/>
      <c r="ENG75" s="164"/>
      <c r="ENH75" s="164"/>
      <c r="ENI75" s="164"/>
      <c r="ENJ75" s="164"/>
      <c r="ENK75" s="164"/>
      <c r="ENL75" s="164"/>
      <c r="ENM75" s="164"/>
      <c r="ENN75" s="164"/>
      <c r="ENO75" s="164"/>
      <c r="ENP75" s="164"/>
      <c r="ENQ75" s="164"/>
      <c r="ENR75" s="164"/>
      <c r="ENS75" s="164"/>
      <c r="ENT75" s="164"/>
      <c r="ENU75" s="164"/>
      <c r="ENV75" s="164"/>
      <c r="ENW75" s="164"/>
      <c r="ENX75" s="164"/>
      <c r="ENY75" s="164"/>
      <c r="ENZ75" s="164"/>
      <c r="EOA75" s="164"/>
      <c r="EOB75" s="164"/>
      <c r="EOC75" s="164"/>
      <c r="EOD75" s="164"/>
      <c r="EOE75" s="164"/>
      <c r="EOF75" s="164"/>
      <c r="EOG75" s="164"/>
      <c r="EOH75" s="164"/>
      <c r="EOI75" s="164"/>
      <c r="EOJ75" s="164"/>
      <c r="EOK75" s="164"/>
      <c r="EOL75" s="164"/>
      <c r="EOM75" s="164"/>
      <c r="EON75" s="164"/>
      <c r="EOO75" s="164"/>
      <c r="EOP75" s="164"/>
      <c r="EOQ75" s="164"/>
      <c r="EOR75" s="164"/>
      <c r="EOS75" s="164"/>
      <c r="EOT75" s="164"/>
      <c r="EOU75" s="164"/>
      <c r="EOV75" s="164"/>
      <c r="EOW75" s="164"/>
      <c r="EOX75" s="164"/>
      <c r="EOY75" s="164"/>
      <c r="EOZ75" s="164"/>
      <c r="EPA75" s="164"/>
      <c r="EPB75" s="164"/>
      <c r="EPC75" s="164"/>
      <c r="EPD75" s="164"/>
      <c r="EPE75" s="164"/>
      <c r="EPF75" s="164"/>
      <c r="EPG75" s="164"/>
      <c r="EPH75" s="164"/>
      <c r="EPI75" s="164"/>
      <c r="EPJ75" s="164"/>
      <c r="EPK75" s="164"/>
      <c r="EPL75" s="164"/>
      <c r="EPM75" s="164"/>
      <c r="EPN75" s="164"/>
      <c r="EPO75" s="164"/>
      <c r="EPP75" s="164"/>
      <c r="EPQ75" s="164"/>
      <c r="EPR75" s="164"/>
      <c r="EPS75" s="164"/>
      <c r="EPT75" s="164"/>
      <c r="EPU75" s="164"/>
      <c r="EPV75" s="164"/>
      <c r="EPW75" s="164"/>
      <c r="EPX75" s="164"/>
      <c r="EPY75" s="164"/>
      <c r="EPZ75" s="164"/>
      <c r="EQA75" s="164"/>
      <c r="EQB75" s="164"/>
      <c r="EQC75" s="164"/>
      <c r="EQD75" s="164"/>
      <c r="EQE75" s="164"/>
      <c r="EQF75" s="164"/>
      <c r="EQG75" s="164"/>
      <c r="EQH75" s="164"/>
      <c r="EQI75" s="164"/>
      <c r="EQJ75" s="164"/>
      <c r="EQK75" s="164"/>
      <c r="EQL75" s="164"/>
      <c r="EQM75" s="164"/>
      <c r="EQN75" s="164"/>
      <c r="EQO75" s="164"/>
      <c r="EQP75" s="164"/>
      <c r="EQQ75" s="164"/>
      <c r="EQR75" s="164"/>
      <c r="EQS75" s="164"/>
      <c r="EQT75" s="164"/>
      <c r="EQU75" s="164"/>
      <c r="EQV75" s="164"/>
      <c r="EQW75" s="164"/>
      <c r="EQX75" s="164"/>
      <c r="EQY75" s="164"/>
      <c r="EQZ75" s="164"/>
      <c r="ERA75" s="164"/>
      <c r="ERB75" s="164"/>
      <c r="ERC75" s="164"/>
      <c r="ERD75" s="164"/>
      <c r="ERE75" s="164"/>
      <c r="ERF75" s="164"/>
      <c r="ERG75" s="164"/>
      <c r="ERH75" s="164"/>
      <c r="ERI75" s="164"/>
      <c r="ERJ75" s="164"/>
      <c r="ERK75" s="164"/>
      <c r="ERL75" s="164"/>
      <c r="ERM75" s="164"/>
      <c r="ERN75" s="164"/>
      <c r="ERO75" s="164"/>
      <c r="ERP75" s="164"/>
      <c r="ERQ75" s="164"/>
      <c r="ERR75" s="164"/>
      <c r="ERS75" s="164"/>
      <c r="ERT75" s="164"/>
      <c r="ERU75" s="164"/>
      <c r="ERV75" s="164"/>
      <c r="ERW75" s="164"/>
      <c r="ERX75" s="164"/>
      <c r="ERY75" s="164"/>
      <c r="ERZ75" s="164"/>
      <c r="ESA75" s="164"/>
      <c r="ESB75" s="164"/>
      <c r="ESC75" s="164"/>
      <c r="ESD75" s="164"/>
      <c r="ESE75" s="164"/>
      <c r="ESF75" s="164"/>
      <c r="ESG75" s="164"/>
      <c r="ESH75" s="164"/>
      <c r="ESI75" s="164"/>
      <c r="ESJ75" s="164"/>
      <c r="ESK75" s="164"/>
      <c r="ESL75" s="164"/>
      <c r="ESM75" s="164"/>
      <c r="ESN75" s="164"/>
      <c r="ESO75" s="164"/>
      <c r="ESP75" s="164"/>
      <c r="ESQ75" s="164"/>
      <c r="ESR75" s="164"/>
      <c r="ESS75" s="164"/>
      <c r="EST75" s="164"/>
      <c r="ESU75" s="164"/>
      <c r="ESV75" s="164"/>
      <c r="ESW75" s="164"/>
      <c r="ESX75" s="164"/>
      <c r="ESY75" s="164"/>
      <c r="ESZ75" s="164"/>
      <c r="ETA75" s="164"/>
      <c r="ETB75" s="164"/>
      <c r="ETC75" s="164"/>
      <c r="ETD75" s="164"/>
      <c r="ETE75" s="164"/>
      <c r="ETF75" s="164"/>
      <c r="ETG75" s="164"/>
      <c r="ETH75" s="164"/>
      <c r="ETI75" s="164"/>
      <c r="ETJ75" s="164"/>
      <c r="ETK75" s="164"/>
      <c r="ETL75" s="164"/>
      <c r="ETM75" s="164"/>
      <c r="ETN75" s="164"/>
      <c r="ETO75" s="164"/>
      <c r="ETP75" s="164"/>
      <c r="ETQ75" s="164"/>
      <c r="ETR75" s="164"/>
      <c r="ETS75" s="164"/>
      <c r="ETT75" s="164"/>
      <c r="ETU75" s="164"/>
      <c r="ETV75" s="164"/>
      <c r="ETW75" s="164"/>
      <c r="ETX75" s="164"/>
      <c r="ETY75" s="164"/>
      <c r="ETZ75" s="164"/>
      <c r="EUA75" s="164"/>
      <c r="EUB75" s="164"/>
      <c r="EUC75" s="164"/>
      <c r="EUD75" s="164"/>
      <c r="EUE75" s="164"/>
      <c r="EUF75" s="164"/>
      <c r="EUG75" s="164"/>
      <c r="EUH75" s="164"/>
      <c r="EUI75" s="164"/>
      <c r="EUJ75" s="164"/>
      <c r="EUK75" s="164"/>
      <c r="EUL75" s="164"/>
      <c r="EUM75" s="164"/>
      <c r="EUN75" s="164"/>
      <c r="EUO75" s="164"/>
      <c r="EUP75" s="164"/>
      <c r="EUQ75" s="164"/>
      <c r="EUR75" s="164"/>
      <c r="EUS75" s="164"/>
      <c r="EUT75" s="164"/>
      <c r="EUU75" s="164"/>
      <c r="EUV75" s="164"/>
      <c r="EUW75" s="164"/>
      <c r="EUX75" s="164"/>
      <c r="EUY75" s="164"/>
      <c r="EUZ75" s="164"/>
      <c r="EVA75" s="164"/>
      <c r="EVB75" s="164"/>
      <c r="EVC75" s="164"/>
      <c r="EVD75" s="164"/>
      <c r="EVE75" s="164"/>
      <c r="EVF75" s="164"/>
      <c r="EVG75" s="164"/>
      <c r="EVH75" s="164"/>
      <c r="EVI75" s="164"/>
      <c r="EVJ75" s="164"/>
      <c r="EVK75" s="164"/>
      <c r="EVL75" s="164"/>
      <c r="EVM75" s="164"/>
      <c r="EVN75" s="164"/>
      <c r="EVO75" s="164"/>
      <c r="EVP75" s="164"/>
      <c r="EVQ75" s="164"/>
      <c r="EVR75" s="164"/>
      <c r="EVS75" s="164"/>
      <c r="EVT75" s="164"/>
      <c r="EVU75" s="164"/>
      <c r="EVV75" s="164"/>
      <c r="EVW75" s="164"/>
      <c r="EVX75" s="164"/>
      <c r="EVY75" s="164"/>
      <c r="EVZ75" s="164"/>
      <c r="EWA75" s="164"/>
      <c r="EWB75" s="164"/>
      <c r="EWC75" s="164"/>
      <c r="EWD75" s="164"/>
      <c r="EWE75" s="164"/>
      <c r="EWF75" s="164"/>
      <c r="EWG75" s="164"/>
      <c r="EWH75" s="164"/>
      <c r="EWI75" s="164"/>
      <c r="EWJ75" s="164"/>
      <c r="EWK75" s="164"/>
      <c r="EWL75" s="164"/>
      <c r="EWM75" s="164"/>
      <c r="EWN75" s="164"/>
      <c r="EWO75" s="164"/>
      <c r="EWP75" s="164"/>
      <c r="EWQ75" s="164"/>
      <c r="EWR75" s="164"/>
      <c r="EWS75" s="164"/>
      <c r="EWT75" s="164"/>
      <c r="EWU75" s="164"/>
      <c r="EWV75" s="164"/>
      <c r="EWW75" s="164"/>
      <c r="EWX75" s="164"/>
      <c r="EWY75" s="164"/>
      <c r="EWZ75" s="164"/>
      <c r="EXA75" s="164"/>
      <c r="EXB75" s="164"/>
      <c r="EXC75" s="164"/>
      <c r="EXD75" s="164"/>
      <c r="EXE75" s="164"/>
      <c r="EXF75" s="164"/>
      <c r="EXG75" s="164"/>
      <c r="EXH75" s="164"/>
      <c r="EXI75" s="164"/>
      <c r="EXJ75" s="164"/>
      <c r="EXK75" s="164"/>
      <c r="EXL75" s="164"/>
      <c r="EXM75" s="164"/>
      <c r="EXN75" s="164"/>
      <c r="EXO75" s="164"/>
      <c r="EXP75" s="164"/>
      <c r="EXQ75" s="164"/>
      <c r="EXR75" s="164"/>
      <c r="EXS75" s="164"/>
      <c r="EXT75" s="164"/>
      <c r="EXU75" s="164"/>
      <c r="EXV75" s="164"/>
      <c r="EXW75" s="164"/>
      <c r="EXX75" s="164"/>
      <c r="EXY75" s="164"/>
      <c r="EXZ75" s="164"/>
      <c r="EYA75" s="164"/>
      <c r="EYB75" s="164"/>
      <c r="EYC75" s="164"/>
      <c r="EYD75" s="164"/>
      <c r="EYE75" s="164"/>
      <c r="EYF75" s="164"/>
      <c r="EYG75" s="164"/>
      <c r="EYH75" s="164"/>
      <c r="EYI75" s="164"/>
      <c r="EYJ75" s="164"/>
      <c r="EYK75" s="164"/>
      <c r="EYL75" s="164"/>
      <c r="EYM75" s="164"/>
      <c r="EYN75" s="164"/>
      <c r="EYO75" s="164"/>
      <c r="EYP75" s="164"/>
      <c r="EYQ75" s="164"/>
      <c r="EYR75" s="164"/>
      <c r="EYS75" s="164"/>
      <c r="EYT75" s="164"/>
      <c r="EYU75" s="164"/>
      <c r="EYV75" s="164"/>
      <c r="EYW75" s="164"/>
      <c r="EYX75" s="164"/>
      <c r="EYY75" s="164"/>
      <c r="EYZ75" s="164"/>
      <c r="EZA75" s="164"/>
      <c r="EZB75" s="164"/>
      <c r="EZC75" s="164"/>
      <c r="EZD75" s="164"/>
      <c r="EZE75" s="164"/>
      <c r="EZF75" s="164"/>
      <c r="EZG75" s="164"/>
      <c r="EZH75" s="164"/>
      <c r="EZI75" s="164"/>
      <c r="EZJ75" s="164"/>
      <c r="EZK75" s="164"/>
      <c r="EZL75" s="164"/>
      <c r="EZM75" s="164"/>
      <c r="EZN75" s="164"/>
      <c r="EZO75" s="164"/>
      <c r="EZP75" s="164"/>
      <c r="EZQ75" s="164"/>
      <c r="EZR75" s="164"/>
      <c r="EZS75" s="164"/>
      <c r="EZT75" s="164"/>
      <c r="EZU75" s="164"/>
      <c r="EZV75" s="164"/>
      <c r="EZW75" s="164"/>
      <c r="EZX75" s="164"/>
      <c r="EZY75" s="164"/>
      <c r="EZZ75" s="164"/>
      <c r="FAA75" s="164"/>
      <c r="FAB75" s="164"/>
      <c r="FAC75" s="164"/>
      <c r="FAD75" s="164"/>
      <c r="FAE75" s="164"/>
      <c r="FAF75" s="164"/>
      <c r="FAG75" s="164"/>
      <c r="FAH75" s="164"/>
      <c r="FAI75" s="164"/>
      <c r="FAJ75" s="164"/>
      <c r="FAK75" s="164"/>
      <c r="FAL75" s="164"/>
      <c r="FAM75" s="164"/>
      <c r="FAN75" s="164"/>
      <c r="FAO75" s="164"/>
      <c r="FAP75" s="164"/>
      <c r="FAQ75" s="164"/>
      <c r="FAR75" s="164"/>
      <c r="FAS75" s="164"/>
      <c r="FAT75" s="164"/>
      <c r="FAU75" s="164"/>
      <c r="FAV75" s="164"/>
      <c r="FAW75" s="164"/>
      <c r="FAX75" s="164"/>
      <c r="FAY75" s="164"/>
      <c r="FAZ75" s="164"/>
      <c r="FBA75" s="164"/>
      <c r="FBB75" s="164"/>
      <c r="FBC75" s="164"/>
      <c r="FBD75" s="164"/>
      <c r="FBE75" s="164"/>
      <c r="FBF75" s="164"/>
      <c r="FBG75" s="164"/>
      <c r="FBH75" s="164"/>
      <c r="FBI75" s="164"/>
      <c r="FBJ75" s="164"/>
      <c r="FBK75" s="164"/>
      <c r="FBL75" s="164"/>
      <c r="FBM75" s="164"/>
      <c r="FBN75" s="164"/>
      <c r="FBO75" s="164"/>
      <c r="FBP75" s="164"/>
      <c r="FBQ75" s="164"/>
      <c r="FBR75" s="164"/>
      <c r="FBS75" s="164"/>
      <c r="FBT75" s="164"/>
      <c r="FBU75" s="164"/>
      <c r="FBV75" s="164"/>
      <c r="FBW75" s="164"/>
      <c r="FBX75" s="164"/>
      <c r="FBY75" s="164"/>
      <c r="FBZ75" s="164"/>
      <c r="FCA75" s="164"/>
      <c r="FCB75" s="164"/>
      <c r="FCC75" s="164"/>
      <c r="FCD75" s="164"/>
      <c r="FCE75" s="164"/>
      <c r="FCF75" s="164"/>
      <c r="FCG75" s="164"/>
      <c r="FCH75" s="164"/>
      <c r="FCI75" s="164"/>
      <c r="FCJ75" s="164"/>
      <c r="FCK75" s="164"/>
      <c r="FCL75" s="164"/>
      <c r="FCM75" s="164"/>
      <c r="FCN75" s="164"/>
      <c r="FCO75" s="164"/>
      <c r="FCP75" s="164"/>
      <c r="FCQ75" s="164"/>
      <c r="FCR75" s="164"/>
      <c r="FCS75" s="164"/>
      <c r="FCT75" s="164"/>
      <c r="FCU75" s="164"/>
      <c r="FCV75" s="164"/>
      <c r="FCW75" s="164"/>
      <c r="FCX75" s="164"/>
      <c r="FCY75" s="164"/>
      <c r="FCZ75" s="164"/>
      <c r="FDA75" s="164"/>
      <c r="FDB75" s="164"/>
      <c r="FDC75" s="164"/>
      <c r="FDD75" s="164"/>
      <c r="FDE75" s="164"/>
      <c r="FDF75" s="164"/>
      <c r="FDG75" s="164"/>
      <c r="FDH75" s="164"/>
      <c r="FDI75" s="164"/>
      <c r="FDJ75" s="164"/>
      <c r="FDK75" s="164"/>
      <c r="FDL75" s="164"/>
      <c r="FDM75" s="164"/>
      <c r="FDN75" s="164"/>
      <c r="FDO75" s="164"/>
      <c r="FDP75" s="164"/>
      <c r="FDQ75" s="164"/>
      <c r="FDR75" s="164"/>
      <c r="FDS75" s="164"/>
      <c r="FDT75" s="164"/>
      <c r="FDU75" s="164"/>
      <c r="FDV75" s="164"/>
      <c r="FDW75" s="164"/>
      <c r="FDX75" s="164"/>
      <c r="FDY75" s="164"/>
      <c r="FDZ75" s="164"/>
      <c r="FEA75" s="164"/>
      <c r="FEB75" s="164"/>
      <c r="FEC75" s="164"/>
      <c r="FED75" s="164"/>
      <c r="FEE75" s="164"/>
      <c r="FEF75" s="164"/>
      <c r="FEG75" s="164"/>
      <c r="FEH75" s="164"/>
      <c r="FEI75" s="164"/>
      <c r="FEJ75" s="164"/>
      <c r="FEK75" s="164"/>
      <c r="FEL75" s="164"/>
      <c r="FEM75" s="164"/>
      <c r="FEN75" s="164"/>
      <c r="FEO75" s="164"/>
      <c r="FEP75" s="164"/>
      <c r="FEQ75" s="164"/>
      <c r="FER75" s="164"/>
      <c r="FES75" s="164"/>
      <c r="FET75" s="164"/>
      <c r="FEU75" s="164"/>
      <c r="FEV75" s="164"/>
      <c r="FEW75" s="164"/>
      <c r="FEX75" s="164"/>
      <c r="FEY75" s="164"/>
      <c r="FEZ75" s="164"/>
      <c r="FFA75" s="164"/>
      <c r="FFB75" s="164"/>
      <c r="FFC75" s="164"/>
      <c r="FFD75" s="164"/>
      <c r="FFE75" s="164"/>
      <c r="FFF75" s="164"/>
      <c r="FFG75" s="164"/>
      <c r="FFH75" s="164"/>
      <c r="FFI75" s="164"/>
      <c r="FFJ75" s="164"/>
      <c r="FFK75" s="164"/>
      <c r="FFL75" s="164"/>
      <c r="FFM75" s="164"/>
      <c r="FFN75" s="164"/>
      <c r="FFO75" s="164"/>
      <c r="FFP75" s="164"/>
      <c r="FFQ75" s="164"/>
      <c r="FFR75" s="164"/>
      <c r="FFS75" s="164"/>
      <c r="FFT75" s="164"/>
      <c r="FFU75" s="164"/>
      <c r="FFV75" s="164"/>
      <c r="FFW75" s="164"/>
      <c r="FFX75" s="164"/>
      <c r="FFY75" s="164"/>
      <c r="FFZ75" s="164"/>
      <c r="FGA75" s="164"/>
      <c r="FGB75" s="164"/>
      <c r="FGC75" s="164"/>
      <c r="FGD75" s="164"/>
      <c r="FGE75" s="164"/>
      <c r="FGF75" s="164"/>
      <c r="FGG75" s="164"/>
      <c r="FGH75" s="164"/>
      <c r="FGI75" s="164"/>
      <c r="FGJ75" s="164"/>
      <c r="FGK75" s="164"/>
      <c r="FGL75" s="164"/>
      <c r="FGM75" s="164"/>
      <c r="FGN75" s="164"/>
      <c r="FGO75" s="164"/>
      <c r="FGP75" s="164"/>
      <c r="FGQ75" s="164"/>
      <c r="FGR75" s="164"/>
      <c r="FGS75" s="164"/>
      <c r="FGT75" s="164"/>
      <c r="FGU75" s="164"/>
      <c r="FGV75" s="164"/>
      <c r="FGW75" s="164"/>
      <c r="FGX75" s="164"/>
      <c r="FGY75" s="164"/>
      <c r="FGZ75" s="164"/>
      <c r="FHA75" s="164"/>
      <c r="FHB75" s="164"/>
      <c r="FHC75" s="164"/>
      <c r="FHD75" s="164"/>
      <c r="FHE75" s="164"/>
      <c r="FHF75" s="164"/>
      <c r="FHG75" s="164"/>
      <c r="FHH75" s="164"/>
      <c r="FHI75" s="164"/>
      <c r="FHJ75" s="164"/>
      <c r="FHK75" s="164"/>
      <c r="FHL75" s="164"/>
      <c r="FHM75" s="164"/>
      <c r="FHN75" s="164"/>
      <c r="FHO75" s="164"/>
      <c r="FHP75" s="164"/>
      <c r="FHQ75" s="164"/>
      <c r="FHR75" s="164"/>
      <c r="FHS75" s="164"/>
      <c r="FHT75" s="164"/>
      <c r="FHU75" s="164"/>
      <c r="FHV75" s="164"/>
      <c r="FHW75" s="164"/>
      <c r="FHX75" s="164"/>
      <c r="FHY75" s="164"/>
      <c r="FHZ75" s="164"/>
      <c r="FIA75" s="164"/>
      <c r="FIB75" s="164"/>
      <c r="FIC75" s="164"/>
      <c r="FID75" s="164"/>
      <c r="FIE75" s="164"/>
      <c r="FIF75" s="164"/>
      <c r="FIG75" s="164"/>
      <c r="FIH75" s="164"/>
      <c r="FII75" s="164"/>
      <c r="FIJ75" s="164"/>
      <c r="FIK75" s="164"/>
      <c r="FIL75" s="164"/>
      <c r="FIM75" s="164"/>
      <c r="FIN75" s="164"/>
      <c r="FIO75" s="164"/>
      <c r="FIP75" s="164"/>
      <c r="FIQ75" s="164"/>
      <c r="FIR75" s="164"/>
      <c r="FIS75" s="164"/>
      <c r="FIT75" s="164"/>
      <c r="FIU75" s="164"/>
      <c r="FIV75" s="164"/>
      <c r="FIW75" s="164"/>
      <c r="FIX75" s="164"/>
      <c r="FIY75" s="164"/>
      <c r="FIZ75" s="164"/>
      <c r="FJA75" s="164"/>
      <c r="FJB75" s="164"/>
      <c r="FJC75" s="164"/>
      <c r="FJD75" s="164"/>
      <c r="FJE75" s="164"/>
      <c r="FJF75" s="164"/>
      <c r="FJG75" s="164"/>
      <c r="FJH75" s="164"/>
      <c r="FJI75" s="164"/>
      <c r="FJJ75" s="164"/>
      <c r="FJK75" s="164"/>
      <c r="FJL75" s="164"/>
      <c r="FJM75" s="164"/>
      <c r="FJN75" s="164"/>
      <c r="FJO75" s="164"/>
      <c r="FJP75" s="164"/>
      <c r="FJQ75" s="164"/>
      <c r="FJR75" s="164"/>
      <c r="FJS75" s="164"/>
      <c r="FJT75" s="164"/>
      <c r="FJU75" s="164"/>
      <c r="FJV75" s="164"/>
      <c r="FJW75" s="164"/>
      <c r="FJX75" s="164"/>
      <c r="FJY75" s="164"/>
      <c r="FJZ75" s="164"/>
      <c r="FKA75" s="164"/>
      <c r="FKB75" s="164"/>
      <c r="FKC75" s="164"/>
      <c r="FKD75" s="164"/>
      <c r="FKE75" s="164"/>
      <c r="FKF75" s="164"/>
      <c r="FKG75" s="164"/>
      <c r="FKH75" s="164"/>
      <c r="FKI75" s="164"/>
      <c r="FKJ75" s="164"/>
      <c r="FKK75" s="164"/>
      <c r="FKL75" s="164"/>
      <c r="FKM75" s="164"/>
      <c r="FKN75" s="164"/>
      <c r="FKO75" s="164"/>
      <c r="FKP75" s="164"/>
      <c r="FKQ75" s="164"/>
      <c r="FKR75" s="164"/>
      <c r="FKS75" s="164"/>
      <c r="FKT75" s="164"/>
      <c r="FKU75" s="164"/>
      <c r="FKV75" s="164"/>
      <c r="FKW75" s="164"/>
      <c r="FKX75" s="164"/>
      <c r="FKY75" s="164"/>
      <c r="FKZ75" s="164"/>
      <c r="FLA75" s="164"/>
      <c r="FLB75" s="164"/>
      <c r="FLC75" s="164"/>
      <c r="FLD75" s="164"/>
      <c r="FLE75" s="164"/>
      <c r="FLF75" s="164"/>
      <c r="FLG75" s="164"/>
      <c r="FLH75" s="164"/>
      <c r="FLI75" s="164"/>
      <c r="FLJ75" s="164"/>
      <c r="FLK75" s="164"/>
      <c r="FLL75" s="164"/>
      <c r="FLM75" s="164"/>
      <c r="FLN75" s="164"/>
      <c r="FLO75" s="164"/>
      <c r="FLP75" s="164"/>
      <c r="FLQ75" s="164"/>
      <c r="FLR75" s="164"/>
      <c r="FLS75" s="164"/>
      <c r="FLT75" s="164"/>
      <c r="FLU75" s="164"/>
      <c r="FLV75" s="164"/>
      <c r="FLW75" s="164"/>
      <c r="FLX75" s="164"/>
      <c r="FLY75" s="164"/>
      <c r="FLZ75" s="164"/>
      <c r="FMA75" s="164"/>
      <c r="FMB75" s="164"/>
      <c r="FMC75" s="164"/>
      <c r="FMD75" s="164"/>
      <c r="FME75" s="164"/>
      <c r="FMF75" s="164"/>
      <c r="FMG75" s="164"/>
      <c r="FMH75" s="164"/>
      <c r="FMI75" s="164"/>
      <c r="FMJ75" s="164"/>
      <c r="FMK75" s="164"/>
      <c r="FML75" s="164"/>
      <c r="FMM75" s="164"/>
      <c r="FMN75" s="164"/>
      <c r="FMO75" s="164"/>
      <c r="FMP75" s="164"/>
      <c r="FMQ75" s="164"/>
      <c r="FMR75" s="164"/>
      <c r="FMS75" s="164"/>
      <c r="FMT75" s="164"/>
      <c r="FMU75" s="164"/>
      <c r="FMV75" s="164"/>
      <c r="FMW75" s="164"/>
      <c r="FMX75" s="164"/>
      <c r="FMY75" s="164"/>
      <c r="FMZ75" s="164"/>
      <c r="FNA75" s="164"/>
      <c r="FNB75" s="164"/>
      <c r="FNC75" s="164"/>
      <c r="FND75" s="164"/>
      <c r="FNE75" s="164"/>
      <c r="FNF75" s="164"/>
      <c r="FNG75" s="164"/>
      <c r="FNH75" s="164"/>
      <c r="FNI75" s="164"/>
      <c r="FNJ75" s="164"/>
      <c r="FNK75" s="164"/>
      <c r="FNL75" s="164"/>
      <c r="FNM75" s="164"/>
      <c r="FNN75" s="164"/>
      <c r="FNO75" s="164"/>
      <c r="FNP75" s="164"/>
      <c r="FNQ75" s="164"/>
      <c r="FNR75" s="164"/>
      <c r="FNS75" s="164"/>
      <c r="FNT75" s="164"/>
      <c r="FNU75" s="164"/>
      <c r="FNV75" s="164"/>
      <c r="FNW75" s="164"/>
      <c r="FNX75" s="164"/>
      <c r="FNY75" s="164"/>
      <c r="FNZ75" s="164"/>
      <c r="FOA75" s="164"/>
      <c r="FOB75" s="164"/>
      <c r="FOC75" s="164"/>
      <c r="FOD75" s="164"/>
      <c r="FOE75" s="164"/>
      <c r="FOF75" s="164"/>
      <c r="FOG75" s="164"/>
      <c r="FOH75" s="164"/>
      <c r="FOI75" s="164"/>
      <c r="FOJ75" s="164"/>
      <c r="FOK75" s="164"/>
      <c r="FOL75" s="164"/>
      <c r="FOM75" s="164"/>
      <c r="FON75" s="164"/>
      <c r="FOO75" s="164"/>
      <c r="FOP75" s="164"/>
      <c r="FOQ75" s="164"/>
      <c r="FOR75" s="164"/>
      <c r="FOS75" s="164"/>
      <c r="FOT75" s="164"/>
      <c r="FOU75" s="164"/>
      <c r="FOV75" s="164"/>
      <c r="FOW75" s="164"/>
      <c r="FOX75" s="164"/>
      <c r="FOY75" s="164"/>
      <c r="FOZ75" s="164"/>
      <c r="FPA75" s="164"/>
      <c r="FPB75" s="164"/>
      <c r="FPC75" s="164"/>
      <c r="FPD75" s="164"/>
      <c r="FPE75" s="164"/>
      <c r="FPF75" s="164"/>
      <c r="FPG75" s="164"/>
      <c r="FPH75" s="164"/>
      <c r="FPI75" s="164"/>
      <c r="FPJ75" s="164"/>
      <c r="FPK75" s="164"/>
      <c r="FPL75" s="164"/>
      <c r="FPM75" s="164"/>
      <c r="FPN75" s="164"/>
      <c r="FPO75" s="164"/>
      <c r="FPP75" s="164"/>
      <c r="FPQ75" s="164"/>
      <c r="FPR75" s="164"/>
      <c r="FPS75" s="164"/>
      <c r="FPT75" s="164"/>
      <c r="FPU75" s="164"/>
      <c r="FPV75" s="164"/>
      <c r="FPW75" s="164"/>
      <c r="FPX75" s="164"/>
      <c r="FPY75" s="164"/>
      <c r="FPZ75" s="164"/>
      <c r="FQA75" s="164"/>
      <c r="FQB75" s="164"/>
      <c r="FQC75" s="164"/>
      <c r="FQD75" s="164"/>
      <c r="FQE75" s="164"/>
      <c r="FQF75" s="164"/>
      <c r="FQG75" s="164"/>
      <c r="FQH75" s="164"/>
      <c r="FQI75" s="164"/>
      <c r="FQJ75" s="164"/>
      <c r="FQK75" s="164"/>
      <c r="FQL75" s="164"/>
      <c r="FQM75" s="164"/>
      <c r="FQN75" s="164"/>
      <c r="FQO75" s="164"/>
      <c r="FQP75" s="164"/>
      <c r="FQQ75" s="164"/>
      <c r="FQR75" s="164"/>
      <c r="FQS75" s="164"/>
      <c r="FQT75" s="164"/>
      <c r="FQU75" s="164"/>
      <c r="FQV75" s="164"/>
      <c r="FQW75" s="164"/>
      <c r="FQX75" s="164"/>
      <c r="FQY75" s="164"/>
      <c r="FQZ75" s="164"/>
      <c r="FRA75" s="164"/>
      <c r="FRB75" s="164"/>
      <c r="FRC75" s="164"/>
      <c r="FRD75" s="164"/>
      <c r="FRE75" s="164"/>
      <c r="FRF75" s="164"/>
      <c r="FRG75" s="164"/>
      <c r="FRH75" s="164"/>
      <c r="FRI75" s="164"/>
      <c r="FRJ75" s="164"/>
      <c r="FRK75" s="164"/>
      <c r="FRL75" s="164"/>
      <c r="FRM75" s="164"/>
      <c r="FRN75" s="164"/>
      <c r="FRO75" s="164"/>
      <c r="FRP75" s="164"/>
      <c r="FRQ75" s="164"/>
      <c r="FRR75" s="164"/>
      <c r="FRS75" s="164"/>
      <c r="FRT75" s="164"/>
      <c r="FRU75" s="164"/>
      <c r="FRV75" s="164"/>
      <c r="FRW75" s="164"/>
      <c r="FRX75" s="164"/>
      <c r="FRY75" s="164"/>
      <c r="FRZ75" s="164"/>
      <c r="FSA75" s="164"/>
      <c r="FSB75" s="164"/>
      <c r="FSC75" s="164"/>
      <c r="FSD75" s="164"/>
      <c r="FSE75" s="164"/>
      <c r="FSF75" s="164"/>
      <c r="FSG75" s="164"/>
      <c r="FSH75" s="164"/>
      <c r="FSI75" s="164"/>
      <c r="FSJ75" s="164"/>
      <c r="FSK75" s="164"/>
      <c r="FSL75" s="164"/>
      <c r="FSM75" s="164"/>
      <c r="FSN75" s="164"/>
      <c r="FSO75" s="164"/>
      <c r="FSP75" s="164"/>
      <c r="FSQ75" s="164"/>
      <c r="FSR75" s="164"/>
      <c r="FSS75" s="164"/>
      <c r="FST75" s="164"/>
      <c r="FSU75" s="164"/>
      <c r="FSV75" s="164"/>
      <c r="FSW75" s="164"/>
      <c r="FSX75" s="164"/>
      <c r="FSY75" s="164"/>
      <c r="FSZ75" s="164"/>
      <c r="FTA75" s="164"/>
      <c r="FTB75" s="164"/>
      <c r="FTC75" s="164"/>
      <c r="FTD75" s="164"/>
      <c r="FTE75" s="164"/>
      <c r="FTF75" s="164"/>
      <c r="FTG75" s="164"/>
      <c r="FTH75" s="164"/>
      <c r="FTI75" s="164"/>
      <c r="FTJ75" s="164"/>
      <c r="FTK75" s="164"/>
      <c r="FTL75" s="164"/>
      <c r="FTM75" s="164"/>
      <c r="FTN75" s="164"/>
      <c r="FTO75" s="164"/>
      <c r="FTP75" s="164"/>
      <c r="FTQ75" s="164"/>
      <c r="FTR75" s="164"/>
      <c r="FTS75" s="164"/>
      <c r="FTT75" s="164"/>
      <c r="FTU75" s="164"/>
      <c r="FTV75" s="164"/>
      <c r="FTW75" s="164"/>
      <c r="FTX75" s="164"/>
      <c r="FTY75" s="164"/>
      <c r="FTZ75" s="164"/>
      <c r="FUA75" s="164"/>
      <c r="FUB75" s="164"/>
      <c r="FUC75" s="164"/>
      <c r="FUD75" s="164"/>
      <c r="FUE75" s="164"/>
      <c r="FUF75" s="164"/>
      <c r="FUG75" s="164"/>
      <c r="FUH75" s="164"/>
      <c r="FUI75" s="164"/>
      <c r="FUJ75" s="164"/>
      <c r="FUK75" s="164"/>
      <c r="FUL75" s="164"/>
      <c r="FUM75" s="164"/>
      <c r="FUN75" s="164"/>
      <c r="FUO75" s="164"/>
      <c r="FUP75" s="164"/>
      <c r="FUQ75" s="164"/>
      <c r="FUR75" s="164"/>
      <c r="FUS75" s="164"/>
      <c r="FUT75" s="164"/>
      <c r="FUU75" s="164"/>
      <c r="FUV75" s="164"/>
      <c r="FUW75" s="164"/>
      <c r="FUX75" s="164"/>
      <c r="FUY75" s="164"/>
      <c r="FUZ75" s="164"/>
      <c r="FVA75" s="164"/>
      <c r="FVB75" s="164"/>
      <c r="FVC75" s="164"/>
      <c r="FVD75" s="164"/>
      <c r="FVE75" s="164"/>
      <c r="FVF75" s="164"/>
      <c r="FVG75" s="164"/>
      <c r="FVH75" s="164"/>
      <c r="FVI75" s="164"/>
      <c r="FVJ75" s="164"/>
      <c r="FVK75" s="164"/>
      <c r="FVL75" s="164"/>
      <c r="FVM75" s="164"/>
      <c r="FVN75" s="164"/>
      <c r="FVO75" s="164"/>
      <c r="FVP75" s="164"/>
      <c r="FVQ75" s="164"/>
      <c r="FVR75" s="164"/>
      <c r="FVS75" s="164"/>
      <c r="FVT75" s="164"/>
      <c r="FVU75" s="164"/>
      <c r="FVV75" s="164"/>
      <c r="FVW75" s="164"/>
      <c r="FVX75" s="164"/>
      <c r="FVY75" s="164"/>
      <c r="FVZ75" s="164"/>
      <c r="FWA75" s="164"/>
      <c r="FWB75" s="164"/>
      <c r="FWC75" s="164"/>
      <c r="FWD75" s="164"/>
      <c r="FWE75" s="164"/>
      <c r="FWF75" s="164"/>
      <c r="FWG75" s="164"/>
      <c r="FWH75" s="164"/>
      <c r="FWI75" s="164"/>
      <c r="FWJ75" s="164"/>
      <c r="FWK75" s="164"/>
      <c r="FWL75" s="164"/>
      <c r="FWM75" s="164"/>
      <c r="FWN75" s="164"/>
      <c r="FWO75" s="164"/>
      <c r="FWP75" s="164"/>
      <c r="FWQ75" s="164"/>
      <c r="FWR75" s="164"/>
      <c r="FWS75" s="164"/>
      <c r="FWT75" s="164"/>
      <c r="FWU75" s="164"/>
      <c r="FWV75" s="164"/>
      <c r="FWW75" s="164"/>
      <c r="FWX75" s="164"/>
      <c r="FWY75" s="164"/>
      <c r="FWZ75" s="164"/>
      <c r="FXA75" s="164"/>
      <c r="FXB75" s="164"/>
      <c r="FXC75" s="164"/>
      <c r="FXD75" s="164"/>
      <c r="FXE75" s="164"/>
      <c r="FXF75" s="164"/>
      <c r="FXG75" s="164"/>
      <c r="FXH75" s="164"/>
      <c r="FXI75" s="164"/>
      <c r="FXJ75" s="164"/>
      <c r="FXK75" s="164"/>
      <c r="FXL75" s="164"/>
      <c r="FXM75" s="164"/>
      <c r="FXN75" s="164"/>
      <c r="FXO75" s="164"/>
      <c r="FXP75" s="164"/>
      <c r="FXQ75" s="164"/>
      <c r="FXR75" s="164"/>
      <c r="FXS75" s="164"/>
      <c r="FXT75" s="164"/>
      <c r="FXU75" s="164"/>
      <c r="FXV75" s="164"/>
      <c r="FXW75" s="164"/>
      <c r="FXX75" s="164"/>
      <c r="FXY75" s="164"/>
      <c r="FXZ75" s="164"/>
      <c r="FYA75" s="164"/>
      <c r="FYB75" s="164"/>
      <c r="FYC75" s="164"/>
      <c r="FYD75" s="164"/>
      <c r="FYE75" s="164"/>
      <c r="FYF75" s="164"/>
      <c r="FYG75" s="164"/>
      <c r="FYH75" s="164"/>
      <c r="FYI75" s="164"/>
      <c r="FYJ75" s="164"/>
      <c r="FYK75" s="164"/>
      <c r="FYL75" s="164"/>
      <c r="FYM75" s="164"/>
      <c r="FYN75" s="164"/>
      <c r="FYO75" s="164"/>
      <c r="FYP75" s="164"/>
      <c r="FYQ75" s="164"/>
      <c r="FYR75" s="164"/>
      <c r="FYS75" s="164"/>
      <c r="FYT75" s="164"/>
      <c r="FYU75" s="164"/>
      <c r="FYV75" s="164"/>
      <c r="FYW75" s="164"/>
      <c r="FYX75" s="164"/>
      <c r="FYY75" s="164"/>
      <c r="FYZ75" s="164"/>
      <c r="FZA75" s="164"/>
      <c r="FZB75" s="164"/>
      <c r="FZC75" s="164"/>
      <c r="FZD75" s="164"/>
      <c r="FZE75" s="164"/>
      <c r="FZF75" s="164"/>
      <c r="FZG75" s="164"/>
      <c r="FZH75" s="164"/>
      <c r="FZI75" s="164"/>
      <c r="FZJ75" s="164"/>
      <c r="FZK75" s="164"/>
      <c r="FZL75" s="164"/>
      <c r="FZM75" s="164"/>
      <c r="FZN75" s="164"/>
      <c r="FZO75" s="164"/>
      <c r="FZP75" s="164"/>
      <c r="FZQ75" s="164"/>
      <c r="FZR75" s="164"/>
      <c r="FZS75" s="164"/>
      <c r="FZT75" s="164"/>
      <c r="FZU75" s="164"/>
      <c r="FZV75" s="164"/>
      <c r="FZW75" s="164"/>
      <c r="FZX75" s="164"/>
      <c r="FZY75" s="164"/>
      <c r="FZZ75" s="164"/>
      <c r="GAA75" s="164"/>
      <c r="GAB75" s="164"/>
      <c r="GAC75" s="164"/>
      <c r="GAD75" s="164"/>
      <c r="GAE75" s="164"/>
      <c r="GAF75" s="164"/>
      <c r="GAG75" s="164"/>
      <c r="GAH75" s="164"/>
      <c r="GAI75" s="164"/>
      <c r="GAJ75" s="164"/>
      <c r="GAK75" s="164"/>
      <c r="GAL75" s="164"/>
      <c r="GAM75" s="164"/>
      <c r="GAN75" s="164"/>
      <c r="GAO75" s="164"/>
      <c r="GAP75" s="164"/>
      <c r="GAQ75" s="164"/>
      <c r="GAR75" s="164"/>
      <c r="GAS75" s="164"/>
      <c r="GAT75" s="164"/>
      <c r="GAU75" s="164"/>
      <c r="GAV75" s="164"/>
      <c r="GAW75" s="164"/>
      <c r="GAX75" s="164"/>
      <c r="GAY75" s="164"/>
      <c r="GAZ75" s="164"/>
      <c r="GBA75" s="164"/>
      <c r="GBB75" s="164"/>
      <c r="GBC75" s="164"/>
      <c r="GBD75" s="164"/>
      <c r="GBE75" s="164"/>
      <c r="GBF75" s="164"/>
      <c r="GBG75" s="164"/>
      <c r="GBH75" s="164"/>
      <c r="GBI75" s="164"/>
      <c r="GBJ75" s="164"/>
      <c r="GBK75" s="164"/>
      <c r="GBL75" s="164"/>
      <c r="GBM75" s="164"/>
      <c r="GBN75" s="164"/>
      <c r="GBO75" s="164"/>
      <c r="GBP75" s="164"/>
      <c r="GBQ75" s="164"/>
      <c r="GBR75" s="164"/>
      <c r="GBS75" s="164"/>
      <c r="GBT75" s="164"/>
      <c r="GBU75" s="164"/>
      <c r="GBV75" s="164"/>
      <c r="GBW75" s="164"/>
      <c r="GBX75" s="164"/>
      <c r="GBY75" s="164"/>
      <c r="GBZ75" s="164"/>
      <c r="GCA75" s="164"/>
      <c r="GCB75" s="164"/>
      <c r="GCC75" s="164"/>
      <c r="GCD75" s="164"/>
      <c r="GCE75" s="164"/>
      <c r="GCF75" s="164"/>
      <c r="GCG75" s="164"/>
      <c r="GCH75" s="164"/>
      <c r="GCI75" s="164"/>
      <c r="GCJ75" s="164"/>
      <c r="GCK75" s="164"/>
      <c r="GCL75" s="164"/>
      <c r="GCM75" s="164"/>
      <c r="GCN75" s="164"/>
      <c r="GCO75" s="164"/>
      <c r="GCP75" s="164"/>
      <c r="GCQ75" s="164"/>
      <c r="GCR75" s="164"/>
      <c r="GCS75" s="164"/>
      <c r="GCT75" s="164"/>
      <c r="GCU75" s="164"/>
      <c r="GCV75" s="164"/>
      <c r="GCW75" s="164"/>
      <c r="GCX75" s="164"/>
      <c r="GCY75" s="164"/>
      <c r="GCZ75" s="164"/>
      <c r="GDA75" s="164"/>
      <c r="GDB75" s="164"/>
      <c r="GDC75" s="164"/>
      <c r="GDD75" s="164"/>
      <c r="GDE75" s="164"/>
      <c r="GDF75" s="164"/>
      <c r="GDG75" s="164"/>
      <c r="GDH75" s="164"/>
      <c r="GDI75" s="164"/>
      <c r="GDJ75" s="164"/>
      <c r="GDK75" s="164"/>
      <c r="GDL75" s="164"/>
      <c r="GDM75" s="164"/>
      <c r="GDN75" s="164"/>
      <c r="GDO75" s="164"/>
      <c r="GDP75" s="164"/>
      <c r="GDQ75" s="164"/>
      <c r="GDR75" s="164"/>
      <c r="GDS75" s="164"/>
      <c r="GDT75" s="164"/>
      <c r="GDU75" s="164"/>
      <c r="GDV75" s="164"/>
      <c r="GDW75" s="164"/>
      <c r="GDX75" s="164"/>
      <c r="GDY75" s="164"/>
      <c r="GDZ75" s="164"/>
      <c r="GEA75" s="164"/>
      <c r="GEB75" s="164"/>
      <c r="GEC75" s="164"/>
      <c r="GED75" s="164"/>
      <c r="GEE75" s="164"/>
      <c r="GEF75" s="164"/>
      <c r="GEG75" s="164"/>
      <c r="GEH75" s="164"/>
      <c r="GEI75" s="164"/>
      <c r="GEJ75" s="164"/>
      <c r="GEK75" s="164"/>
      <c r="GEL75" s="164"/>
      <c r="GEM75" s="164"/>
      <c r="GEN75" s="164"/>
      <c r="GEO75" s="164"/>
      <c r="GEP75" s="164"/>
      <c r="GEQ75" s="164"/>
      <c r="GER75" s="164"/>
      <c r="GES75" s="164"/>
      <c r="GET75" s="164"/>
      <c r="GEU75" s="164"/>
      <c r="GEV75" s="164"/>
      <c r="GEW75" s="164"/>
      <c r="GEX75" s="164"/>
      <c r="GEY75" s="164"/>
      <c r="GEZ75" s="164"/>
      <c r="GFA75" s="164"/>
      <c r="GFB75" s="164"/>
      <c r="GFC75" s="164"/>
      <c r="GFD75" s="164"/>
      <c r="GFE75" s="164"/>
      <c r="GFF75" s="164"/>
      <c r="GFG75" s="164"/>
      <c r="GFH75" s="164"/>
      <c r="GFI75" s="164"/>
      <c r="GFJ75" s="164"/>
      <c r="GFK75" s="164"/>
      <c r="GFL75" s="164"/>
      <c r="GFM75" s="164"/>
      <c r="GFN75" s="164"/>
      <c r="GFO75" s="164"/>
      <c r="GFP75" s="164"/>
      <c r="GFQ75" s="164"/>
      <c r="GFR75" s="164"/>
      <c r="GFS75" s="164"/>
      <c r="GFT75" s="164"/>
      <c r="GFU75" s="164"/>
      <c r="GFV75" s="164"/>
      <c r="GFW75" s="164"/>
      <c r="GFX75" s="164"/>
      <c r="GFY75" s="164"/>
      <c r="GFZ75" s="164"/>
      <c r="GGA75" s="164"/>
      <c r="GGB75" s="164"/>
      <c r="GGC75" s="164"/>
      <c r="GGD75" s="164"/>
      <c r="GGE75" s="164"/>
      <c r="GGF75" s="164"/>
      <c r="GGG75" s="164"/>
      <c r="GGH75" s="164"/>
      <c r="GGI75" s="164"/>
      <c r="GGJ75" s="164"/>
      <c r="GGK75" s="164"/>
      <c r="GGL75" s="164"/>
      <c r="GGM75" s="164"/>
      <c r="GGN75" s="164"/>
      <c r="GGO75" s="164"/>
      <c r="GGP75" s="164"/>
      <c r="GGQ75" s="164"/>
      <c r="GGR75" s="164"/>
      <c r="GGS75" s="164"/>
      <c r="GGT75" s="164"/>
      <c r="GGU75" s="164"/>
      <c r="GGV75" s="164"/>
      <c r="GGW75" s="164"/>
      <c r="GGX75" s="164"/>
      <c r="GGY75" s="164"/>
      <c r="GGZ75" s="164"/>
      <c r="GHA75" s="164"/>
      <c r="GHB75" s="164"/>
      <c r="GHC75" s="164"/>
      <c r="GHD75" s="164"/>
      <c r="GHE75" s="164"/>
      <c r="GHF75" s="164"/>
      <c r="GHG75" s="164"/>
      <c r="GHH75" s="164"/>
      <c r="GHI75" s="164"/>
      <c r="GHJ75" s="164"/>
      <c r="GHK75" s="164"/>
      <c r="GHL75" s="164"/>
      <c r="GHM75" s="164"/>
      <c r="GHN75" s="164"/>
      <c r="GHO75" s="164"/>
      <c r="GHP75" s="164"/>
      <c r="GHQ75" s="164"/>
      <c r="GHR75" s="164"/>
      <c r="GHS75" s="164"/>
      <c r="GHT75" s="164"/>
      <c r="GHU75" s="164"/>
      <c r="GHV75" s="164"/>
      <c r="GHW75" s="164"/>
      <c r="GHX75" s="164"/>
      <c r="GHY75" s="164"/>
      <c r="GHZ75" s="164"/>
      <c r="GIA75" s="164"/>
      <c r="GIB75" s="164"/>
      <c r="GIC75" s="164"/>
      <c r="GID75" s="164"/>
      <c r="GIE75" s="164"/>
      <c r="GIF75" s="164"/>
      <c r="GIG75" s="164"/>
      <c r="GIH75" s="164"/>
      <c r="GII75" s="164"/>
      <c r="GIJ75" s="164"/>
      <c r="GIK75" s="164"/>
      <c r="GIL75" s="164"/>
      <c r="GIM75" s="164"/>
      <c r="GIN75" s="164"/>
      <c r="GIO75" s="164"/>
      <c r="GIP75" s="164"/>
      <c r="GIQ75" s="164"/>
      <c r="GIR75" s="164"/>
      <c r="GIS75" s="164"/>
      <c r="GIT75" s="164"/>
      <c r="GIU75" s="164"/>
      <c r="GIV75" s="164"/>
      <c r="GIW75" s="164"/>
      <c r="GIX75" s="164"/>
      <c r="GIY75" s="164"/>
      <c r="GIZ75" s="164"/>
      <c r="GJA75" s="164"/>
      <c r="GJB75" s="164"/>
      <c r="GJC75" s="164"/>
      <c r="GJD75" s="164"/>
      <c r="GJE75" s="164"/>
      <c r="GJF75" s="164"/>
      <c r="GJG75" s="164"/>
      <c r="GJH75" s="164"/>
      <c r="GJI75" s="164"/>
      <c r="GJJ75" s="164"/>
      <c r="GJK75" s="164"/>
      <c r="GJL75" s="164"/>
      <c r="GJM75" s="164"/>
      <c r="GJN75" s="164"/>
      <c r="GJO75" s="164"/>
      <c r="GJP75" s="164"/>
      <c r="GJQ75" s="164"/>
      <c r="GJR75" s="164"/>
      <c r="GJS75" s="164"/>
      <c r="GJT75" s="164"/>
      <c r="GJU75" s="164"/>
      <c r="GJV75" s="164"/>
      <c r="GJW75" s="164"/>
      <c r="GJX75" s="164"/>
      <c r="GJY75" s="164"/>
      <c r="GJZ75" s="164"/>
      <c r="GKA75" s="164"/>
      <c r="GKB75" s="164"/>
      <c r="GKC75" s="164"/>
      <c r="GKD75" s="164"/>
      <c r="GKE75" s="164"/>
      <c r="GKF75" s="164"/>
      <c r="GKG75" s="164"/>
      <c r="GKH75" s="164"/>
      <c r="GKI75" s="164"/>
      <c r="GKJ75" s="164"/>
      <c r="GKK75" s="164"/>
      <c r="GKL75" s="164"/>
      <c r="GKM75" s="164"/>
      <c r="GKN75" s="164"/>
      <c r="GKO75" s="164"/>
      <c r="GKP75" s="164"/>
      <c r="GKQ75" s="164"/>
      <c r="GKR75" s="164"/>
      <c r="GKS75" s="164"/>
      <c r="GKT75" s="164"/>
      <c r="GKU75" s="164"/>
      <c r="GKV75" s="164"/>
      <c r="GKW75" s="164"/>
      <c r="GKX75" s="164"/>
      <c r="GKY75" s="164"/>
      <c r="GKZ75" s="164"/>
      <c r="GLA75" s="164"/>
      <c r="GLB75" s="164"/>
      <c r="GLC75" s="164"/>
      <c r="GLD75" s="164"/>
      <c r="GLE75" s="164"/>
      <c r="GLF75" s="164"/>
      <c r="GLG75" s="164"/>
      <c r="GLH75" s="164"/>
      <c r="GLI75" s="164"/>
      <c r="GLJ75" s="164"/>
      <c r="GLK75" s="164"/>
      <c r="GLL75" s="164"/>
      <c r="GLM75" s="164"/>
      <c r="GLN75" s="164"/>
      <c r="GLO75" s="164"/>
      <c r="GLP75" s="164"/>
      <c r="GLQ75" s="164"/>
      <c r="GLR75" s="164"/>
      <c r="GLS75" s="164"/>
      <c r="GLT75" s="164"/>
      <c r="GLU75" s="164"/>
      <c r="GLV75" s="164"/>
      <c r="GLW75" s="164"/>
      <c r="GLX75" s="164"/>
      <c r="GLY75" s="164"/>
      <c r="GLZ75" s="164"/>
      <c r="GMA75" s="164"/>
      <c r="GMB75" s="164"/>
      <c r="GMC75" s="164"/>
      <c r="GMD75" s="164"/>
      <c r="GME75" s="164"/>
      <c r="GMF75" s="164"/>
      <c r="GMG75" s="164"/>
      <c r="GMH75" s="164"/>
      <c r="GMI75" s="164"/>
      <c r="GMJ75" s="164"/>
      <c r="GMK75" s="164"/>
      <c r="GML75" s="164"/>
      <c r="GMM75" s="164"/>
      <c r="GMN75" s="164"/>
      <c r="GMO75" s="164"/>
      <c r="GMP75" s="164"/>
      <c r="GMQ75" s="164"/>
      <c r="GMR75" s="164"/>
      <c r="GMS75" s="164"/>
      <c r="GMT75" s="164"/>
      <c r="GMU75" s="164"/>
      <c r="GMV75" s="164"/>
      <c r="GMW75" s="164"/>
      <c r="GMX75" s="164"/>
      <c r="GMY75" s="164"/>
      <c r="GMZ75" s="164"/>
      <c r="GNA75" s="164"/>
      <c r="GNB75" s="164"/>
      <c r="GNC75" s="164"/>
      <c r="GND75" s="164"/>
      <c r="GNE75" s="164"/>
      <c r="GNF75" s="164"/>
      <c r="GNG75" s="164"/>
      <c r="GNH75" s="164"/>
      <c r="GNI75" s="164"/>
      <c r="GNJ75" s="164"/>
      <c r="GNK75" s="164"/>
      <c r="GNL75" s="164"/>
      <c r="GNM75" s="164"/>
      <c r="GNN75" s="164"/>
      <c r="GNO75" s="164"/>
      <c r="GNP75" s="164"/>
      <c r="GNQ75" s="164"/>
      <c r="GNR75" s="164"/>
      <c r="GNS75" s="164"/>
      <c r="GNT75" s="164"/>
      <c r="GNU75" s="164"/>
      <c r="GNV75" s="164"/>
      <c r="GNW75" s="164"/>
      <c r="GNX75" s="164"/>
      <c r="GNY75" s="164"/>
      <c r="GNZ75" s="164"/>
      <c r="GOA75" s="164"/>
      <c r="GOB75" s="164"/>
      <c r="GOC75" s="164"/>
      <c r="GOD75" s="164"/>
      <c r="GOE75" s="164"/>
      <c r="GOF75" s="164"/>
      <c r="GOG75" s="164"/>
      <c r="GOH75" s="164"/>
      <c r="GOI75" s="164"/>
      <c r="GOJ75" s="164"/>
      <c r="GOK75" s="164"/>
      <c r="GOL75" s="164"/>
      <c r="GOM75" s="164"/>
      <c r="GON75" s="164"/>
      <c r="GOO75" s="164"/>
      <c r="GOP75" s="164"/>
      <c r="GOQ75" s="164"/>
      <c r="GOR75" s="164"/>
      <c r="GOS75" s="164"/>
      <c r="GOT75" s="164"/>
      <c r="GOU75" s="164"/>
      <c r="GOV75" s="164"/>
      <c r="GOW75" s="164"/>
      <c r="GOX75" s="164"/>
      <c r="GOY75" s="164"/>
      <c r="GOZ75" s="164"/>
      <c r="GPA75" s="164"/>
      <c r="GPB75" s="164"/>
      <c r="GPC75" s="164"/>
      <c r="GPD75" s="164"/>
      <c r="GPE75" s="164"/>
      <c r="GPF75" s="164"/>
      <c r="GPG75" s="164"/>
      <c r="GPH75" s="164"/>
      <c r="GPI75" s="164"/>
      <c r="GPJ75" s="164"/>
      <c r="GPK75" s="164"/>
      <c r="GPL75" s="164"/>
      <c r="GPM75" s="164"/>
      <c r="GPN75" s="164"/>
      <c r="GPO75" s="164"/>
      <c r="GPP75" s="164"/>
      <c r="GPQ75" s="164"/>
      <c r="GPR75" s="164"/>
      <c r="GPS75" s="164"/>
      <c r="GPT75" s="164"/>
      <c r="GPU75" s="164"/>
      <c r="GPV75" s="164"/>
      <c r="GPW75" s="164"/>
      <c r="GPX75" s="164"/>
      <c r="GPY75" s="164"/>
      <c r="GPZ75" s="164"/>
      <c r="GQA75" s="164"/>
      <c r="GQB75" s="164"/>
      <c r="GQC75" s="164"/>
      <c r="GQD75" s="164"/>
      <c r="GQE75" s="164"/>
      <c r="GQF75" s="164"/>
      <c r="GQG75" s="164"/>
      <c r="GQH75" s="164"/>
      <c r="GQI75" s="164"/>
      <c r="GQJ75" s="164"/>
      <c r="GQK75" s="164"/>
      <c r="GQL75" s="164"/>
      <c r="GQM75" s="164"/>
      <c r="GQN75" s="164"/>
      <c r="GQO75" s="164"/>
      <c r="GQP75" s="164"/>
      <c r="GQQ75" s="164"/>
      <c r="GQR75" s="164"/>
      <c r="GQS75" s="164"/>
      <c r="GQT75" s="164"/>
      <c r="GQU75" s="164"/>
      <c r="GQV75" s="164"/>
      <c r="GQW75" s="164"/>
      <c r="GQX75" s="164"/>
      <c r="GQY75" s="164"/>
      <c r="GQZ75" s="164"/>
      <c r="GRA75" s="164"/>
      <c r="GRB75" s="164"/>
      <c r="GRC75" s="164"/>
      <c r="GRD75" s="164"/>
      <c r="GRE75" s="164"/>
      <c r="GRF75" s="164"/>
      <c r="GRG75" s="164"/>
      <c r="GRH75" s="164"/>
      <c r="GRI75" s="164"/>
      <c r="GRJ75" s="164"/>
      <c r="GRK75" s="164"/>
      <c r="GRL75" s="164"/>
      <c r="GRM75" s="164"/>
      <c r="GRN75" s="164"/>
      <c r="GRO75" s="164"/>
      <c r="GRP75" s="164"/>
      <c r="GRQ75" s="164"/>
      <c r="GRR75" s="164"/>
      <c r="GRS75" s="164"/>
      <c r="GRT75" s="164"/>
      <c r="GRU75" s="164"/>
      <c r="GRV75" s="164"/>
      <c r="GRW75" s="164"/>
      <c r="GRX75" s="164"/>
      <c r="GRY75" s="164"/>
      <c r="GRZ75" s="164"/>
      <c r="GSA75" s="164"/>
      <c r="GSB75" s="164"/>
      <c r="GSC75" s="164"/>
      <c r="GSD75" s="164"/>
      <c r="GSE75" s="164"/>
      <c r="GSF75" s="164"/>
      <c r="GSG75" s="164"/>
      <c r="GSH75" s="164"/>
      <c r="GSI75" s="164"/>
      <c r="GSJ75" s="164"/>
      <c r="GSK75" s="164"/>
      <c r="GSL75" s="164"/>
      <c r="GSM75" s="164"/>
      <c r="GSN75" s="164"/>
      <c r="GSO75" s="164"/>
      <c r="GSP75" s="164"/>
      <c r="GSQ75" s="164"/>
      <c r="GSR75" s="164"/>
      <c r="GSS75" s="164"/>
      <c r="GST75" s="164"/>
      <c r="GSU75" s="164"/>
      <c r="GSV75" s="164"/>
      <c r="GSW75" s="164"/>
      <c r="GSX75" s="164"/>
      <c r="GSY75" s="164"/>
      <c r="GSZ75" s="164"/>
      <c r="GTA75" s="164"/>
      <c r="GTB75" s="164"/>
      <c r="GTC75" s="164"/>
      <c r="GTD75" s="164"/>
      <c r="GTE75" s="164"/>
      <c r="GTF75" s="164"/>
      <c r="GTG75" s="164"/>
      <c r="GTH75" s="164"/>
      <c r="GTI75" s="164"/>
      <c r="GTJ75" s="164"/>
      <c r="GTK75" s="164"/>
      <c r="GTL75" s="164"/>
      <c r="GTM75" s="164"/>
      <c r="GTN75" s="164"/>
      <c r="GTO75" s="164"/>
      <c r="GTP75" s="164"/>
      <c r="GTQ75" s="164"/>
      <c r="GTR75" s="164"/>
      <c r="GTS75" s="164"/>
      <c r="GTT75" s="164"/>
      <c r="GTU75" s="164"/>
      <c r="GTV75" s="164"/>
      <c r="GTW75" s="164"/>
      <c r="GTX75" s="164"/>
      <c r="GTY75" s="164"/>
      <c r="GTZ75" s="164"/>
      <c r="GUA75" s="164"/>
      <c r="GUB75" s="164"/>
      <c r="GUC75" s="164"/>
      <c r="GUD75" s="164"/>
      <c r="GUE75" s="164"/>
      <c r="GUF75" s="164"/>
      <c r="GUG75" s="164"/>
      <c r="GUH75" s="164"/>
      <c r="GUI75" s="164"/>
      <c r="GUJ75" s="164"/>
      <c r="GUK75" s="164"/>
      <c r="GUL75" s="164"/>
      <c r="GUM75" s="164"/>
      <c r="GUN75" s="164"/>
      <c r="GUO75" s="164"/>
      <c r="GUP75" s="164"/>
      <c r="GUQ75" s="164"/>
      <c r="GUR75" s="164"/>
      <c r="GUS75" s="164"/>
      <c r="GUT75" s="164"/>
      <c r="GUU75" s="164"/>
      <c r="GUV75" s="164"/>
      <c r="GUW75" s="164"/>
      <c r="GUX75" s="164"/>
      <c r="GUY75" s="164"/>
      <c r="GUZ75" s="164"/>
      <c r="GVA75" s="164"/>
      <c r="GVB75" s="164"/>
      <c r="GVC75" s="164"/>
      <c r="GVD75" s="164"/>
      <c r="GVE75" s="164"/>
      <c r="GVF75" s="164"/>
      <c r="GVG75" s="164"/>
      <c r="GVH75" s="164"/>
      <c r="GVI75" s="164"/>
      <c r="GVJ75" s="164"/>
      <c r="GVK75" s="164"/>
      <c r="GVL75" s="164"/>
      <c r="GVM75" s="164"/>
      <c r="GVN75" s="164"/>
      <c r="GVO75" s="164"/>
      <c r="GVP75" s="164"/>
      <c r="GVQ75" s="164"/>
      <c r="GVR75" s="164"/>
      <c r="GVS75" s="164"/>
      <c r="GVT75" s="164"/>
      <c r="GVU75" s="164"/>
      <c r="GVV75" s="164"/>
      <c r="GVW75" s="164"/>
      <c r="GVX75" s="164"/>
      <c r="GVY75" s="164"/>
      <c r="GVZ75" s="164"/>
      <c r="GWA75" s="164"/>
      <c r="GWB75" s="164"/>
      <c r="GWC75" s="164"/>
      <c r="GWD75" s="164"/>
      <c r="GWE75" s="164"/>
      <c r="GWF75" s="164"/>
      <c r="GWG75" s="164"/>
      <c r="GWH75" s="164"/>
      <c r="GWI75" s="164"/>
      <c r="GWJ75" s="164"/>
      <c r="GWK75" s="164"/>
      <c r="GWL75" s="164"/>
      <c r="GWM75" s="164"/>
      <c r="GWN75" s="164"/>
      <c r="GWO75" s="164"/>
      <c r="GWP75" s="164"/>
      <c r="GWQ75" s="164"/>
      <c r="GWR75" s="164"/>
      <c r="GWS75" s="164"/>
      <c r="GWT75" s="164"/>
      <c r="GWU75" s="164"/>
      <c r="GWV75" s="164"/>
      <c r="GWW75" s="164"/>
      <c r="GWX75" s="164"/>
      <c r="GWY75" s="164"/>
      <c r="GWZ75" s="164"/>
      <c r="GXA75" s="164"/>
      <c r="GXB75" s="164"/>
      <c r="GXC75" s="164"/>
      <c r="GXD75" s="164"/>
      <c r="GXE75" s="164"/>
      <c r="GXF75" s="164"/>
      <c r="GXG75" s="164"/>
      <c r="GXH75" s="164"/>
      <c r="GXI75" s="164"/>
      <c r="GXJ75" s="164"/>
      <c r="GXK75" s="164"/>
      <c r="GXL75" s="164"/>
      <c r="GXM75" s="164"/>
      <c r="GXN75" s="164"/>
      <c r="GXO75" s="164"/>
      <c r="GXP75" s="164"/>
      <c r="GXQ75" s="164"/>
      <c r="GXR75" s="164"/>
      <c r="GXS75" s="164"/>
      <c r="GXT75" s="164"/>
      <c r="GXU75" s="164"/>
      <c r="GXV75" s="164"/>
      <c r="GXW75" s="164"/>
      <c r="GXX75" s="164"/>
      <c r="GXY75" s="164"/>
      <c r="GXZ75" s="164"/>
      <c r="GYA75" s="164"/>
      <c r="GYB75" s="164"/>
      <c r="GYC75" s="164"/>
      <c r="GYD75" s="164"/>
      <c r="GYE75" s="164"/>
      <c r="GYF75" s="164"/>
      <c r="GYG75" s="164"/>
      <c r="GYH75" s="164"/>
      <c r="GYI75" s="164"/>
      <c r="GYJ75" s="164"/>
      <c r="GYK75" s="164"/>
      <c r="GYL75" s="164"/>
      <c r="GYM75" s="164"/>
      <c r="GYN75" s="164"/>
      <c r="GYO75" s="164"/>
      <c r="GYP75" s="164"/>
      <c r="GYQ75" s="164"/>
      <c r="GYR75" s="164"/>
      <c r="GYS75" s="164"/>
      <c r="GYT75" s="164"/>
      <c r="GYU75" s="164"/>
      <c r="GYV75" s="164"/>
      <c r="GYW75" s="164"/>
      <c r="GYX75" s="164"/>
      <c r="GYY75" s="164"/>
      <c r="GYZ75" s="164"/>
      <c r="GZA75" s="164"/>
      <c r="GZB75" s="164"/>
      <c r="GZC75" s="164"/>
      <c r="GZD75" s="164"/>
      <c r="GZE75" s="164"/>
      <c r="GZF75" s="164"/>
      <c r="GZG75" s="164"/>
      <c r="GZH75" s="164"/>
      <c r="GZI75" s="164"/>
      <c r="GZJ75" s="164"/>
      <c r="GZK75" s="164"/>
      <c r="GZL75" s="164"/>
      <c r="GZM75" s="164"/>
      <c r="GZN75" s="164"/>
      <c r="GZO75" s="164"/>
      <c r="GZP75" s="164"/>
      <c r="GZQ75" s="164"/>
      <c r="GZR75" s="164"/>
      <c r="GZS75" s="164"/>
      <c r="GZT75" s="164"/>
      <c r="GZU75" s="164"/>
      <c r="GZV75" s="164"/>
      <c r="GZW75" s="164"/>
      <c r="GZX75" s="164"/>
      <c r="GZY75" s="164"/>
      <c r="GZZ75" s="164"/>
      <c r="HAA75" s="164"/>
      <c r="HAB75" s="164"/>
      <c r="HAC75" s="164"/>
      <c r="HAD75" s="164"/>
      <c r="HAE75" s="164"/>
      <c r="HAF75" s="164"/>
      <c r="HAG75" s="164"/>
      <c r="HAH75" s="164"/>
      <c r="HAI75" s="164"/>
      <c r="HAJ75" s="164"/>
      <c r="HAK75" s="164"/>
      <c r="HAL75" s="164"/>
      <c r="HAM75" s="164"/>
      <c r="HAN75" s="164"/>
      <c r="HAO75" s="164"/>
      <c r="HAP75" s="164"/>
      <c r="HAQ75" s="164"/>
      <c r="HAR75" s="164"/>
      <c r="HAS75" s="164"/>
      <c r="HAT75" s="164"/>
      <c r="HAU75" s="164"/>
      <c r="HAV75" s="164"/>
      <c r="HAW75" s="164"/>
      <c r="HAX75" s="164"/>
      <c r="HAY75" s="164"/>
      <c r="HAZ75" s="164"/>
      <c r="HBA75" s="164"/>
      <c r="HBB75" s="164"/>
      <c r="HBC75" s="164"/>
      <c r="HBD75" s="164"/>
      <c r="HBE75" s="164"/>
      <c r="HBF75" s="164"/>
      <c r="HBG75" s="164"/>
      <c r="HBH75" s="164"/>
      <c r="HBI75" s="164"/>
      <c r="HBJ75" s="164"/>
      <c r="HBK75" s="164"/>
      <c r="HBL75" s="164"/>
      <c r="HBM75" s="164"/>
      <c r="HBN75" s="164"/>
      <c r="HBO75" s="164"/>
      <c r="HBP75" s="164"/>
      <c r="HBQ75" s="164"/>
      <c r="HBR75" s="164"/>
      <c r="HBS75" s="164"/>
      <c r="HBT75" s="164"/>
      <c r="HBU75" s="164"/>
      <c r="HBV75" s="164"/>
      <c r="HBW75" s="164"/>
      <c r="HBX75" s="164"/>
      <c r="HBY75" s="164"/>
      <c r="HBZ75" s="164"/>
      <c r="HCA75" s="164"/>
      <c r="HCB75" s="164"/>
      <c r="HCC75" s="164"/>
      <c r="HCD75" s="164"/>
      <c r="HCE75" s="164"/>
      <c r="HCF75" s="164"/>
      <c r="HCG75" s="164"/>
      <c r="HCH75" s="164"/>
      <c r="HCI75" s="164"/>
      <c r="HCJ75" s="164"/>
      <c r="HCK75" s="164"/>
      <c r="HCL75" s="164"/>
      <c r="HCM75" s="164"/>
      <c r="HCN75" s="164"/>
      <c r="HCO75" s="164"/>
      <c r="HCP75" s="164"/>
      <c r="HCQ75" s="164"/>
      <c r="HCR75" s="164"/>
      <c r="HCS75" s="164"/>
      <c r="HCT75" s="164"/>
      <c r="HCU75" s="164"/>
      <c r="HCV75" s="164"/>
      <c r="HCW75" s="164"/>
      <c r="HCX75" s="164"/>
      <c r="HCY75" s="164"/>
      <c r="HCZ75" s="164"/>
      <c r="HDA75" s="164"/>
      <c r="HDB75" s="164"/>
      <c r="HDC75" s="164"/>
      <c r="HDD75" s="164"/>
      <c r="HDE75" s="164"/>
      <c r="HDF75" s="164"/>
      <c r="HDG75" s="164"/>
      <c r="HDH75" s="164"/>
      <c r="HDI75" s="164"/>
      <c r="HDJ75" s="164"/>
      <c r="HDK75" s="164"/>
      <c r="HDL75" s="164"/>
      <c r="HDM75" s="164"/>
      <c r="HDN75" s="164"/>
      <c r="HDO75" s="164"/>
      <c r="HDP75" s="164"/>
      <c r="HDQ75" s="164"/>
      <c r="HDR75" s="164"/>
      <c r="HDS75" s="164"/>
      <c r="HDT75" s="164"/>
      <c r="HDU75" s="164"/>
      <c r="HDV75" s="164"/>
      <c r="HDW75" s="164"/>
      <c r="HDX75" s="164"/>
      <c r="HDY75" s="164"/>
      <c r="HDZ75" s="164"/>
      <c r="HEA75" s="164"/>
      <c r="HEB75" s="164"/>
      <c r="HEC75" s="164"/>
      <c r="HED75" s="164"/>
      <c r="HEE75" s="164"/>
      <c r="HEF75" s="164"/>
      <c r="HEG75" s="164"/>
      <c r="HEH75" s="164"/>
      <c r="HEI75" s="164"/>
      <c r="HEJ75" s="164"/>
      <c r="HEK75" s="164"/>
      <c r="HEL75" s="164"/>
      <c r="HEM75" s="164"/>
      <c r="HEN75" s="164"/>
      <c r="HEO75" s="164"/>
      <c r="HEP75" s="164"/>
      <c r="HEQ75" s="164"/>
      <c r="HER75" s="164"/>
      <c r="HES75" s="164"/>
      <c r="HET75" s="164"/>
      <c r="HEU75" s="164"/>
      <c r="HEV75" s="164"/>
      <c r="HEW75" s="164"/>
      <c r="HEX75" s="164"/>
      <c r="HEY75" s="164"/>
      <c r="HEZ75" s="164"/>
      <c r="HFA75" s="164"/>
      <c r="HFB75" s="164"/>
      <c r="HFC75" s="164"/>
      <c r="HFD75" s="164"/>
      <c r="HFE75" s="164"/>
      <c r="HFF75" s="164"/>
      <c r="HFG75" s="164"/>
      <c r="HFH75" s="164"/>
      <c r="HFI75" s="164"/>
      <c r="HFJ75" s="164"/>
      <c r="HFK75" s="164"/>
      <c r="HFL75" s="164"/>
      <c r="HFM75" s="164"/>
      <c r="HFN75" s="164"/>
      <c r="HFO75" s="164"/>
      <c r="HFP75" s="164"/>
      <c r="HFQ75" s="164"/>
      <c r="HFR75" s="164"/>
      <c r="HFS75" s="164"/>
      <c r="HFT75" s="164"/>
      <c r="HFU75" s="164"/>
      <c r="HFV75" s="164"/>
      <c r="HFW75" s="164"/>
      <c r="HFX75" s="164"/>
      <c r="HFY75" s="164"/>
      <c r="HFZ75" s="164"/>
      <c r="HGA75" s="164"/>
      <c r="HGB75" s="164"/>
      <c r="HGC75" s="164"/>
      <c r="HGD75" s="164"/>
      <c r="HGE75" s="164"/>
      <c r="HGF75" s="164"/>
      <c r="HGG75" s="164"/>
      <c r="HGH75" s="164"/>
      <c r="HGI75" s="164"/>
      <c r="HGJ75" s="164"/>
      <c r="HGK75" s="164"/>
      <c r="HGL75" s="164"/>
      <c r="HGM75" s="164"/>
      <c r="HGN75" s="164"/>
      <c r="HGO75" s="164"/>
      <c r="HGP75" s="164"/>
      <c r="HGQ75" s="164"/>
      <c r="HGR75" s="164"/>
      <c r="HGS75" s="164"/>
      <c r="HGT75" s="164"/>
      <c r="HGU75" s="164"/>
      <c r="HGV75" s="164"/>
      <c r="HGW75" s="164"/>
      <c r="HGX75" s="164"/>
      <c r="HGY75" s="164"/>
      <c r="HGZ75" s="164"/>
      <c r="HHA75" s="164"/>
      <c r="HHB75" s="164"/>
      <c r="HHC75" s="164"/>
      <c r="HHD75" s="164"/>
      <c r="HHE75" s="164"/>
      <c r="HHF75" s="164"/>
      <c r="HHG75" s="164"/>
      <c r="HHH75" s="164"/>
      <c r="HHI75" s="164"/>
      <c r="HHJ75" s="164"/>
      <c r="HHK75" s="164"/>
      <c r="HHL75" s="164"/>
      <c r="HHM75" s="164"/>
      <c r="HHN75" s="164"/>
      <c r="HHO75" s="164"/>
      <c r="HHP75" s="164"/>
      <c r="HHQ75" s="164"/>
      <c r="HHR75" s="164"/>
      <c r="HHS75" s="164"/>
      <c r="HHT75" s="164"/>
      <c r="HHU75" s="164"/>
      <c r="HHV75" s="164"/>
      <c r="HHW75" s="164"/>
      <c r="HHX75" s="164"/>
      <c r="HHY75" s="164"/>
      <c r="HHZ75" s="164"/>
      <c r="HIA75" s="164"/>
      <c r="HIB75" s="164"/>
      <c r="HIC75" s="164"/>
      <c r="HID75" s="164"/>
      <c r="HIE75" s="164"/>
      <c r="HIF75" s="164"/>
      <c r="HIG75" s="164"/>
      <c r="HIH75" s="164"/>
      <c r="HII75" s="164"/>
      <c r="HIJ75" s="164"/>
      <c r="HIK75" s="164"/>
      <c r="HIL75" s="164"/>
      <c r="HIM75" s="164"/>
      <c r="HIN75" s="164"/>
      <c r="HIO75" s="164"/>
      <c r="HIP75" s="164"/>
      <c r="HIQ75" s="164"/>
      <c r="HIR75" s="164"/>
      <c r="HIS75" s="164"/>
      <c r="HIT75" s="164"/>
      <c r="HIU75" s="164"/>
      <c r="HIV75" s="164"/>
      <c r="HIW75" s="164"/>
      <c r="HIX75" s="164"/>
      <c r="HIY75" s="164"/>
      <c r="HIZ75" s="164"/>
      <c r="HJA75" s="164"/>
      <c r="HJB75" s="164"/>
      <c r="HJC75" s="164"/>
      <c r="HJD75" s="164"/>
      <c r="HJE75" s="164"/>
      <c r="HJF75" s="164"/>
      <c r="HJG75" s="164"/>
      <c r="HJH75" s="164"/>
      <c r="HJI75" s="164"/>
      <c r="HJJ75" s="164"/>
      <c r="HJK75" s="164"/>
      <c r="HJL75" s="164"/>
      <c r="HJM75" s="164"/>
      <c r="HJN75" s="164"/>
      <c r="HJO75" s="164"/>
      <c r="HJP75" s="164"/>
      <c r="HJQ75" s="164"/>
      <c r="HJR75" s="164"/>
      <c r="HJS75" s="164"/>
      <c r="HJT75" s="164"/>
      <c r="HJU75" s="164"/>
      <c r="HJV75" s="164"/>
      <c r="HJW75" s="164"/>
      <c r="HJX75" s="164"/>
      <c r="HJY75" s="164"/>
      <c r="HJZ75" s="164"/>
      <c r="HKA75" s="164"/>
      <c r="HKB75" s="164"/>
      <c r="HKC75" s="164"/>
      <c r="HKD75" s="164"/>
      <c r="HKE75" s="164"/>
      <c r="HKF75" s="164"/>
      <c r="HKG75" s="164"/>
      <c r="HKH75" s="164"/>
      <c r="HKI75" s="164"/>
      <c r="HKJ75" s="164"/>
      <c r="HKK75" s="164"/>
      <c r="HKL75" s="164"/>
      <c r="HKM75" s="164"/>
      <c r="HKN75" s="164"/>
      <c r="HKO75" s="164"/>
      <c r="HKP75" s="164"/>
      <c r="HKQ75" s="164"/>
      <c r="HKR75" s="164"/>
      <c r="HKS75" s="164"/>
      <c r="HKT75" s="164"/>
      <c r="HKU75" s="164"/>
      <c r="HKV75" s="164"/>
      <c r="HKW75" s="164"/>
      <c r="HKX75" s="164"/>
      <c r="HKY75" s="164"/>
      <c r="HKZ75" s="164"/>
      <c r="HLA75" s="164"/>
      <c r="HLB75" s="164"/>
      <c r="HLC75" s="164"/>
      <c r="HLD75" s="164"/>
      <c r="HLE75" s="164"/>
      <c r="HLF75" s="164"/>
      <c r="HLG75" s="164"/>
      <c r="HLH75" s="164"/>
      <c r="HLI75" s="164"/>
      <c r="HLJ75" s="164"/>
      <c r="HLK75" s="164"/>
      <c r="HLL75" s="164"/>
      <c r="HLM75" s="164"/>
      <c r="HLN75" s="164"/>
      <c r="HLO75" s="164"/>
      <c r="HLP75" s="164"/>
      <c r="HLQ75" s="164"/>
      <c r="HLR75" s="164"/>
      <c r="HLS75" s="164"/>
      <c r="HLT75" s="164"/>
      <c r="HLU75" s="164"/>
      <c r="HLV75" s="164"/>
      <c r="HLW75" s="164"/>
      <c r="HLX75" s="164"/>
      <c r="HLY75" s="164"/>
      <c r="HLZ75" s="164"/>
      <c r="HMA75" s="164"/>
      <c r="HMB75" s="164"/>
      <c r="HMC75" s="164"/>
      <c r="HMD75" s="164"/>
      <c r="HME75" s="164"/>
      <c r="HMF75" s="164"/>
      <c r="HMG75" s="164"/>
      <c r="HMH75" s="164"/>
      <c r="HMI75" s="164"/>
      <c r="HMJ75" s="164"/>
      <c r="HMK75" s="164"/>
      <c r="HML75" s="164"/>
      <c r="HMM75" s="164"/>
      <c r="HMN75" s="164"/>
      <c r="HMO75" s="164"/>
      <c r="HMP75" s="164"/>
      <c r="HMQ75" s="164"/>
      <c r="HMR75" s="164"/>
      <c r="HMS75" s="164"/>
      <c r="HMT75" s="164"/>
      <c r="HMU75" s="164"/>
      <c r="HMV75" s="164"/>
      <c r="HMW75" s="164"/>
      <c r="HMX75" s="164"/>
      <c r="HMY75" s="164"/>
      <c r="HMZ75" s="164"/>
      <c r="HNA75" s="164"/>
      <c r="HNB75" s="164"/>
      <c r="HNC75" s="164"/>
      <c r="HND75" s="164"/>
      <c r="HNE75" s="164"/>
      <c r="HNF75" s="164"/>
      <c r="HNG75" s="164"/>
      <c r="HNH75" s="164"/>
      <c r="HNI75" s="164"/>
      <c r="HNJ75" s="164"/>
      <c r="HNK75" s="164"/>
      <c r="HNL75" s="164"/>
      <c r="HNM75" s="164"/>
      <c r="HNN75" s="164"/>
      <c r="HNO75" s="164"/>
      <c r="HNP75" s="164"/>
      <c r="HNQ75" s="164"/>
      <c r="HNR75" s="164"/>
      <c r="HNS75" s="164"/>
      <c r="HNT75" s="164"/>
      <c r="HNU75" s="164"/>
      <c r="HNV75" s="164"/>
      <c r="HNW75" s="164"/>
      <c r="HNX75" s="164"/>
      <c r="HNY75" s="164"/>
      <c r="HNZ75" s="164"/>
      <c r="HOA75" s="164"/>
      <c r="HOB75" s="164"/>
      <c r="HOC75" s="164"/>
      <c r="HOD75" s="164"/>
      <c r="HOE75" s="164"/>
      <c r="HOF75" s="164"/>
      <c r="HOG75" s="164"/>
      <c r="HOH75" s="164"/>
      <c r="HOI75" s="164"/>
      <c r="HOJ75" s="164"/>
      <c r="HOK75" s="164"/>
      <c r="HOL75" s="164"/>
      <c r="HOM75" s="164"/>
      <c r="HON75" s="164"/>
      <c r="HOO75" s="164"/>
      <c r="HOP75" s="164"/>
      <c r="HOQ75" s="164"/>
      <c r="HOR75" s="164"/>
      <c r="HOS75" s="164"/>
      <c r="HOT75" s="164"/>
      <c r="HOU75" s="164"/>
      <c r="HOV75" s="164"/>
      <c r="HOW75" s="164"/>
      <c r="HOX75" s="164"/>
      <c r="HOY75" s="164"/>
      <c r="HOZ75" s="164"/>
      <c r="HPA75" s="164"/>
      <c r="HPB75" s="164"/>
      <c r="HPC75" s="164"/>
      <c r="HPD75" s="164"/>
      <c r="HPE75" s="164"/>
      <c r="HPF75" s="164"/>
      <c r="HPG75" s="164"/>
      <c r="HPH75" s="164"/>
      <c r="HPI75" s="164"/>
      <c r="HPJ75" s="164"/>
      <c r="HPK75" s="164"/>
      <c r="HPL75" s="164"/>
      <c r="HPM75" s="164"/>
      <c r="HPN75" s="164"/>
      <c r="HPO75" s="164"/>
      <c r="HPP75" s="164"/>
      <c r="HPQ75" s="164"/>
      <c r="HPR75" s="164"/>
      <c r="HPS75" s="164"/>
      <c r="HPT75" s="164"/>
      <c r="HPU75" s="164"/>
      <c r="HPV75" s="164"/>
      <c r="HPW75" s="164"/>
      <c r="HPX75" s="164"/>
      <c r="HPY75" s="164"/>
      <c r="HPZ75" s="164"/>
      <c r="HQA75" s="164"/>
      <c r="HQB75" s="164"/>
      <c r="HQC75" s="164"/>
      <c r="HQD75" s="164"/>
      <c r="HQE75" s="164"/>
      <c r="HQF75" s="164"/>
      <c r="HQG75" s="164"/>
      <c r="HQH75" s="164"/>
      <c r="HQI75" s="164"/>
      <c r="HQJ75" s="164"/>
      <c r="HQK75" s="164"/>
      <c r="HQL75" s="164"/>
      <c r="HQM75" s="164"/>
      <c r="HQN75" s="164"/>
      <c r="HQO75" s="164"/>
      <c r="HQP75" s="164"/>
      <c r="HQQ75" s="164"/>
      <c r="HQR75" s="164"/>
      <c r="HQS75" s="164"/>
      <c r="HQT75" s="164"/>
      <c r="HQU75" s="164"/>
      <c r="HQV75" s="164"/>
      <c r="HQW75" s="164"/>
      <c r="HQX75" s="164"/>
      <c r="HQY75" s="164"/>
      <c r="HQZ75" s="164"/>
      <c r="HRA75" s="164"/>
      <c r="HRB75" s="164"/>
      <c r="HRC75" s="164"/>
      <c r="HRD75" s="164"/>
      <c r="HRE75" s="164"/>
      <c r="HRF75" s="164"/>
      <c r="HRG75" s="164"/>
      <c r="HRH75" s="164"/>
      <c r="HRI75" s="164"/>
      <c r="HRJ75" s="164"/>
      <c r="HRK75" s="164"/>
      <c r="HRL75" s="164"/>
      <c r="HRM75" s="164"/>
      <c r="HRN75" s="164"/>
      <c r="HRO75" s="164"/>
      <c r="HRP75" s="164"/>
      <c r="HRQ75" s="164"/>
      <c r="HRR75" s="164"/>
      <c r="HRS75" s="164"/>
      <c r="HRT75" s="164"/>
      <c r="HRU75" s="164"/>
      <c r="HRV75" s="164"/>
      <c r="HRW75" s="164"/>
      <c r="HRX75" s="164"/>
      <c r="HRY75" s="164"/>
      <c r="HRZ75" s="164"/>
      <c r="HSA75" s="164"/>
      <c r="HSB75" s="164"/>
      <c r="HSC75" s="164"/>
      <c r="HSD75" s="164"/>
      <c r="HSE75" s="164"/>
      <c r="HSF75" s="164"/>
      <c r="HSG75" s="164"/>
      <c r="HSH75" s="164"/>
      <c r="HSI75" s="164"/>
      <c r="HSJ75" s="164"/>
      <c r="HSK75" s="164"/>
      <c r="HSL75" s="164"/>
      <c r="HSM75" s="164"/>
      <c r="HSN75" s="164"/>
      <c r="HSO75" s="164"/>
      <c r="HSP75" s="164"/>
      <c r="HSQ75" s="164"/>
      <c r="HSR75" s="164"/>
      <c r="HSS75" s="164"/>
      <c r="HST75" s="164"/>
      <c r="HSU75" s="164"/>
      <c r="HSV75" s="164"/>
      <c r="HSW75" s="164"/>
      <c r="HSX75" s="164"/>
      <c r="HSY75" s="164"/>
      <c r="HSZ75" s="164"/>
      <c r="HTA75" s="164"/>
      <c r="HTB75" s="164"/>
      <c r="HTC75" s="164"/>
      <c r="HTD75" s="164"/>
      <c r="HTE75" s="164"/>
      <c r="HTF75" s="164"/>
      <c r="HTG75" s="164"/>
      <c r="HTH75" s="164"/>
      <c r="HTI75" s="164"/>
      <c r="HTJ75" s="164"/>
      <c r="HTK75" s="164"/>
      <c r="HTL75" s="164"/>
      <c r="HTM75" s="164"/>
      <c r="HTN75" s="164"/>
      <c r="HTO75" s="164"/>
      <c r="HTP75" s="164"/>
      <c r="HTQ75" s="164"/>
      <c r="HTR75" s="164"/>
      <c r="HTS75" s="164"/>
      <c r="HTT75" s="164"/>
      <c r="HTU75" s="164"/>
      <c r="HTV75" s="164"/>
      <c r="HTW75" s="164"/>
      <c r="HTX75" s="164"/>
      <c r="HTY75" s="164"/>
      <c r="HTZ75" s="164"/>
      <c r="HUA75" s="164"/>
      <c r="HUB75" s="164"/>
      <c r="HUC75" s="164"/>
      <c r="HUD75" s="164"/>
      <c r="HUE75" s="164"/>
      <c r="HUF75" s="164"/>
      <c r="HUG75" s="164"/>
      <c r="HUH75" s="164"/>
      <c r="HUI75" s="164"/>
      <c r="HUJ75" s="164"/>
      <c r="HUK75" s="164"/>
      <c r="HUL75" s="164"/>
      <c r="HUM75" s="164"/>
      <c r="HUN75" s="164"/>
      <c r="HUO75" s="164"/>
      <c r="HUP75" s="164"/>
      <c r="HUQ75" s="164"/>
      <c r="HUR75" s="164"/>
      <c r="HUS75" s="164"/>
      <c r="HUT75" s="164"/>
      <c r="HUU75" s="164"/>
      <c r="HUV75" s="164"/>
      <c r="HUW75" s="164"/>
      <c r="HUX75" s="164"/>
      <c r="HUY75" s="164"/>
      <c r="HUZ75" s="164"/>
      <c r="HVA75" s="164"/>
      <c r="HVB75" s="164"/>
      <c r="HVC75" s="164"/>
      <c r="HVD75" s="164"/>
      <c r="HVE75" s="164"/>
      <c r="HVF75" s="164"/>
      <c r="HVG75" s="164"/>
      <c r="HVH75" s="164"/>
      <c r="HVI75" s="164"/>
      <c r="HVJ75" s="164"/>
      <c r="HVK75" s="164"/>
      <c r="HVL75" s="164"/>
      <c r="HVM75" s="164"/>
      <c r="HVN75" s="164"/>
      <c r="HVO75" s="164"/>
      <c r="HVP75" s="164"/>
      <c r="HVQ75" s="164"/>
      <c r="HVR75" s="164"/>
      <c r="HVS75" s="164"/>
      <c r="HVT75" s="164"/>
      <c r="HVU75" s="164"/>
      <c r="HVV75" s="164"/>
      <c r="HVW75" s="164"/>
      <c r="HVX75" s="164"/>
      <c r="HVY75" s="164"/>
      <c r="HVZ75" s="164"/>
      <c r="HWA75" s="164"/>
      <c r="HWB75" s="164"/>
      <c r="HWC75" s="164"/>
      <c r="HWD75" s="164"/>
      <c r="HWE75" s="164"/>
      <c r="HWF75" s="164"/>
      <c r="HWG75" s="164"/>
      <c r="HWH75" s="164"/>
      <c r="HWI75" s="164"/>
      <c r="HWJ75" s="164"/>
      <c r="HWK75" s="164"/>
      <c r="HWL75" s="164"/>
      <c r="HWM75" s="164"/>
      <c r="HWN75" s="164"/>
      <c r="HWO75" s="164"/>
      <c r="HWP75" s="164"/>
      <c r="HWQ75" s="164"/>
      <c r="HWR75" s="164"/>
      <c r="HWS75" s="164"/>
      <c r="HWT75" s="164"/>
      <c r="HWU75" s="164"/>
      <c r="HWV75" s="164"/>
      <c r="HWW75" s="164"/>
      <c r="HWX75" s="164"/>
      <c r="HWY75" s="164"/>
      <c r="HWZ75" s="164"/>
      <c r="HXA75" s="164"/>
      <c r="HXB75" s="164"/>
      <c r="HXC75" s="164"/>
      <c r="HXD75" s="164"/>
      <c r="HXE75" s="164"/>
      <c r="HXF75" s="164"/>
      <c r="HXG75" s="164"/>
      <c r="HXH75" s="164"/>
      <c r="HXI75" s="164"/>
      <c r="HXJ75" s="164"/>
      <c r="HXK75" s="164"/>
      <c r="HXL75" s="164"/>
      <c r="HXM75" s="164"/>
      <c r="HXN75" s="164"/>
      <c r="HXO75" s="164"/>
      <c r="HXP75" s="164"/>
      <c r="HXQ75" s="164"/>
      <c r="HXR75" s="164"/>
      <c r="HXS75" s="164"/>
      <c r="HXT75" s="164"/>
      <c r="HXU75" s="164"/>
      <c r="HXV75" s="164"/>
      <c r="HXW75" s="164"/>
      <c r="HXX75" s="164"/>
      <c r="HXY75" s="164"/>
      <c r="HXZ75" s="164"/>
      <c r="HYA75" s="164"/>
      <c r="HYB75" s="164"/>
      <c r="HYC75" s="164"/>
      <c r="HYD75" s="164"/>
      <c r="HYE75" s="164"/>
      <c r="HYF75" s="164"/>
      <c r="HYG75" s="164"/>
      <c r="HYH75" s="164"/>
      <c r="HYI75" s="164"/>
      <c r="HYJ75" s="164"/>
      <c r="HYK75" s="164"/>
      <c r="HYL75" s="164"/>
      <c r="HYM75" s="164"/>
      <c r="HYN75" s="164"/>
      <c r="HYO75" s="164"/>
      <c r="HYP75" s="164"/>
      <c r="HYQ75" s="164"/>
      <c r="HYR75" s="164"/>
      <c r="HYS75" s="164"/>
      <c r="HYT75" s="164"/>
      <c r="HYU75" s="164"/>
      <c r="HYV75" s="164"/>
      <c r="HYW75" s="164"/>
      <c r="HYX75" s="164"/>
      <c r="HYY75" s="164"/>
      <c r="HYZ75" s="164"/>
      <c r="HZA75" s="164"/>
      <c r="HZB75" s="164"/>
      <c r="HZC75" s="164"/>
      <c r="HZD75" s="164"/>
      <c r="HZE75" s="164"/>
      <c r="HZF75" s="164"/>
      <c r="HZG75" s="164"/>
      <c r="HZH75" s="164"/>
      <c r="HZI75" s="164"/>
      <c r="HZJ75" s="164"/>
      <c r="HZK75" s="164"/>
      <c r="HZL75" s="164"/>
      <c r="HZM75" s="164"/>
      <c r="HZN75" s="164"/>
      <c r="HZO75" s="164"/>
      <c r="HZP75" s="164"/>
      <c r="HZQ75" s="164"/>
      <c r="HZR75" s="164"/>
      <c r="HZS75" s="164"/>
      <c r="HZT75" s="164"/>
      <c r="HZU75" s="164"/>
      <c r="HZV75" s="164"/>
      <c r="HZW75" s="164"/>
      <c r="HZX75" s="164"/>
      <c r="HZY75" s="164"/>
      <c r="HZZ75" s="164"/>
      <c r="IAA75" s="164"/>
      <c r="IAB75" s="164"/>
      <c r="IAC75" s="164"/>
      <c r="IAD75" s="164"/>
      <c r="IAE75" s="164"/>
      <c r="IAF75" s="164"/>
      <c r="IAG75" s="164"/>
      <c r="IAH75" s="164"/>
      <c r="IAI75" s="164"/>
      <c r="IAJ75" s="164"/>
      <c r="IAK75" s="164"/>
      <c r="IAL75" s="164"/>
      <c r="IAM75" s="164"/>
      <c r="IAN75" s="164"/>
      <c r="IAO75" s="164"/>
      <c r="IAP75" s="164"/>
      <c r="IAQ75" s="164"/>
      <c r="IAR75" s="164"/>
      <c r="IAS75" s="164"/>
      <c r="IAT75" s="164"/>
      <c r="IAU75" s="164"/>
      <c r="IAV75" s="164"/>
      <c r="IAW75" s="164"/>
      <c r="IAX75" s="164"/>
      <c r="IAY75" s="164"/>
      <c r="IAZ75" s="164"/>
      <c r="IBA75" s="164"/>
      <c r="IBB75" s="164"/>
      <c r="IBC75" s="164"/>
      <c r="IBD75" s="164"/>
      <c r="IBE75" s="164"/>
      <c r="IBF75" s="164"/>
      <c r="IBG75" s="164"/>
      <c r="IBH75" s="164"/>
      <c r="IBI75" s="164"/>
      <c r="IBJ75" s="164"/>
      <c r="IBK75" s="164"/>
      <c r="IBL75" s="164"/>
      <c r="IBM75" s="164"/>
      <c r="IBN75" s="164"/>
      <c r="IBO75" s="164"/>
      <c r="IBP75" s="164"/>
      <c r="IBQ75" s="164"/>
      <c r="IBR75" s="164"/>
      <c r="IBS75" s="164"/>
      <c r="IBT75" s="164"/>
      <c r="IBU75" s="164"/>
      <c r="IBV75" s="164"/>
      <c r="IBW75" s="164"/>
      <c r="IBX75" s="164"/>
      <c r="IBY75" s="164"/>
      <c r="IBZ75" s="164"/>
      <c r="ICA75" s="164"/>
      <c r="ICB75" s="164"/>
      <c r="ICC75" s="164"/>
      <c r="ICD75" s="164"/>
      <c r="ICE75" s="164"/>
      <c r="ICF75" s="164"/>
      <c r="ICG75" s="164"/>
      <c r="ICH75" s="164"/>
      <c r="ICI75" s="164"/>
      <c r="ICJ75" s="164"/>
      <c r="ICK75" s="164"/>
      <c r="ICL75" s="164"/>
      <c r="ICM75" s="164"/>
      <c r="ICN75" s="164"/>
      <c r="ICO75" s="164"/>
      <c r="ICP75" s="164"/>
      <c r="ICQ75" s="164"/>
      <c r="ICR75" s="164"/>
      <c r="ICS75" s="164"/>
      <c r="ICT75" s="164"/>
      <c r="ICU75" s="164"/>
      <c r="ICV75" s="164"/>
      <c r="ICW75" s="164"/>
      <c r="ICX75" s="164"/>
      <c r="ICY75" s="164"/>
      <c r="ICZ75" s="164"/>
      <c r="IDA75" s="164"/>
      <c r="IDB75" s="164"/>
      <c r="IDC75" s="164"/>
      <c r="IDD75" s="164"/>
      <c r="IDE75" s="164"/>
      <c r="IDF75" s="164"/>
      <c r="IDG75" s="164"/>
      <c r="IDH75" s="164"/>
      <c r="IDI75" s="164"/>
      <c r="IDJ75" s="164"/>
      <c r="IDK75" s="164"/>
      <c r="IDL75" s="164"/>
      <c r="IDM75" s="164"/>
      <c r="IDN75" s="164"/>
      <c r="IDO75" s="164"/>
      <c r="IDP75" s="164"/>
      <c r="IDQ75" s="164"/>
      <c r="IDR75" s="164"/>
      <c r="IDS75" s="164"/>
      <c r="IDT75" s="164"/>
      <c r="IDU75" s="164"/>
      <c r="IDV75" s="164"/>
      <c r="IDW75" s="164"/>
      <c r="IDX75" s="164"/>
      <c r="IDY75" s="164"/>
      <c r="IDZ75" s="164"/>
      <c r="IEA75" s="164"/>
      <c r="IEB75" s="164"/>
      <c r="IEC75" s="164"/>
      <c r="IED75" s="164"/>
      <c r="IEE75" s="164"/>
      <c r="IEF75" s="164"/>
      <c r="IEG75" s="164"/>
      <c r="IEH75" s="164"/>
      <c r="IEI75" s="164"/>
      <c r="IEJ75" s="164"/>
      <c r="IEK75" s="164"/>
      <c r="IEL75" s="164"/>
      <c r="IEM75" s="164"/>
      <c r="IEN75" s="164"/>
      <c r="IEO75" s="164"/>
      <c r="IEP75" s="164"/>
      <c r="IEQ75" s="164"/>
      <c r="IER75" s="164"/>
      <c r="IES75" s="164"/>
      <c r="IET75" s="164"/>
      <c r="IEU75" s="164"/>
      <c r="IEV75" s="164"/>
      <c r="IEW75" s="164"/>
      <c r="IEX75" s="164"/>
      <c r="IEY75" s="164"/>
      <c r="IEZ75" s="164"/>
      <c r="IFA75" s="164"/>
      <c r="IFB75" s="164"/>
      <c r="IFC75" s="164"/>
      <c r="IFD75" s="164"/>
      <c r="IFE75" s="164"/>
      <c r="IFF75" s="164"/>
      <c r="IFG75" s="164"/>
      <c r="IFH75" s="164"/>
      <c r="IFI75" s="164"/>
      <c r="IFJ75" s="164"/>
      <c r="IFK75" s="164"/>
      <c r="IFL75" s="164"/>
      <c r="IFM75" s="164"/>
      <c r="IFN75" s="164"/>
      <c r="IFO75" s="164"/>
      <c r="IFP75" s="164"/>
      <c r="IFQ75" s="164"/>
      <c r="IFR75" s="164"/>
      <c r="IFS75" s="164"/>
      <c r="IFT75" s="164"/>
      <c r="IFU75" s="164"/>
      <c r="IFV75" s="164"/>
      <c r="IFW75" s="164"/>
      <c r="IFX75" s="164"/>
      <c r="IFY75" s="164"/>
      <c r="IFZ75" s="164"/>
      <c r="IGA75" s="164"/>
      <c r="IGB75" s="164"/>
      <c r="IGC75" s="164"/>
      <c r="IGD75" s="164"/>
      <c r="IGE75" s="164"/>
      <c r="IGF75" s="164"/>
      <c r="IGG75" s="164"/>
      <c r="IGH75" s="164"/>
      <c r="IGI75" s="164"/>
      <c r="IGJ75" s="164"/>
      <c r="IGK75" s="164"/>
      <c r="IGL75" s="164"/>
      <c r="IGM75" s="164"/>
      <c r="IGN75" s="164"/>
      <c r="IGO75" s="164"/>
      <c r="IGP75" s="164"/>
      <c r="IGQ75" s="164"/>
      <c r="IGR75" s="164"/>
      <c r="IGS75" s="164"/>
      <c r="IGT75" s="164"/>
      <c r="IGU75" s="164"/>
      <c r="IGV75" s="164"/>
      <c r="IGW75" s="164"/>
      <c r="IGX75" s="164"/>
      <c r="IGY75" s="164"/>
      <c r="IGZ75" s="164"/>
      <c r="IHA75" s="164"/>
      <c r="IHB75" s="164"/>
      <c r="IHC75" s="164"/>
      <c r="IHD75" s="164"/>
      <c r="IHE75" s="164"/>
      <c r="IHF75" s="164"/>
      <c r="IHG75" s="164"/>
      <c r="IHH75" s="164"/>
      <c r="IHI75" s="164"/>
      <c r="IHJ75" s="164"/>
      <c r="IHK75" s="164"/>
      <c r="IHL75" s="164"/>
      <c r="IHM75" s="164"/>
      <c r="IHN75" s="164"/>
      <c r="IHO75" s="164"/>
      <c r="IHP75" s="164"/>
      <c r="IHQ75" s="164"/>
      <c r="IHR75" s="164"/>
      <c r="IHS75" s="164"/>
      <c r="IHT75" s="164"/>
      <c r="IHU75" s="164"/>
      <c r="IHV75" s="164"/>
      <c r="IHW75" s="164"/>
      <c r="IHX75" s="164"/>
      <c r="IHY75" s="164"/>
      <c r="IHZ75" s="164"/>
      <c r="IIA75" s="164"/>
      <c r="IIB75" s="164"/>
      <c r="IIC75" s="164"/>
      <c r="IID75" s="164"/>
      <c r="IIE75" s="164"/>
      <c r="IIF75" s="164"/>
      <c r="IIG75" s="164"/>
      <c r="IIH75" s="164"/>
      <c r="III75" s="164"/>
      <c r="IIJ75" s="164"/>
      <c r="IIK75" s="164"/>
      <c r="IIL75" s="164"/>
      <c r="IIM75" s="164"/>
      <c r="IIN75" s="164"/>
      <c r="IIO75" s="164"/>
      <c r="IIP75" s="164"/>
      <c r="IIQ75" s="164"/>
      <c r="IIR75" s="164"/>
      <c r="IIS75" s="164"/>
      <c r="IIT75" s="164"/>
      <c r="IIU75" s="164"/>
      <c r="IIV75" s="164"/>
      <c r="IIW75" s="164"/>
      <c r="IIX75" s="164"/>
      <c r="IIY75" s="164"/>
      <c r="IIZ75" s="164"/>
      <c r="IJA75" s="164"/>
      <c r="IJB75" s="164"/>
      <c r="IJC75" s="164"/>
      <c r="IJD75" s="164"/>
      <c r="IJE75" s="164"/>
      <c r="IJF75" s="164"/>
      <c r="IJG75" s="164"/>
      <c r="IJH75" s="164"/>
      <c r="IJI75" s="164"/>
      <c r="IJJ75" s="164"/>
      <c r="IJK75" s="164"/>
      <c r="IJL75" s="164"/>
      <c r="IJM75" s="164"/>
      <c r="IJN75" s="164"/>
      <c r="IJO75" s="164"/>
      <c r="IJP75" s="164"/>
      <c r="IJQ75" s="164"/>
      <c r="IJR75" s="164"/>
      <c r="IJS75" s="164"/>
      <c r="IJT75" s="164"/>
      <c r="IJU75" s="164"/>
      <c r="IJV75" s="164"/>
      <c r="IJW75" s="164"/>
      <c r="IJX75" s="164"/>
      <c r="IJY75" s="164"/>
      <c r="IJZ75" s="164"/>
      <c r="IKA75" s="164"/>
      <c r="IKB75" s="164"/>
      <c r="IKC75" s="164"/>
      <c r="IKD75" s="164"/>
      <c r="IKE75" s="164"/>
      <c r="IKF75" s="164"/>
      <c r="IKG75" s="164"/>
      <c r="IKH75" s="164"/>
      <c r="IKI75" s="164"/>
      <c r="IKJ75" s="164"/>
      <c r="IKK75" s="164"/>
      <c r="IKL75" s="164"/>
      <c r="IKM75" s="164"/>
      <c r="IKN75" s="164"/>
      <c r="IKO75" s="164"/>
      <c r="IKP75" s="164"/>
      <c r="IKQ75" s="164"/>
      <c r="IKR75" s="164"/>
      <c r="IKS75" s="164"/>
      <c r="IKT75" s="164"/>
      <c r="IKU75" s="164"/>
      <c r="IKV75" s="164"/>
      <c r="IKW75" s="164"/>
      <c r="IKX75" s="164"/>
      <c r="IKY75" s="164"/>
      <c r="IKZ75" s="164"/>
      <c r="ILA75" s="164"/>
      <c r="ILB75" s="164"/>
      <c r="ILC75" s="164"/>
      <c r="ILD75" s="164"/>
      <c r="ILE75" s="164"/>
      <c r="ILF75" s="164"/>
      <c r="ILG75" s="164"/>
      <c r="ILH75" s="164"/>
      <c r="ILI75" s="164"/>
      <c r="ILJ75" s="164"/>
      <c r="ILK75" s="164"/>
      <c r="ILL75" s="164"/>
      <c r="ILM75" s="164"/>
      <c r="ILN75" s="164"/>
      <c r="ILO75" s="164"/>
      <c r="ILP75" s="164"/>
      <c r="ILQ75" s="164"/>
      <c r="ILR75" s="164"/>
      <c r="ILS75" s="164"/>
      <c r="ILT75" s="164"/>
      <c r="ILU75" s="164"/>
      <c r="ILV75" s="164"/>
      <c r="ILW75" s="164"/>
      <c r="ILX75" s="164"/>
      <c r="ILY75" s="164"/>
      <c r="ILZ75" s="164"/>
      <c r="IMA75" s="164"/>
      <c r="IMB75" s="164"/>
      <c r="IMC75" s="164"/>
      <c r="IMD75" s="164"/>
      <c r="IME75" s="164"/>
      <c r="IMF75" s="164"/>
      <c r="IMG75" s="164"/>
      <c r="IMH75" s="164"/>
      <c r="IMI75" s="164"/>
      <c r="IMJ75" s="164"/>
      <c r="IMK75" s="164"/>
      <c r="IML75" s="164"/>
      <c r="IMM75" s="164"/>
      <c r="IMN75" s="164"/>
      <c r="IMO75" s="164"/>
      <c r="IMP75" s="164"/>
      <c r="IMQ75" s="164"/>
      <c r="IMR75" s="164"/>
      <c r="IMS75" s="164"/>
      <c r="IMT75" s="164"/>
      <c r="IMU75" s="164"/>
      <c r="IMV75" s="164"/>
      <c r="IMW75" s="164"/>
      <c r="IMX75" s="164"/>
      <c r="IMY75" s="164"/>
      <c r="IMZ75" s="164"/>
      <c r="INA75" s="164"/>
      <c r="INB75" s="164"/>
      <c r="INC75" s="164"/>
      <c r="IND75" s="164"/>
      <c r="INE75" s="164"/>
      <c r="INF75" s="164"/>
      <c r="ING75" s="164"/>
      <c r="INH75" s="164"/>
      <c r="INI75" s="164"/>
      <c r="INJ75" s="164"/>
      <c r="INK75" s="164"/>
      <c r="INL75" s="164"/>
      <c r="INM75" s="164"/>
      <c r="INN75" s="164"/>
      <c r="INO75" s="164"/>
      <c r="INP75" s="164"/>
      <c r="INQ75" s="164"/>
      <c r="INR75" s="164"/>
      <c r="INS75" s="164"/>
      <c r="INT75" s="164"/>
      <c r="INU75" s="164"/>
      <c r="INV75" s="164"/>
      <c r="INW75" s="164"/>
      <c r="INX75" s="164"/>
      <c r="INY75" s="164"/>
      <c r="INZ75" s="164"/>
      <c r="IOA75" s="164"/>
      <c r="IOB75" s="164"/>
      <c r="IOC75" s="164"/>
      <c r="IOD75" s="164"/>
      <c r="IOE75" s="164"/>
      <c r="IOF75" s="164"/>
      <c r="IOG75" s="164"/>
      <c r="IOH75" s="164"/>
      <c r="IOI75" s="164"/>
      <c r="IOJ75" s="164"/>
      <c r="IOK75" s="164"/>
      <c r="IOL75" s="164"/>
      <c r="IOM75" s="164"/>
      <c r="ION75" s="164"/>
      <c r="IOO75" s="164"/>
      <c r="IOP75" s="164"/>
      <c r="IOQ75" s="164"/>
      <c r="IOR75" s="164"/>
      <c r="IOS75" s="164"/>
      <c r="IOT75" s="164"/>
      <c r="IOU75" s="164"/>
      <c r="IOV75" s="164"/>
      <c r="IOW75" s="164"/>
      <c r="IOX75" s="164"/>
      <c r="IOY75" s="164"/>
      <c r="IOZ75" s="164"/>
      <c r="IPA75" s="164"/>
      <c r="IPB75" s="164"/>
      <c r="IPC75" s="164"/>
      <c r="IPD75" s="164"/>
      <c r="IPE75" s="164"/>
      <c r="IPF75" s="164"/>
      <c r="IPG75" s="164"/>
      <c r="IPH75" s="164"/>
      <c r="IPI75" s="164"/>
      <c r="IPJ75" s="164"/>
      <c r="IPK75" s="164"/>
      <c r="IPL75" s="164"/>
      <c r="IPM75" s="164"/>
      <c r="IPN75" s="164"/>
      <c r="IPO75" s="164"/>
      <c r="IPP75" s="164"/>
      <c r="IPQ75" s="164"/>
      <c r="IPR75" s="164"/>
      <c r="IPS75" s="164"/>
      <c r="IPT75" s="164"/>
      <c r="IPU75" s="164"/>
      <c r="IPV75" s="164"/>
      <c r="IPW75" s="164"/>
      <c r="IPX75" s="164"/>
      <c r="IPY75" s="164"/>
      <c r="IPZ75" s="164"/>
      <c r="IQA75" s="164"/>
      <c r="IQB75" s="164"/>
      <c r="IQC75" s="164"/>
      <c r="IQD75" s="164"/>
      <c r="IQE75" s="164"/>
      <c r="IQF75" s="164"/>
      <c r="IQG75" s="164"/>
      <c r="IQH75" s="164"/>
      <c r="IQI75" s="164"/>
      <c r="IQJ75" s="164"/>
      <c r="IQK75" s="164"/>
      <c r="IQL75" s="164"/>
      <c r="IQM75" s="164"/>
      <c r="IQN75" s="164"/>
      <c r="IQO75" s="164"/>
      <c r="IQP75" s="164"/>
      <c r="IQQ75" s="164"/>
      <c r="IQR75" s="164"/>
      <c r="IQS75" s="164"/>
      <c r="IQT75" s="164"/>
      <c r="IQU75" s="164"/>
      <c r="IQV75" s="164"/>
      <c r="IQW75" s="164"/>
      <c r="IQX75" s="164"/>
      <c r="IQY75" s="164"/>
      <c r="IQZ75" s="164"/>
      <c r="IRA75" s="164"/>
      <c r="IRB75" s="164"/>
      <c r="IRC75" s="164"/>
      <c r="IRD75" s="164"/>
      <c r="IRE75" s="164"/>
      <c r="IRF75" s="164"/>
      <c r="IRG75" s="164"/>
      <c r="IRH75" s="164"/>
      <c r="IRI75" s="164"/>
      <c r="IRJ75" s="164"/>
      <c r="IRK75" s="164"/>
      <c r="IRL75" s="164"/>
      <c r="IRM75" s="164"/>
      <c r="IRN75" s="164"/>
      <c r="IRO75" s="164"/>
      <c r="IRP75" s="164"/>
      <c r="IRQ75" s="164"/>
      <c r="IRR75" s="164"/>
      <c r="IRS75" s="164"/>
      <c r="IRT75" s="164"/>
      <c r="IRU75" s="164"/>
      <c r="IRV75" s="164"/>
      <c r="IRW75" s="164"/>
      <c r="IRX75" s="164"/>
      <c r="IRY75" s="164"/>
      <c r="IRZ75" s="164"/>
      <c r="ISA75" s="164"/>
      <c r="ISB75" s="164"/>
      <c r="ISC75" s="164"/>
      <c r="ISD75" s="164"/>
      <c r="ISE75" s="164"/>
      <c r="ISF75" s="164"/>
      <c r="ISG75" s="164"/>
      <c r="ISH75" s="164"/>
      <c r="ISI75" s="164"/>
      <c r="ISJ75" s="164"/>
      <c r="ISK75" s="164"/>
      <c r="ISL75" s="164"/>
      <c r="ISM75" s="164"/>
      <c r="ISN75" s="164"/>
      <c r="ISO75" s="164"/>
      <c r="ISP75" s="164"/>
      <c r="ISQ75" s="164"/>
      <c r="ISR75" s="164"/>
      <c r="ISS75" s="164"/>
      <c r="IST75" s="164"/>
      <c r="ISU75" s="164"/>
      <c r="ISV75" s="164"/>
      <c r="ISW75" s="164"/>
      <c r="ISX75" s="164"/>
      <c r="ISY75" s="164"/>
      <c r="ISZ75" s="164"/>
      <c r="ITA75" s="164"/>
      <c r="ITB75" s="164"/>
      <c r="ITC75" s="164"/>
      <c r="ITD75" s="164"/>
      <c r="ITE75" s="164"/>
      <c r="ITF75" s="164"/>
      <c r="ITG75" s="164"/>
      <c r="ITH75" s="164"/>
      <c r="ITI75" s="164"/>
      <c r="ITJ75" s="164"/>
      <c r="ITK75" s="164"/>
      <c r="ITL75" s="164"/>
      <c r="ITM75" s="164"/>
      <c r="ITN75" s="164"/>
      <c r="ITO75" s="164"/>
      <c r="ITP75" s="164"/>
      <c r="ITQ75" s="164"/>
      <c r="ITR75" s="164"/>
      <c r="ITS75" s="164"/>
      <c r="ITT75" s="164"/>
      <c r="ITU75" s="164"/>
      <c r="ITV75" s="164"/>
      <c r="ITW75" s="164"/>
      <c r="ITX75" s="164"/>
      <c r="ITY75" s="164"/>
      <c r="ITZ75" s="164"/>
      <c r="IUA75" s="164"/>
      <c r="IUB75" s="164"/>
      <c r="IUC75" s="164"/>
      <c r="IUD75" s="164"/>
      <c r="IUE75" s="164"/>
      <c r="IUF75" s="164"/>
      <c r="IUG75" s="164"/>
      <c r="IUH75" s="164"/>
      <c r="IUI75" s="164"/>
      <c r="IUJ75" s="164"/>
      <c r="IUK75" s="164"/>
      <c r="IUL75" s="164"/>
      <c r="IUM75" s="164"/>
      <c r="IUN75" s="164"/>
      <c r="IUO75" s="164"/>
      <c r="IUP75" s="164"/>
      <c r="IUQ75" s="164"/>
      <c r="IUR75" s="164"/>
      <c r="IUS75" s="164"/>
      <c r="IUT75" s="164"/>
      <c r="IUU75" s="164"/>
      <c r="IUV75" s="164"/>
      <c r="IUW75" s="164"/>
      <c r="IUX75" s="164"/>
      <c r="IUY75" s="164"/>
      <c r="IUZ75" s="164"/>
      <c r="IVA75" s="164"/>
      <c r="IVB75" s="164"/>
      <c r="IVC75" s="164"/>
      <c r="IVD75" s="164"/>
      <c r="IVE75" s="164"/>
      <c r="IVF75" s="164"/>
      <c r="IVG75" s="164"/>
      <c r="IVH75" s="164"/>
      <c r="IVI75" s="164"/>
      <c r="IVJ75" s="164"/>
      <c r="IVK75" s="164"/>
      <c r="IVL75" s="164"/>
      <c r="IVM75" s="164"/>
      <c r="IVN75" s="164"/>
      <c r="IVO75" s="164"/>
      <c r="IVP75" s="164"/>
      <c r="IVQ75" s="164"/>
      <c r="IVR75" s="164"/>
      <c r="IVS75" s="164"/>
      <c r="IVT75" s="164"/>
      <c r="IVU75" s="164"/>
      <c r="IVV75" s="164"/>
      <c r="IVW75" s="164"/>
      <c r="IVX75" s="164"/>
      <c r="IVY75" s="164"/>
      <c r="IVZ75" s="164"/>
      <c r="IWA75" s="164"/>
      <c r="IWB75" s="164"/>
      <c r="IWC75" s="164"/>
      <c r="IWD75" s="164"/>
      <c r="IWE75" s="164"/>
      <c r="IWF75" s="164"/>
      <c r="IWG75" s="164"/>
      <c r="IWH75" s="164"/>
      <c r="IWI75" s="164"/>
      <c r="IWJ75" s="164"/>
      <c r="IWK75" s="164"/>
      <c r="IWL75" s="164"/>
      <c r="IWM75" s="164"/>
      <c r="IWN75" s="164"/>
      <c r="IWO75" s="164"/>
      <c r="IWP75" s="164"/>
      <c r="IWQ75" s="164"/>
      <c r="IWR75" s="164"/>
      <c r="IWS75" s="164"/>
      <c r="IWT75" s="164"/>
      <c r="IWU75" s="164"/>
      <c r="IWV75" s="164"/>
      <c r="IWW75" s="164"/>
      <c r="IWX75" s="164"/>
      <c r="IWY75" s="164"/>
      <c r="IWZ75" s="164"/>
      <c r="IXA75" s="164"/>
      <c r="IXB75" s="164"/>
      <c r="IXC75" s="164"/>
      <c r="IXD75" s="164"/>
      <c r="IXE75" s="164"/>
      <c r="IXF75" s="164"/>
      <c r="IXG75" s="164"/>
      <c r="IXH75" s="164"/>
      <c r="IXI75" s="164"/>
      <c r="IXJ75" s="164"/>
      <c r="IXK75" s="164"/>
      <c r="IXL75" s="164"/>
      <c r="IXM75" s="164"/>
      <c r="IXN75" s="164"/>
      <c r="IXO75" s="164"/>
      <c r="IXP75" s="164"/>
      <c r="IXQ75" s="164"/>
      <c r="IXR75" s="164"/>
      <c r="IXS75" s="164"/>
      <c r="IXT75" s="164"/>
      <c r="IXU75" s="164"/>
      <c r="IXV75" s="164"/>
      <c r="IXW75" s="164"/>
      <c r="IXX75" s="164"/>
      <c r="IXY75" s="164"/>
      <c r="IXZ75" s="164"/>
      <c r="IYA75" s="164"/>
      <c r="IYB75" s="164"/>
      <c r="IYC75" s="164"/>
      <c r="IYD75" s="164"/>
      <c r="IYE75" s="164"/>
      <c r="IYF75" s="164"/>
      <c r="IYG75" s="164"/>
      <c r="IYH75" s="164"/>
      <c r="IYI75" s="164"/>
      <c r="IYJ75" s="164"/>
      <c r="IYK75" s="164"/>
      <c r="IYL75" s="164"/>
      <c r="IYM75" s="164"/>
      <c r="IYN75" s="164"/>
      <c r="IYO75" s="164"/>
      <c r="IYP75" s="164"/>
      <c r="IYQ75" s="164"/>
      <c r="IYR75" s="164"/>
      <c r="IYS75" s="164"/>
      <c r="IYT75" s="164"/>
      <c r="IYU75" s="164"/>
      <c r="IYV75" s="164"/>
      <c r="IYW75" s="164"/>
      <c r="IYX75" s="164"/>
      <c r="IYY75" s="164"/>
      <c r="IYZ75" s="164"/>
      <c r="IZA75" s="164"/>
      <c r="IZB75" s="164"/>
      <c r="IZC75" s="164"/>
      <c r="IZD75" s="164"/>
      <c r="IZE75" s="164"/>
      <c r="IZF75" s="164"/>
      <c r="IZG75" s="164"/>
      <c r="IZH75" s="164"/>
      <c r="IZI75" s="164"/>
      <c r="IZJ75" s="164"/>
      <c r="IZK75" s="164"/>
      <c r="IZL75" s="164"/>
      <c r="IZM75" s="164"/>
      <c r="IZN75" s="164"/>
      <c r="IZO75" s="164"/>
      <c r="IZP75" s="164"/>
      <c r="IZQ75" s="164"/>
      <c r="IZR75" s="164"/>
      <c r="IZS75" s="164"/>
      <c r="IZT75" s="164"/>
      <c r="IZU75" s="164"/>
      <c r="IZV75" s="164"/>
      <c r="IZW75" s="164"/>
      <c r="IZX75" s="164"/>
      <c r="IZY75" s="164"/>
      <c r="IZZ75" s="164"/>
      <c r="JAA75" s="164"/>
      <c r="JAB75" s="164"/>
      <c r="JAC75" s="164"/>
      <c r="JAD75" s="164"/>
      <c r="JAE75" s="164"/>
      <c r="JAF75" s="164"/>
      <c r="JAG75" s="164"/>
      <c r="JAH75" s="164"/>
      <c r="JAI75" s="164"/>
      <c r="JAJ75" s="164"/>
      <c r="JAK75" s="164"/>
      <c r="JAL75" s="164"/>
      <c r="JAM75" s="164"/>
      <c r="JAN75" s="164"/>
      <c r="JAO75" s="164"/>
      <c r="JAP75" s="164"/>
      <c r="JAQ75" s="164"/>
      <c r="JAR75" s="164"/>
      <c r="JAS75" s="164"/>
      <c r="JAT75" s="164"/>
      <c r="JAU75" s="164"/>
      <c r="JAV75" s="164"/>
      <c r="JAW75" s="164"/>
      <c r="JAX75" s="164"/>
      <c r="JAY75" s="164"/>
      <c r="JAZ75" s="164"/>
      <c r="JBA75" s="164"/>
      <c r="JBB75" s="164"/>
      <c r="JBC75" s="164"/>
      <c r="JBD75" s="164"/>
      <c r="JBE75" s="164"/>
      <c r="JBF75" s="164"/>
      <c r="JBG75" s="164"/>
      <c r="JBH75" s="164"/>
      <c r="JBI75" s="164"/>
      <c r="JBJ75" s="164"/>
      <c r="JBK75" s="164"/>
      <c r="JBL75" s="164"/>
      <c r="JBM75" s="164"/>
      <c r="JBN75" s="164"/>
      <c r="JBO75" s="164"/>
      <c r="JBP75" s="164"/>
      <c r="JBQ75" s="164"/>
      <c r="JBR75" s="164"/>
      <c r="JBS75" s="164"/>
      <c r="JBT75" s="164"/>
      <c r="JBU75" s="164"/>
      <c r="JBV75" s="164"/>
      <c r="JBW75" s="164"/>
      <c r="JBX75" s="164"/>
      <c r="JBY75" s="164"/>
      <c r="JBZ75" s="164"/>
      <c r="JCA75" s="164"/>
      <c r="JCB75" s="164"/>
      <c r="JCC75" s="164"/>
      <c r="JCD75" s="164"/>
      <c r="JCE75" s="164"/>
      <c r="JCF75" s="164"/>
      <c r="JCG75" s="164"/>
      <c r="JCH75" s="164"/>
      <c r="JCI75" s="164"/>
      <c r="JCJ75" s="164"/>
      <c r="JCK75" s="164"/>
      <c r="JCL75" s="164"/>
      <c r="JCM75" s="164"/>
      <c r="JCN75" s="164"/>
      <c r="JCO75" s="164"/>
      <c r="JCP75" s="164"/>
      <c r="JCQ75" s="164"/>
      <c r="JCR75" s="164"/>
      <c r="JCS75" s="164"/>
      <c r="JCT75" s="164"/>
      <c r="JCU75" s="164"/>
      <c r="JCV75" s="164"/>
      <c r="JCW75" s="164"/>
      <c r="JCX75" s="164"/>
      <c r="JCY75" s="164"/>
      <c r="JCZ75" s="164"/>
      <c r="JDA75" s="164"/>
      <c r="JDB75" s="164"/>
      <c r="JDC75" s="164"/>
      <c r="JDD75" s="164"/>
      <c r="JDE75" s="164"/>
      <c r="JDF75" s="164"/>
      <c r="JDG75" s="164"/>
      <c r="JDH75" s="164"/>
      <c r="JDI75" s="164"/>
      <c r="JDJ75" s="164"/>
      <c r="JDK75" s="164"/>
      <c r="JDL75" s="164"/>
      <c r="JDM75" s="164"/>
      <c r="JDN75" s="164"/>
      <c r="JDO75" s="164"/>
      <c r="JDP75" s="164"/>
      <c r="JDQ75" s="164"/>
      <c r="JDR75" s="164"/>
      <c r="JDS75" s="164"/>
      <c r="JDT75" s="164"/>
      <c r="JDU75" s="164"/>
      <c r="JDV75" s="164"/>
      <c r="JDW75" s="164"/>
      <c r="JDX75" s="164"/>
      <c r="JDY75" s="164"/>
      <c r="JDZ75" s="164"/>
      <c r="JEA75" s="164"/>
      <c r="JEB75" s="164"/>
      <c r="JEC75" s="164"/>
      <c r="JED75" s="164"/>
      <c r="JEE75" s="164"/>
      <c r="JEF75" s="164"/>
      <c r="JEG75" s="164"/>
      <c r="JEH75" s="164"/>
      <c r="JEI75" s="164"/>
      <c r="JEJ75" s="164"/>
      <c r="JEK75" s="164"/>
      <c r="JEL75" s="164"/>
      <c r="JEM75" s="164"/>
      <c r="JEN75" s="164"/>
      <c r="JEO75" s="164"/>
      <c r="JEP75" s="164"/>
      <c r="JEQ75" s="164"/>
      <c r="JER75" s="164"/>
      <c r="JES75" s="164"/>
      <c r="JET75" s="164"/>
      <c r="JEU75" s="164"/>
      <c r="JEV75" s="164"/>
      <c r="JEW75" s="164"/>
      <c r="JEX75" s="164"/>
      <c r="JEY75" s="164"/>
      <c r="JEZ75" s="164"/>
      <c r="JFA75" s="164"/>
      <c r="JFB75" s="164"/>
      <c r="JFC75" s="164"/>
      <c r="JFD75" s="164"/>
      <c r="JFE75" s="164"/>
      <c r="JFF75" s="164"/>
      <c r="JFG75" s="164"/>
      <c r="JFH75" s="164"/>
      <c r="JFI75" s="164"/>
      <c r="JFJ75" s="164"/>
      <c r="JFK75" s="164"/>
      <c r="JFL75" s="164"/>
      <c r="JFM75" s="164"/>
      <c r="JFN75" s="164"/>
      <c r="JFO75" s="164"/>
      <c r="JFP75" s="164"/>
      <c r="JFQ75" s="164"/>
      <c r="JFR75" s="164"/>
      <c r="JFS75" s="164"/>
      <c r="JFT75" s="164"/>
      <c r="JFU75" s="164"/>
      <c r="JFV75" s="164"/>
      <c r="JFW75" s="164"/>
      <c r="JFX75" s="164"/>
      <c r="JFY75" s="164"/>
      <c r="JFZ75" s="164"/>
      <c r="JGA75" s="164"/>
      <c r="JGB75" s="164"/>
      <c r="JGC75" s="164"/>
      <c r="JGD75" s="164"/>
      <c r="JGE75" s="164"/>
      <c r="JGF75" s="164"/>
      <c r="JGG75" s="164"/>
      <c r="JGH75" s="164"/>
      <c r="JGI75" s="164"/>
      <c r="JGJ75" s="164"/>
      <c r="JGK75" s="164"/>
      <c r="JGL75" s="164"/>
      <c r="JGM75" s="164"/>
      <c r="JGN75" s="164"/>
      <c r="JGO75" s="164"/>
      <c r="JGP75" s="164"/>
      <c r="JGQ75" s="164"/>
      <c r="JGR75" s="164"/>
      <c r="JGS75" s="164"/>
      <c r="JGT75" s="164"/>
      <c r="JGU75" s="164"/>
      <c r="JGV75" s="164"/>
      <c r="JGW75" s="164"/>
      <c r="JGX75" s="164"/>
      <c r="JGY75" s="164"/>
      <c r="JGZ75" s="164"/>
      <c r="JHA75" s="164"/>
      <c r="JHB75" s="164"/>
      <c r="JHC75" s="164"/>
      <c r="JHD75" s="164"/>
      <c r="JHE75" s="164"/>
      <c r="JHF75" s="164"/>
      <c r="JHG75" s="164"/>
      <c r="JHH75" s="164"/>
      <c r="JHI75" s="164"/>
      <c r="JHJ75" s="164"/>
      <c r="JHK75" s="164"/>
      <c r="JHL75" s="164"/>
      <c r="JHM75" s="164"/>
      <c r="JHN75" s="164"/>
      <c r="JHO75" s="164"/>
      <c r="JHP75" s="164"/>
      <c r="JHQ75" s="164"/>
      <c r="JHR75" s="164"/>
      <c r="JHS75" s="164"/>
      <c r="JHT75" s="164"/>
      <c r="JHU75" s="164"/>
      <c r="JHV75" s="164"/>
      <c r="JHW75" s="164"/>
      <c r="JHX75" s="164"/>
      <c r="JHY75" s="164"/>
      <c r="JHZ75" s="164"/>
      <c r="JIA75" s="164"/>
      <c r="JIB75" s="164"/>
      <c r="JIC75" s="164"/>
      <c r="JID75" s="164"/>
      <c r="JIE75" s="164"/>
      <c r="JIF75" s="164"/>
      <c r="JIG75" s="164"/>
      <c r="JIH75" s="164"/>
      <c r="JII75" s="164"/>
      <c r="JIJ75" s="164"/>
      <c r="JIK75" s="164"/>
      <c r="JIL75" s="164"/>
      <c r="JIM75" s="164"/>
      <c r="JIN75" s="164"/>
      <c r="JIO75" s="164"/>
      <c r="JIP75" s="164"/>
      <c r="JIQ75" s="164"/>
      <c r="JIR75" s="164"/>
      <c r="JIS75" s="164"/>
      <c r="JIT75" s="164"/>
      <c r="JIU75" s="164"/>
      <c r="JIV75" s="164"/>
      <c r="JIW75" s="164"/>
      <c r="JIX75" s="164"/>
      <c r="JIY75" s="164"/>
      <c r="JIZ75" s="164"/>
      <c r="JJA75" s="164"/>
      <c r="JJB75" s="164"/>
      <c r="JJC75" s="164"/>
      <c r="JJD75" s="164"/>
      <c r="JJE75" s="164"/>
      <c r="JJF75" s="164"/>
      <c r="JJG75" s="164"/>
      <c r="JJH75" s="164"/>
      <c r="JJI75" s="164"/>
      <c r="JJJ75" s="164"/>
      <c r="JJK75" s="164"/>
      <c r="JJL75" s="164"/>
      <c r="JJM75" s="164"/>
      <c r="JJN75" s="164"/>
      <c r="JJO75" s="164"/>
      <c r="JJP75" s="164"/>
      <c r="JJQ75" s="164"/>
      <c r="JJR75" s="164"/>
      <c r="JJS75" s="164"/>
      <c r="JJT75" s="164"/>
      <c r="JJU75" s="164"/>
      <c r="JJV75" s="164"/>
      <c r="JJW75" s="164"/>
      <c r="JJX75" s="164"/>
      <c r="JJY75" s="164"/>
      <c r="JJZ75" s="164"/>
      <c r="JKA75" s="164"/>
      <c r="JKB75" s="164"/>
      <c r="JKC75" s="164"/>
      <c r="JKD75" s="164"/>
      <c r="JKE75" s="164"/>
      <c r="JKF75" s="164"/>
      <c r="JKG75" s="164"/>
      <c r="JKH75" s="164"/>
      <c r="JKI75" s="164"/>
      <c r="JKJ75" s="164"/>
      <c r="JKK75" s="164"/>
      <c r="JKL75" s="164"/>
      <c r="JKM75" s="164"/>
      <c r="JKN75" s="164"/>
      <c r="JKO75" s="164"/>
      <c r="JKP75" s="164"/>
      <c r="JKQ75" s="164"/>
      <c r="JKR75" s="164"/>
      <c r="JKS75" s="164"/>
      <c r="JKT75" s="164"/>
      <c r="JKU75" s="164"/>
      <c r="JKV75" s="164"/>
      <c r="JKW75" s="164"/>
      <c r="JKX75" s="164"/>
      <c r="JKY75" s="164"/>
      <c r="JKZ75" s="164"/>
      <c r="JLA75" s="164"/>
      <c r="JLB75" s="164"/>
      <c r="JLC75" s="164"/>
      <c r="JLD75" s="164"/>
      <c r="JLE75" s="164"/>
      <c r="JLF75" s="164"/>
      <c r="JLG75" s="164"/>
      <c r="JLH75" s="164"/>
      <c r="JLI75" s="164"/>
      <c r="JLJ75" s="164"/>
      <c r="JLK75" s="164"/>
      <c r="JLL75" s="164"/>
      <c r="JLM75" s="164"/>
      <c r="JLN75" s="164"/>
      <c r="JLO75" s="164"/>
      <c r="JLP75" s="164"/>
      <c r="JLQ75" s="164"/>
      <c r="JLR75" s="164"/>
      <c r="JLS75" s="164"/>
      <c r="JLT75" s="164"/>
      <c r="JLU75" s="164"/>
      <c r="JLV75" s="164"/>
      <c r="JLW75" s="164"/>
      <c r="JLX75" s="164"/>
      <c r="JLY75" s="164"/>
      <c r="JLZ75" s="164"/>
      <c r="JMA75" s="164"/>
      <c r="JMB75" s="164"/>
      <c r="JMC75" s="164"/>
      <c r="JMD75" s="164"/>
      <c r="JME75" s="164"/>
      <c r="JMF75" s="164"/>
      <c r="JMG75" s="164"/>
      <c r="JMH75" s="164"/>
      <c r="JMI75" s="164"/>
      <c r="JMJ75" s="164"/>
      <c r="JMK75" s="164"/>
      <c r="JML75" s="164"/>
      <c r="JMM75" s="164"/>
      <c r="JMN75" s="164"/>
      <c r="JMO75" s="164"/>
      <c r="JMP75" s="164"/>
      <c r="JMQ75" s="164"/>
      <c r="JMR75" s="164"/>
      <c r="JMS75" s="164"/>
      <c r="JMT75" s="164"/>
      <c r="JMU75" s="164"/>
      <c r="JMV75" s="164"/>
      <c r="JMW75" s="164"/>
      <c r="JMX75" s="164"/>
      <c r="JMY75" s="164"/>
      <c r="JMZ75" s="164"/>
      <c r="JNA75" s="164"/>
      <c r="JNB75" s="164"/>
      <c r="JNC75" s="164"/>
      <c r="JND75" s="164"/>
      <c r="JNE75" s="164"/>
      <c r="JNF75" s="164"/>
      <c r="JNG75" s="164"/>
      <c r="JNH75" s="164"/>
      <c r="JNI75" s="164"/>
      <c r="JNJ75" s="164"/>
      <c r="JNK75" s="164"/>
      <c r="JNL75" s="164"/>
      <c r="JNM75" s="164"/>
      <c r="JNN75" s="164"/>
      <c r="JNO75" s="164"/>
      <c r="JNP75" s="164"/>
      <c r="JNQ75" s="164"/>
      <c r="JNR75" s="164"/>
      <c r="JNS75" s="164"/>
      <c r="JNT75" s="164"/>
      <c r="JNU75" s="164"/>
      <c r="JNV75" s="164"/>
      <c r="JNW75" s="164"/>
      <c r="JNX75" s="164"/>
      <c r="JNY75" s="164"/>
      <c r="JNZ75" s="164"/>
      <c r="JOA75" s="164"/>
      <c r="JOB75" s="164"/>
      <c r="JOC75" s="164"/>
      <c r="JOD75" s="164"/>
      <c r="JOE75" s="164"/>
      <c r="JOF75" s="164"/>
      <c r="JOG75" s="164"/>
      <c r="JOH75" s="164"/>
      <c r="JOI75" s="164"/>
      <c r="JOJ75" s="164"/>
      <c r="JOK75" s="164"/>
      <c r="JOL75" s="164"/>
      <c r="JOM75" s="164"/>
      <c r="JON75" s="164"/>
      <c r="JOO75" s="164"/>
      <c r="JOP75" s="164"/>
      <c r="JOQ75" s="164"/>
      <c r="JOR75" s="164"/>
      <c r="JOS75" s="164"/>
      <c r="JOT75" s="164"/>
      <c r="JOU75" s="164"/>
      <c r="JOV75" s="164"/>
      <c r="JOW75" s="164"/>
      <c r="JOX75" s="164"/>
      <c r="JOY75" s="164"/>
      <c r="JOZ75" s="164"/>
      <c r="JPA75" s="164"/>
      <c r="JPB75" s="164"/>
      <c r="JPC75" s="164"/>
      <c r="JPD75" s="164"/>
      <c r="JPE75" s="164"/>
      <c r="JPF75" s="164"/>
      <c r="JPG75" s="164"/>
      <c r="JPH75" s="164"/>
      <c r="JPI75" s="164"/>
      <c r="JPJ75" s="164"/>
      <c r="JPK75" s="164"/>
      <c r="JPL75" s="164"/>
      <c r="JPM75" s="164"/>
      <c r="JPN75" s="164"/>
      <c r="JPO75" s="164"/>
      <c r="JPP75" s="164"/>
      <c r="JPQ75" s="164"/>
      <c r="JPR75" s="164"/>
      <c r="JPS75" s="164"/>
      <c r="JPT75" s="164"/>
      <c r="JPU75" s="164"/>
      <c r="JPV75" s="164"/>
      <c r="JPW75" s="164"/>
      <c r="JPX75" s="164"/>
      <c r="JPY75" s="164"/>
      <c r="JPZ75" s="164"/>
      <c r="JQA75" s="164"/>
      <c r="JQB75" s="164"/>
      <c r="JQC75" s="164"/>
      <c r="JQD75" s="164"/>
      <c r="JQE75" s="164"/>
      <c r="JQF75" s="164"/>
      <c r="JQG75" s="164"/>
      <c r="JQH75" s="164"/>
      <c r="JQI75" s="164"/>
      <c r="JQJ75" s="164"/>
      <c r="JQK75" s="164"/>
      <c r="JQL75" s="164"/>
      <c r="JQM75" s="164"/>
      <c r="JQN75" s="164"/>
      <c r="JQO75" s="164"/>
      <c r="JQP75" s="164"/>
      <c r="JQQ75" s="164"/>
      <c r="JQR75" s="164"/>
      <c r="JQS75" s="164"/>
      <c r="JQT75" s="164"/>
      <c r="JQU75" s="164"/>
      <c r="JQV75" s="164"/>
      <c r="JQW75" s="164"/>
      <c r="JQX75" s="164"/>
      <c r="JQY75" s="164"/>
      <c r="JQZ75" s="164"/>
      <c r="JRA75" s="164"/>
      <c r="JRB75" s="164"/>
      <c r="JRC75" s="164"/>
      <c r="JRD75" s="164"/>
      <c r="JRE75" s="164"/>
      <c r="JRF75" s="164"/>
      <c r="JRG75" s="164"/>
      <c r="JRH75" s="164"/>
      <c r="JRI75" s="164"/>
      <c r="JRJ75" s="164"/>
      <c r="JRK75" s="164"/>
      <c r="JRL75" s="164"/>
      <c r="JRM75" s="164"/>
      <c r="JRN75" s="164"/>
      <c r="JRO75" s="164"/>
      <c r="JRP75" s="164"/>
      <c r="JRQ75" s="164"/>
      <c r="JRR75" s="164"/>
      <c r="JRS75" s="164"/>
      <c r="JRT75" s="164"/>
      <c r="JRU75" s="164"/>
      <c r="JRV75" s="164"/>
      <c r="JRW75" s="164"/>
      <c r="JRX75" s="164"/>
      <c r="JRY75" s="164"/>
      <c r="JRZ75" s="164"/>
      <c r="JSA75" s="164"/>
      <c r="JSB75" s="164"/>
      <c r="JSC75" s="164"/>
      <c r="JSD75" s="164"/>
      <c r="JSE75" s="164"/>
      <c r="JSF75" s="164"/>
      <c r="JSG75" s="164"/>
      <c r="JSH75" s="164"/>
      <c r="JSI75" s="164"/>
      <c r="JSJ75" s="164"/>
      <c r="JSK75" s="164"/>
      <c r="JSL75" s="164"/>
      <c r="JSM75" s="164"/>
      <c r="JSN75" s="164"/>
      <c r="JSO75" s="164"/>
      <c r="JSP75" s="164"/>
      <c r="JSQ75" s="164"/>
      <c r="JSR75" s="164"/>
      <c r="JSS75" s="164"/>
      <c r="JST75" s="164"/>
      <c r="JSU75" s="164"/>
      <c r="JSV75" s="164"/>
      <c r="JSW75" s="164"/>
      <c r="JSX75" s="164"/>
      <c r="JSY75" s="164"/>
      <c r="JSZ75" s="164"/>
      <c r="JTA75" s="164"/>
      <c r="JTB75" s="164"/>
      <c r="JTC75" s="164"/>
      <c r="JTD75" s="164"/>
      <c r="JTE75" s="164"/>
      <c r="JTF75" s="164"/>
      <c r="JTG75" s="164"/>
      <c r="JTH75" s="164"/>
      <c r="JTI75" s="164"/>
      <c r="JTJ75" s="164"/>
      <c r="JTK75" s="164"/>
      <c r="JTL75" s="164"/>
      <c r="JTM75" s="164"/>
      <c r="JTN75" s="164"/>
      <c r="JTO75" s="164"/>
      <c r="JTP75" s="164"/>
      <c r="JTQ75" s="164"/>
      <c r="JTR75" s="164"/>
      <c r="JTS75" s="164"/>
      <c r="JTT75" s="164"/>
      <c r="JTU75" s="164"/>
      <c r="JTV75" s="164"/>
      <c r="JTW75" s="164"/>
      <c r="JTX75" s="164"/>
      <c r="JTY75" s="164"/>
      <c r="JTZ75" s="164"/>
      <c r="JUA75" s="164"/>
      <c r="JUB75" s="164"/>
      <c r="JUC75" s="164"/>
      <c r="JUD75" s="164"/>
      <c r="JUE75" s="164"/>
      <c r="JUF75" s="164"/>
      <c r="JUG75" s="164"/>
      <c r="JUH75" s="164"/>
      <c r="JUI75" s="164"/>
      <c r="JUJ75" s="164"/>
      <c r="JUK75" s="164"/>
      <c r="JUL75" s="164"/>
      <c r="JUM75" s="164"/>
      <c r="JUN75" s="164"/>
      <c r="JUO75" s="164"/>
      <c r="JUP75" s="164"/>
      <c r="JUQ75" s="164"/>
      <c r="JUR75" s="164"/>
      <c r="JUS75" s="164"/>
      <c r="JUT75" s="164"/>
      <c r="JUU75" s="164"/>
      <c r="JUV75" s="164"/>
      <c r="JUW75" s="164"/>
      <c r="JUX75" s="164"/>
      <c r="JUY75" s="164"/>
      <c r="JUZ75" s="164"/>
      <c r="JVA75" s="164"/>
      <c r="JVB75" s="164"/>
      <c r="JVC75" s="164"/>
      <c r="JVD75" s="164"/>
      <c r="JVE75" s="164"/>
      <c r="JVF75" s="164"/>
      <c r="JVG75" s="164"/>
      <c r="JVH75" s="164"/>
      <c r="JVI75" s="164"/>
      <c r="JVJ75" s="164"/>
      <c r="JVK75" s="164"/>
      <c r="JVL75" s="164"/>
      <c r="JVM75" s="164"/>
      <c r="JVN75" s="164"/>
      <c r="JVO75" s="164"/>
      <c r="JVP75" s="164"/>
      <c r="JVQ75" s="164"/>
      <c r="JVR75" s="164"/>
      <c r="JVS75" s="164"/>
      <c r="JVT75" s="164"/>
      <c r="JVU75" s="164"/>
      <c r="JVV75" s="164"/>
      <c r="JVW75" s="164"/>
      <c r="JVX75" s="164"/>
      <c r="JVY75" s="164"/>
      <c r="JVZ75" s="164"/>
      <c r="JWA75" s="164"/>
      <c r="JWB75" s="164"/>
      <c r="JWC75" s="164"/>
      <c r="JWD75" s="164"/>
      <c r="JWE75" s="164"/>
      <c r="JWF75" s="164"/>
      <c r="JWG75" s="164"/>
      <c r="JWH75" s="164"/>
      <c r="JWI75" s="164"/>
      <c r="JWJ75" s="164"/>
      <c r="JWK75" s="164"/>
      <c r="JWL75" s="164"/>
      <c r="JWM75" s="164"/>
      <c r="JWN75" s="164"/>
      <c r="JWO75" s="164"/>
      <c r="JWP75" s="164"/>
      <c r="JWQ75" s="164"/>
      <c r="JWR75" s="164"/>
      <c r="JWS75" s="164"/>
      <c r="JWT75" s="164"/>
      <c r="JWU75" s="164"/>
      <c r="JWV75" s="164"/>
      <c r="JWW75" s="164"/>
      <c r="JWX75" s="164"/>
      <c r="JWY75" s="164"/>
      <c r="JWZ75" s="164"/>
      <c r="JXA75" s="164"/>
      <c r="JXB75" s="164"/>
      <c r="JXC75" s="164"/>
      <c r="JXD75" s="164"/>
      <c r="JXE75" s="164"/>
      <c r="JXF75" s="164"/>
      <c r="JXG75" s="164"/>
      <c r="JXH75" s="164"/>
      <c r="JXI75" s="164"/>
      <c r="JXJ75" s="164"/>
      <c r="JXK75" s="164"/>
      <c r="JXL75" s="164"/>
      <c r="JXM75" s="164"/>
      <c r="JXN75" s="164"/>
      <c r="JXO75" s="164"/>
      <c r="JXP75" s="164"/>
      <c r="JXQ75" s="164"/>
      <c r="JXR75" s="164"/>
      <c r="JXS75" s="164"/>
      <c r="JXT75" s="164"/>
      <c r="JXU75" s="164"/>
      <c r="JXV75" s="164"/>
      <c r="JXW75" s="164"/>
      <c r="JXX75" s="164"/>
      <c r="JXY75" s="164"/>
      <c r="JXZ75" s="164"/>
      <c r="JYA75" s="164"/>
      <c r="JYB75" s="164"/>
      <c r="JYC75" s="164"/>
      <c r="JYD75" s="164"/>
      <c r="JYE75" s="164"/>
      <c r="JYF75" s="164"/>
      <c r="JYG75" s="164"/>
      <c r="JYH75" s="164"/>
      <c r="JYI75" s="164"/>
      <c r="JYJ75" s="164"/>
      <c r="JYK75" s="164"/>
      <c r="JYL75" s="164"/>
      <c r="JYM75" s="164"/>
      <c r="JYN75" s="164"/>
      <c r="JYO75" s="164"/>
      <c r="JYP75" s="164"/>
      <c r="JYQ75" s="164"/>
      <c r="JYR75" s="164"/>
      <c r="JYS75" s="164"/>
      <c r="JYT75" s="164"/>
      <c r="JYU75" s="164"/>
      <c r="JYV75" s="164"/>
      <c r="JYW75" s="164"/>
      <c r="JYX75" s="164"/>
      <c r="JYY75" s="164"/>
      <c r="JYZ75" s="164"/>
      <c r="JZA75" s="164"/>
      <c r="JZB75" s="164"/>
      <c r="JZC75" s="164"/>
      <c r="JZD75" s="164"/>
      <c r="JZE75" s="164"/>
      <c r="JZF75" s="164"/>
      <c r="JZG75" s="164"/>
      <c r="JZH75" s="164"/>
      <c r="JZI75" s="164"/>
      <c r="JZJ75" s="164"/>
      <c r="JZK75" s="164"/>
      <c r="JZL75" s="164"/>
      <c r="JZM75" s="164"/>
      <c r="JZN75" s="164"/>
      <c r="JZO75" s="164"/>
      <c r="JZP75" s="164"/>
      <c r="JZQ75" s="164"/>
      <c r="JZR75" s="164"/>
      <c r="JZS75" s="164"/>
      <c r="JZT75" s="164"/>
      <c r="JZU75" s="164"/>
      <c r="JZV75" s="164"/>
      <c r="JZW75" s="164"/>
      <c r="JZX75" s="164"/>
      <c r="JZY75" s="164"/>
      <c r="JZZ75" s="164"/>
      <c r="KAA75" s="164"/>
      <c r="KAB75" s="164"/>
      <c r="KAC75" s="164"/>
      <c r="KAD75" s="164"/>
      <c r="KAE75" s="164"/>
      <c r="KAF75" s="164"/>
      <c r="KAG75" s="164"/>
      <c r="KAH75" s="164"/>
      <c r="KAI75" s="164"/>
      <c r="KAJ75" s="164"/>
      <c r="KAK75" s="164"/>
      <c r="KAL75" s="164"/>
      <c r="KAM75" s="164"/>
      <c r="KAN75" s="164"/>
      <c r="KAO75" s="164"/>
      <c r="KAP75" s="164"/>
      <c r="KAQ75" s="164"/>
      <c r="KAR75" s="164"/>
      <c r="KAS75" s="164"/>
      <c r="KAT75" s="164"/>
      <c r="KAU75" s="164"/>
      <c r="KAV75" s="164"/>
      <c r="KAW75" s="164"/>
      <c r="KAX75" s="164"/>
      <c r="KAY75" s="164"/>
      <c r="KAZ75" s="164"/>
      <c r="KBA75" s="164"/>
      <c r="KBB75" s="164"/>
      <c r="KBC75" s="164"/>
      <c r="KBD75" s="164"/>
      <c r="KBE75" s="164"/>
      <c r="KBF75" s="164"/>
      <c r="KBG75" s="164"/>
      <c r="KBH75" s="164"/>
      <c r="KBI75" s="164"/>
      <c r="KBJ75" s="164"/>
      <c r="KBK75" s="164"/>
      <c r="KBL75" s="164"/>
      <c r="KBM75" s="164"/>
      <c r="KBN75" s="164"/>
      <c r="KBO75" s="164"/>
      <c r="KBP75" s="164"/>
      <c r="KBQ75" s="164"/>
      <c r="KBR75" s="164"/>
      <c r="KBS75" s="164"/>
      <c r="KBT75" s="164"/>
      <c r="KBU75" s="164"/>
      <c r="KBV75" s="164"/>
      <c r="KBW75" s="164"/>
      <c r="KBX75" s="164"/>
      <c r="KBY75" s="164"/>
      <c r="KBZ75" s="164"/>
      <c r="KCA75" s="164"/>
      <c r="KCB75" s="164"/>
      <c r="KCC75" s="164"/>
      <c r="KCD75" s="164"/>
      <c r="KCE75" s="164"/>
      <c r="KCF75" s="164"/>
      <c r="KCG75" s="164"/>
      <c r="KCH75" s="164"/>
      <c r="KCI75" s="164"/>
      <c r="KCJ75" s="164"/>
      <c r="KCK75" s="164"/>
      <c r="KCL75" s="164"/>
      <c r="KCM75" s="164"/>
      <c r="KCN75" s="164"/>
      <c r="KCO75" s="164"/>
      <c r="KCP75" s="164"/>
      <c r="KCQ75" s="164"/>
      <c r="KCR75" s="164"/>
      <c r="KCS75" s="164"/>
      <c r="KCT75" s="164"/>
      <c r="KCU75" s="164"/>
      <c r="KCV75" s="164"/>
      <c r="KCW75" s="164"/>
      <c r="KCX75" s="164"/>
      <c r="KCY75" s="164"/>
      <c r="KCZ75" s="164"/>
      <c r="KDA75" s="164"/>
      <c r="KDB75" s="164"/>
      <c r="KDC75" s="164"/>
      <c r="KDD75" s="164"/>
      <c r="KDE75" s="164"/>
      <c r="KDF75" s="164"/>
      <c r="KDG75" s="164"/>
      <c r="KDH75" s="164"/>
      <c r="KDI75" s="164"/>
      <c r="KDJ75" s="164"/>
      <c r="KDK75" s="164"/>
      <c r="KDL75" s="164"/>
      <c r="KDM75" s="164"/>
      <c r="KDN75" s="164"/>
      <c r="KDO75" s="164"/>
      <c r="KDP75" s="164"/>
      <c r="KDQ75" s="164"/>
      <c r="KDR75" s="164"/>
      <c r="KDS75" s="164"/>
      <c r="KDT75" s="164"/>
      <c r="KDU75" s="164"/>
      <c r="KDV75" s="164"/>
      <c r="KDW75" s="164"/>
      <c r="KDX75" s="164"/>
      <c r="KDY75" s="164"/>
      <c r="KDZ75" s="164"/>
      <c r="KEA75" s="164"/>
      <c r="KEB75" s="164"/>
      <c r="KEC75" s="164"/>
      <c r="KED75" s="164"/>
      <c r="KEE75" s="164"/>
      <c r="KEF75" s="164"/>
      <c r="KEG75" s="164"/>
      <c r="KEH75" s="164"/>
      <c r="KEI75" s="164"/>
      <c r="KEJ75" s="164"/>
      <c r="KEK75" s="164"/>
      <c r="KEL75" s="164"/>
      <c r="KEM75" s="164"/>
      <c r="KEN75" s="164"/>
      <c r="KEO75" s="164"/>
      <c r="KEP75" s="164"/>
      <c r="KEQ75" s="164"/>
      <c r="KER75" s="164"/>
      <c r="KES75" s="164"/>
      <c r="KET75" s="164"/>
      <c r="KEU75" s="164"/>
      <c r="KEV75" s="164"/>
      <c r="KEW75" s="164"/>
      <c r="KEX75" s="164"/>
      <c r="KEY75" s="164"/>
      <c r="KEZ75" s="164"/>
      <c r="KFA75" s="164"/>
      <c r="KFB75" s="164"/>
      <c r="KFC75" s="164"/>
      <c r="KFD75" s="164"/>
      <c r="KFE75" s="164"/>
      <c r="KFF75" s="164"/>
      <c r="KFG75" s="164"/>
      <c r="KFH75" s="164"/>
      <c r="KFI75" s="164"/>
      <c r="KFJ75" s="164"/>
      <c r="KFK75" s="164"/>
      <c r="KFL75" s="164"/>
      <c r="KFM75" s="164"/>
      <c r="KFN75" s="164"/>
      <c r="KFO75" s="164"/>
      <c r="KFP75" s="164"/>
      <c r="KFQ75" s="164"/>
      <c r="KFR75" s="164"/>
      <c r="KFS75" s="164"/>
      <c r="KFT75" s="164"/>
      <c r="KFU75" s="164"/>
      <c r="KFV75" s="164"/>
      <c r="KFW75" s="164"/>
      <c r="KFX75" s="164"/>
      <c r="KFY75" s="164"/>
      <c r="KFZ75" s="164"/>
      <c r="KGA75" s="164"/>
      <c r="KGB75" s="164"/>
      <c r="KGC75" s="164"/>
      <c r="KGD75" s="164"/>
      <c r="KGE75" s="164"/>
      <c r="KGF75" s="164"/>
      <c r="KGG75" s="164"/>
      <c r="KGH75" s="164"/>
      <c r="KGI75" s="164"/>
      <c r="KGJ75" s="164"/>
      <c r="KGK75" s="164"/>
      <c r="KGL75" s="164"/>
      <c r="KGM75" s="164"/>
      <c r="KGN75" s="164"/>
      <c r="KGO75" s="164"/>
      <c r="KGP75" s="164"/>
      <c r="KGQ75" s="164"/>
      <c r="KGR75" s="164"/>
      <c r="KGS75" s="164"/>
      <c r="KGT75" s="164"/>
      <c r="KGU75" s="164"/>
      <c r="KGV75" s="164"/>
      <c r="KGW75" s="164"/>
      <c r="KGX75" s="164"/>
      <c r="KGY75" s="164"/>
      <c r="KGZ75" s="164"/>
      <c r="KHA75" s="164"/>
      <c r="KHB75" s="164"/>
      <c r="KHC75" s="164"/>
      <c r="KHD75" s="164"/>
      <c r="KHE75" s="164"/>
      <c r="KHF75" s="164"/>
      <c r="KHG75" s="164"/>
      <c r="KHH75" s="164"/>
      <c r="KHI75" s="164"/>
      <c r="KHJ75" s="164"/>
      <c r="KHK75" s="164"/>
      <c r="KHL75" s="164"/>
      <c r="KHM75" s="164"/>
      <c r="KHN75" s="164"/>
      <c r="KHO75" s="164"/>
      <c r="KHP75" s="164"/>
      <c r="KHQ75" s="164"/>
      <c r="KHR75" s="164"/>
      <c r="KHS75" s="164"/>
      <c r="KHT75" s="164"/>
      <c r="KHU75" s="164"/>
      <c r="KHV75" s="164"/>
      <c r="KHW75" s="164"/>
      <c r="KHX75" s="164"/>
      <c r="KHY75" s="164"/>
      <c r="KHZ75" s="164"/>
      <c r="KIA75" s="164"/>
      <c r="KIB75" s="164"/>
      <c r="KIC75" s="164"/>
      <c r="KID75" s="164"/>
      <c r="KIE75" s="164"/>
      <c r="KIF75" s="164"/>
      <c r="KIG75" s="164"/>
      <c r="KIH75" s="164"/>
      <c r="KII75" s="164"/>
      <c r="KIJ75" s="164"/>
      <c r="KIK75" s="164"/>
      <c r="KIL75" s="164"/>
      <c r="KIM75" s="164"/>
      <c r="KIN75" s="164"/>
      <c r="KIO75" s="164"/>
      <c r="KIP75" s="164"/>
      <c r="KIQ75" s="164"/>
      <c r="KIR75" s="164"/>
      <c r="KIS75" s="164"/>
      <c r="KIT75" s="164"/>
      <c r="KIU75" s="164"/>
      <c r="KIV75" s="164"/>
      <c r="KIW75" s="164"/>
      <c r="KIX75" s="164"/>
      <c r="KIY75" s="164"/>
      <c r="KIZ75" s="164"/>
      <c r="KJA75" s="164"/>
      <c r="KJB75" s="164"/>
      <c r="KJC75" s="164"/>
      <c r="KJD75" s="164"/>
      <c r="KJE75" s="164"/>
      <c r="KJF75" s="164"/>
      <c r="KJG75" s="164"/>
      <c r="KJH75" s="164"/>
      <c r="KJI75" s="164"/>
      <c r="KJJ75" s="164"/>
      <c r="KJK75" s="164"/>
      <c r="KJL75" s="164"/>
      <c r="KJM75" s="164"/>
      <c r="KJN75" s="164"/>
      <c r="KJO75" s="164"/>
      <c r="KJP75" s="164"/>
      <c r="KJQ75" s="164"/>
      <c r="KJR75" s="164"/>
      <c r="KJS75" s="164"/>
      <c r="KJT75" s="164"/>
      <c r="KJU75" s="164"/>
      <c r="KJV75" s="164"/>
      <c r="KJW75" s="164"/>
      <c r="KJX75" s="164"/>
      <c r="KJY75" s="164"/>
      <c r="KJZ75" s="164"/>
      <c r="KKA75" s="164"/>
      <c r="KKB75" s="164"/>
      <c r="KKC75" s="164"/>
      <c r="KKD75" s="164"/>
      <c r="KKE75" s="164"/>
      <c r="KKF75" s="164"/>
      <c r="KKG75" s="164"/>
      <c r="KKH75" s="164"/>
      <c r="KKI75" s="164"/>
      <c r="KKJ75" s="164"/>
      <c r="KKK75" s="164"/>
      <c r="KKL75" s="164"/>
      <c r="KKM75" s="164"/>
      <c r="KKN75" s="164"/>
      <c r="KKO75" s="164"/>
      <c r="KKP75" s="164"/>
      <c r="KKQ75" s="164"/>
      <c r="KKR75" s="164"/>
      <c r="KKS75" s="164"/>
      <c r="KKT75" s="164"/>
      <c r="KKU75" s="164"/>
      <c r="KKV75" s="164"/>
      <c r="KKW75" s="164"/>
      <c r="KKX75" s="164"/>
      <c r="KKY75" s="164"/>
      <c r="KKZ75" s="164"/>
      <c r="KLA75" s="164"/>
      <c r="KLB75" s="164"/>
      <c r="KLC75" s="164"/>
      <c r="KLD75" s="164"/>
      <c r="KLE75" s="164"/>
      <c r="KLF75" s="164"/>
      <c r="KLG75" s="164"/>
      <c r="KLH75" s="164"/>
      <c r="KLI75" s="164"/>
      <c r="KLJ75" s="164"/>
      <c r="KLK75" s="164"/>
      <c r="KLL75" s="164"/>
      <c r="KLM75" s="164"/>
      <c r="KLN75" s="164"/>
      <c r="KLO75" s="164"/>
      <c r="KLP75" s="164"/>
      <c r="KLQ75" s="164"/>
      <c r="KLR75" s="164"/>
      <c r="KLS75" s="164"/>
      <c r="KLT75" s="164"/>
      <c r="KLU75" s="164"/>
      <c r="KLV75" s="164"/>
      <c r="KLW75" s="164"/>
      <c r="KLX75" s="164"/>
      <c r="KLY75" s="164"/>
      <c r="KLZ75" s="164"/>
      <c r="KMA75" s="164"/>
      <c r="KMB75" s="164"/>
      <c r="KMC75" s="164"/>
      <c r="KMD75" s="164"/>
      <c r="KME75" s="164"/>
      <c r="KMF75" s="164"/>
      <c r="KMG75" s="164"/>
      <c r="KMH75" s="164"/>
      <c r="KMI75" s="164"/>
      <c r="KMJ75" s="164"/>
      <c r="KMK75" s="164"/>
      <c r="KML75" s="164"/>
      <c r="KMM75" s="164"/>
      <c r="KMN75" s="164"/>
      <c r="KMO75" s="164"/>
      <c r="KMP75" s="164"/>
      <c r="KMQ75" s="164"/>
      <c r="KMR75" s="164"/>
      <c r="KMS75" s="164"/>
      <c r="KMT75" s="164"/>
      <c r="KMU75" s="164"/>
      <c r="KMV75" s="164"/>
      <c r="KMW75" s="164"/>
      <c r="KMX75" s="164"/>
      <c r="KMY75" s="164"/>
      <c r="KMZ75" s="164"/>
      <c r="KNA75" s="164"/>
      <c r="KNB75" s="164"/>
      <c r="KNC75" s="164"/>
      <c r="KND75" s="164"/>
      <c r="KNE75" s="164"/>
      <c r="KNF75" s="164"/>
      <c r="KNG75" s="164"/>
      <c r="KNH75" s="164"/>
      <c r="KNI75" s="164"/>
      <c r="KNJ75" s="164"/>
      <c r="KNK75" s="164"/>
      <c r="KNL75" s="164"/>
      <c r="KNM75" s="164"/>
      <c r="KNN75" s="164"/>
      <c r="KNO75" s="164"/>
      <c r="KNP75" s="164"/>
      <c r="KNQ75" s="164"/>
      <c r="KNR75" s="164"/>
      <c r="KNS75" s="164"/>
      <c r="KNT75" s="164"/>
      <c r="KNU75" s="164"/>
      <c r="KNV75" s="164"/>
      <c r="KNW75" s="164"/>
      <c r="KNX75" s="164"/>
      <c r="KNY75" s="164"/>
      <c r="KNZ75" s="164"/>
      <c r="KOA75" s="164"/>
      <c r="KOB75" s="164"/>
      <c r="KOC75" s="164"/>
      <c r="KOD75" s="164"/>
      <c r="KOE75" s="164"/>
      <c r="KOF75" s="164"/>
      <c r="KOG75" s="164"/>
      <c r="KOH75" s="164"/>
      <c r="KOI75" s="164"/>
      <c r="KOJ75" s="164"/>
      <c r="KOK75" s="164"/>
      <c r="KOL75" s="164"/>
      <c r="KOM75" s="164"/>
      <c r="KON75" s="164"/>
      <c r="KOO75" s="164"/>
      <c r="KOP75" s="164"/>
      <c r="KOQ75" s="164"/>
      <c r="KOR75" s="164"/>
      <c r="KOS75" s="164"/>
      <c r="KOT75" s="164"/>
      <c r="KOU75" s="164"/>
      <c r="KOV75" s="164"/>
      <c r="KOW75" s="164"/>
      <c r="KOX75" s="164"/>
      <c r="KOY75" s="164"/>
      <c r="KOZ75" s="164"/>
      <c r="KPA75" s="164"/>
      <c r="KPB75" s="164"/>
      <c r="KPC75" s="164"/>
      <c r="KPD75" s="164"/>
      <c r="KPE75" s="164"/>
      <c r="KPF75" s="164"/>
      <c r="KPG75" s="164"/>
      <c r="KPH75" s="164"/>
      <c r="KPI75" s="164"/>
      <c r="KPJ75" s="164"/>
      <c r="KPK75" s="164"/>
      <c r="KPL75" s="164"/>
      <c r="KPM75" s="164"/>
      <c r="KPN75" s="164"/>
      <c r="KPO75" s="164"/>
      <c r="KPP75" s="164"/>
      <c r="KPQ75" s="164"/>
      <c r="KPR75" s="164"/>
      <c r="KPS75" s="164"/>
      <c r="KPT75" s="164"/>
      <c r="KPU75" s="164"/>
      <c r="KPV75" s="164"/>
      <c r="KPW75" s="164"/>
      <c r="KPX75" s="164"/>
      <c r="KPY75" s="164"/>
      <c r="KPZ75" s="164"/>
      <c r="KQA75" s="164"/>
      <c r="KQB75" s="164"/>
      <c r="KQC75" s="164"/>
      <c r="KQD75" s="164"/>
      <c r="KQE75" s="164"/>
      <c r="KQF75" s="164"/>
      <c r="KQG75" s="164"/>
      <c r="KQH75" s="164"/>
      <c r="KQI75" s="164"/>
      <c r="KQJ75" s="164"/>
      <c r="KQK75" s="164"/>
      <c r="KQL75" s="164"/>
      <c r="KQM75" s="164"/>
      <c r="KQN75" s="164"/>
      <c r="KQO75" s="164"/>
      <c r="KQP75" s="164"/>
      <c r="KQQ75" s="164"/>
      <c r="KQR75" s="164"/>
      <c r="KQS75" s="164"/>
      <c r="KQT75" s="164"/>
      <c r="KQU75" s="164"/>
      <c r="KQV75" s="164"/>
      <c r="KQW75" s="164"/>
      <c r="KQX75" s="164"/>
      <c r="KQY75" s="164"/>
      <c r="KQZ75" s="164"/>
      <c r="KRA75" s="164"/>
      <c r="KRB75" s="164"/>
      <c r="KRC75" s="164"/>
      <c r="KRD75" s="164"/>
      <c r="KRE75" s="164"/>
      <c r="KRF75" s="164"/>
      <c r="KRG75" s="164"/>
      <c r="KRH75" s="164"/>
      <c r="KRI75" s="164"/>
      <c r="KRJ75" s="164"/>
      <c r="KRK75" s="164"/>
      <c r="KRL75" s="164"/>
      <c r="KRM75" s="164"/>
      <c r="KRN75" s="164"/>
      <c r="KRO75" s="164"/>
      <c r="KRP75" s="164"/>
      <c r="KRQ75" s="164"/>
      <c r="KRR75" s="164"/>
      <c r="KRS75" s="164"/>
      <c r="KRT75" s="164"/>
      <c r="KRU75" s="164"/>
      <c r="KRV75" s="164"/>
      <c r="KRW75" s="164"/>
      <c r="KRX75" s="164"/>
      <c r="KRY75" s="164"/>
      <c r="KRZ75" s="164"/>
      <c r="KSA75" s="164"/>
      <c r="KSB75" s="164"/>
      <c r="KSC75" s="164"/>
      <c r="KSD75" s="164"/>
      <c r="KSE75" s="164"/>
      <c r="KSF75" s="164"/>
      <c r="KSG75" s="164"/>
      <c r="KSH75" s="164"/>
      <c r="KSI75" s="164"/>
      <c r="KSJ75" s="164"/>
      <c r="KSK75" s="164"/>
      <c r="KSL75" s="164"/>
      <c r="KSM75" s="164"/>
      <c r="KSN75" s="164"/>
      <c r="KSO75" s="164"/>
      <c r="KSP75" s="164"/>
      <c r="KSQ75" s="164"/>
      <c r="KSR75" s="164"/>
      <c r="KSS75" s="164"/>
      <c r="KST75" s="164"/>
      <c r="KSU75" s="164"/>
      <c r="KSV75" s="164"/>
      <c r="KSW75" s="164"/>
      <c r="KSX75" s="164"/>
      <c r="KSY75" s="164"/>
      <c r="KSZ75" s="164"/>
      <c r="KTA75" s="164"/>
      <c r="KTB75" s="164"/>
      <c r="KTC75" s="164"/>
      <c r="KTD75" s="164"/>
      <c r="KTE75" s="164"/>
      <c r="KTF75" s="164"/>
      <c r="KTG75" s="164"/>
      <c r="KTH75" s="164"/>
      <c r="KTI75" s="164"/>
      <c r="KTJ75" s="164"/>
      <c r="KTK75" s="164"/>
      <c r="KTL75" s="164"/>
      <c r="KTM75" s="164"/>
      <c r="KTN75" s="164"/>
      <c r="KTO75" s="164"/>
      <c r="KTP75" s="164"/>
      <c r="KTQ75" s="164"/>
      <c r="KTR75" s="164"/>
      <c r="KTS75" s="164"/>
      <c r="KTT75" s="164"/>
      <c r="KTU75" s="164"/>
      <c r="KTV75" s="164"/>
      <c r="KTW75" s="164"/>
      <c r="KTX75" s="164"/>
      <c r="KTY75" s="164"/>
      <c r="KTZ75" s="164"/>
      <c r="KUA75" s="164"/>
      <c r="KUB75" s="164"/>
      <c r="KUC75" s="164"/>
      <c r="KUD75" s="164"/>
      <c r="KUE75" s="164"/>
      <c r="KUF75" s="164"/>
      <c r="KUG75" s="164"/>
      <c r="KUH75" s="164"/>
      <c r="KUI75" s="164"/>
      <c r="KUJ75" s="164"/>
      <c r="KUK75" s="164"/>
      <c r="KUL75" s="164"/>
      <c r="KUM75" s="164"/>
      <c r="KUN75" s="164"/>
      <c r="KUO75" s="164"/>
      <c r="KUP75" s="164"/>
      <c r="KUQ75" s="164"/>
      <c r="KUR75" s="164"/>
      <c r="KUS75" s="164"/>
      <c r="KUT75" s="164"/>
      <c r="KUU75" s="164"/>
      <c r="KUV75" s="164"/>
      <c r="KUW75" s="164"/>
      <c r="KUX75" s="164"/>
      <c r="KUY75" s="164"/>
      <c r="KUZ75" s="164"/>
      <c r="KVA75" s="164"/>
      <c r="KVB75" s="164"/>
      <c r="KVC75" s="164"/>
      <c r="KVD75" s="164"/>
      <c r="KVE75" s="164"/>
      <c r="KVF75" s="164"/>
      <c r="KVG75" s="164"/>
      <c r="KVH75" s="164"/>
      <c r="KVI75" s="164"/>
      <c r="KVJ75" s="164"/>
      <c r="KVK75" s="164"/>
      <c r="KVL75" s="164"/>
      <c r="KVM75" s="164"/>
      <c r="KVN75" s="164"/>
      <c r="KVO75" s="164"/>
      <c r="KVP75" s="164"/>
      <c r="KVQ75" s="164"/>
      <c r="KVR75" s="164"/>
      <c r="KVS75" s="164"/>
      <c r="KVT75" s="164"/>
      <c r="KVU75" s="164"/>
      <c r="KVV75" s="164"/>
      <c r="KVW75" s="164"/>
      <c r="KVX75" s="164"/>
      <c r="KVY75" s="164"/>
      <c r="KVZ75" s="164"/>
      <c r="KWA75" s="164"/>
      <c r="KWB75" s="164"/>
      <c r="KWC75" s="164"/>
      <c r="KWD75" s="164"/>
      <c r="KWE75" s="164"/>
      <c r="KWF75" s="164"/>
      <c r="KWG75" s="164"/>
      <c r="KWH75" s="164"/>
      <c r="KWI75" s="164"/>
      <c r="KWJ75" s="164"/>
      <c r="KWK75" s="164"/>
      <c r="KWL75" s="164"/>
      <c r="KWM75" s="164"/>
      <c r="KWN75" s="164"/>
      <c r="KWO75" s="164"/>
      <c r="KWP75" s="164"/>
      <c r="KWQ75" s="164"/>
      <c r="KWR75" s="164"/>
      <c r="KWS75" s="164"/>
      <c r="KWT75" s="164"/>
      <c r="KWU75" s="164"/>
      <c r="KWV75" s="164"/>
      <c r="KWW75" s="164"/>
      <c r="KWX75" s="164"/>
      <c r="KWY75" s="164"/>
      <c r="KWZ75" s="164"/>
      <c r="KXA75" s="164"/>
      <c r="KXB75" s="164"/>
      <c r="KXC75" s="164"/>
      <c r="KXD75" s="164"/>
      <c r="KXE75" s="164"/>
      <c r="KXF75" s="164"/>
      <c r="KXG75" s="164"/>
      <c r="KXH75" s="164"/>
      <c r="KXI75" s="164"/>
      <c r="KXJ75" s="164"/>
      <c r="KXK75" s="164"/>
      <c r="KXL75" s="164"/>
      <c r="KXM75" s="164"/>
      <c r="KXN75" s="164"/>
      <c r="KXO75" s="164"/>
      <c r="KXP75" s="164"/>
      <c r="KXQ75" s="164"/>
      <c r="KXR75" s="164"/>
      <c r="KXS75" s="164"/>
      <c r="KXT75" s="164"/>
      <c r="KXU75" s="164"/>
      <c r="KXV75" s="164"/>
      <c r="KXW75" s="164"/>
      <c r="KXX75" s="164"/>
      <c r="KXY75" s="164"/>
      <c r="KXZ75" s="164"/>
      <c r="KYA75" s="164"/>
      <c r="KYB75" s="164"/>
      <c r="KYC75" s="164"/>
      <c r="KYD75" s="164"/>
      <c r="KYE75" s="164"/>
      <c r="KYF75" s="164"/>
      <c r="KYG75" s="164"/>
      <c r="KYH75" s="164"/>
      <c r="KYI75" s="164"/>
      <c r="KYJ75" s="164"/>
      <c r="KYK75" s="164"/>
      <c r="KYL75" s="164"/>
      <c r="KYM75" s="164"/>
      <c r="KYN75" s="164"/>
      <c r="KYO75" s="164"/>
      <c r="KYP75" s="164"/>
      <c r="KYQ75" s="164"/>
      <c r="KYR75" s="164"/>
      <c r="KYS75" s="164"/>
      <c r="KYT75" s="164"/>
      <c r="KYU75" s="164"/>
      <c r="KYV75" s="164"/>
      <c r="KYW75" s="164"/>
      <c r="KYX75" s="164"/>
      <c r="KYY75" s="164"/>
      <c r="KYZ75" s="164"/>
      <c r="KZA75" s="164"/>
      <c r="KZB75" s="164"/>
      <c r="KZC75" s="164"/>
      <c r="KZD75" s="164"/>
      <c r="KZE75" s="164"/>
      <c r="KZF75" s="164"/>
      <c r="KZG75" s="164"/>
      <c r="KZH75" s="164"/>
      <c r="KZI75" s="164"/>
      <c r="KZJ75" s="164"/>
      <c r="KZK75" s="164"/>
      <c r="KZL75" s="164"/>
      <c r="KZM75" s="164"/>
      <c r="KZN75" s="164"/>
      <c r="KZO75" s="164"/>
      <c r="KZP75" s="164"/>
      <c r="KZQ75" s="164"/>
      <c r="KZR75" s="164"/>
      <c r="KZS75" s="164"/>
      <c r="KZT75" s="164"/>
      <c r="KZU75" s="164"/>
      <c r="KZV75" s="164"/>
      <c r="KZW75" s="164"/>
      <c r="KZX75" s="164"/>
      <c r="KZY75" s="164"/>
      <c r="KZZ75" s="164"/>
      <c r="LAA75" s="164"/>
      <c r="LAB75" s="164"/>
      <c r="LAC75" s="164"/>
      <c r="LAD75" s="164"/>
      <c r="LAE75" s="164"/>
      <c r="LAF75" s="164"/>
      <c r="LAG75" s="164"/>
      <c r="LAH75" s="164"/>
      <c r="LAI75" s="164"/>
      <c r="LAJ75" s="164"/>
      <c r="LAK75" s="164"/>
      <c r="LAL75" s="164"/>
      <c r="LAM75" s="164"/>
      <c r="LAN75" s="164"/>
      <c r="LAO75" s="164"/>
      <c r="LAP75" s="164"/>
      <c r="LAQ75" s="164"/>
      <c r="LAR75" s="164"/>
      <c r="LAS75" s="164"/>
      <c r="LAT75" s="164"/>
      <c r="LAU75" s="164"/>
      <c r="LAV75" s="164"/>
      <c r="LAW75" s="164"/>
      <c r="LAX75" s="164"/>
      <c r="LAY75" s="164"/>
      <c r="LAZ75" s="164"/>
      <c r="LBA75" s="164"/>
      <c r="LBB75" s="164"/>
      <c r="LBC75" s="164"/>
      <c r="LBD75" s="164"/>
      <c r="LBE75" s="164"/>
      <c r="LBF75" s="164"/>
      <c r="LBG75" s="164"/>
      <c r="LBH75" s="164"/>
      <c r="LBI75" s="164"/>
      <c r="LBJ75" s="164"/>
      <c r="LBK75" s="164"/>
      <c r="LBL75" s="164"/>
      <c r="LBM75" s="164"/>
      <c r="LBN75" s="164"/>
      <c r="LBO75" s="164"/>
      <c r="LBP75" s="164"/>
      <c r="LBQ75" s="164"/>
      <c r="LBR75" s="164"/>
      <c r="LBS75" s="164"/>
      <c r="LBT75" s="164"/>
      <c r="LBU75" s="164"/>
      <c r="LBV75" s="164"/>
      <c r="LBW75" s="164"/>
      <c r="LBX75" s="164"/>
      <c r="LBY75" s="164"/>
      <c r="LBZ75" s="164"/>
      <c r="LCA75" s="164"/>
      <c r="LCB75" s="164"/>
      <c r="LCC75" s="164"/>
      <c r="LCD75" s="164"/>
      <c r="LCE75" s="164"/>
      <c r="LCF75" s="164"/>
      <c r="LCG75" s="164"/>
      <c r="LCH75" s="164"/>
      <c r="LCI75" s="164"/>
      <c r="LCJ75" s="164"/>
      <c r="LCK75" s="164"/>
      <c r="LCL75" s="164"/>
      <c r="LCM75" s="164"/>
      <c r="LCN75" s="164"/>
      <c r="LCO75" s="164"/>
      <c r="LCP75" s="164"/>
      <c r="LCQ75" s="164"/>
      <c r="LCR75" s="164"/>
      <c r="LCS75" s="164"/>
      <c r="LCT75" s="164"/>
      <c r="LCU75" s="164"/>
      <c r="LCV75" s="164"/>
      <c r="LCW75" s="164"/>
      <c r="LCX75" s="164"/>
      <c r="LCY75" s="164"/>
      <c r="LCZ75" s="164"/>
      <c r="LDA75" s="164"/>
      <c r="LDB75" s="164"/>
      <c r="LDC75" s="164"/>
      <c r="LDD75" s="164"/>
      <c r="LDE75" s="164"/>
      <c r="LDF75" s="164"/>
      <c r="LDG75" s="164"/>
      <c r="LDH75" s="164"/>
      <c r="LDI75" s="164"/>
      <c r="LDJ75" s="164"/>
      <c r="LDK75" s="164"/>
      <c r="LDL75" s="164"/>
      <c r="LDM75" s="164"/>
      <c r="LDN75" s="164"/>
      <c r="LDO75" s="164"/>
      <c r="LDP75" s="164"/>
      <c r="LDQ75" s="164"/>
      <c r="LDR75" s="164"/>
      <c r="LDS75" s="164"/>
      <c r="LDT75" s="164"/>
      <c r="LDU75" s="164"/>
      <c r="LDV75" s="164"/>
      <c r="LDW75" s="164"/>
      <c r="LDX75" s="164"/>
      <c r="LDY75" s="164"/>
      <c r="LDZ75" s="164"/>
      <c r="LEA75" s="164"/>
      <c r="LEB75" s="164"/>
      <c r="LEC75" s="164"/>
      <c r="LED75" s="164"/>
      <c r="LEE75" s="164"/>
      <c r="LEF75" s="164"/>
      <c r="LEG75" s="164"/>
      <c r="LEH75" s="164"/>
      <c r="LEI75" s="164"/>
      <c r="LEJ75" s="164"/>
      <c r="LEK75" s="164"/>
      <c r="LEL75" s="164"/>
      <c r="LEM75" s="164"/>
      <c r="LEN75" s="164"/>
      <c r="LEO75" s="164"/>
      <c r="LEP75" s="164"/>
      <c r="LEQ75" s="164"/>
      <c r="LER75" s="164"/>
      <c r="LES75" s="164"/>
      <c r="LET75" s="164"/>
      <c r="LEU75" s="164"/>
      <c r="LEV75" s="164"/>
      <c r="LEW75" s="164"/>
      <c r="LEX75" s="164"/>
      <c r="LEY75" s="164"/>
      <c r="LEZ75" s="164"/>
      <c r="LFA75" s="164"/>
      <c r="LFB75" s="164"/>
      <c r="LFC75" s="164"/>
      <c r="LFD75" s="164"/>
      <c r="LFE75" s="164"/>
      <c r="LFF75" s="164"/>
      <c r="LFG75" s="164"/>
      <c r="LFH75" s="164"/>
      <c r="LFI75" s="164"/>
      <c r="LFJ75" s="164"/>
      <c r="LFK75" s="164"/>
      <c r="LFL75" s="164"/>
      <c r="LFM75" s="164"/>
      <c r="LFN75" s="164"/>
      <c r="LFO75" s="164"/>
      <c r="LFP75" s="164"/>
      <c r="LFQ75" s="164"/>
      <c r="LFR75" s="164"/>
      <c r="LFS75" s="164"/>
      <c r="LFT75" s="164"/>
      <c r="LFU75" s="164"/>
      <c r="LFV75" s="164"/>
      <c r="LFW75" s="164"/>
      <c r="LFX75" s="164"/>
      <c r="LFY75" s="164"/>
      <c r="LFZ75" s="164"/>
      <c r="LGA75" s="164"/>
      <c r="LGB75" s="164"/>
      <c r="LGC75" s="164"/>
      <c r="LGD75" s="164"/>
      <c r="LGE75" s="164"/>
      <c r="LGF75" s="164"/>
      <c r="LGG75" s="164"/>
      <c r="LGH75" s="164"/>
      <c r="LGI75" s="164"/>
      <c r="LGJ75" s="164"/>
      <c r="LGK75" s="164"/>
      <c r="LGL75" s="164"/>
      <c r="LGM75" s="164"/>
      <c r="LGN75" s="164"/>
      <c r="LGO75" s="164"/>
      <c r="LGP75" s="164"/>
      <c r="LGQ75" s="164"/>
      <c r="LGR75" s="164"/>
      <c r="LGS75" s="164"/>
      <c r="LGT75" s="164"/>
      <c r="LGU75" s="164"/>
      <c r="LGV75" s="164"/>
      <c r="LGW75" s="164"/>
      <c r="LGX75" s="164"/>
      <c r="LGY75" s="164"/>
      <c r="LGZ75" s="164"/>
      <c r="LHA75" s="164"/>
      <c r="LHB75" s="164"/>
      <c r="LHC75" s="164"/>
      <c r="LHD75" s="164"/>
      <c r="LHE75" s="164"/>
      <c r="LHF75" s="164"/>
      <c r="LHG75" s="164"/>
      <c r="LHH75" s="164"/>
      <c r="LHI75" s="164"/>
      <c r="LHJ75" s="164"/>
      <c r="LHK75" s="164"/>
      <c r="LHL75" s="164"/>
      <c r="LHM75" s="164"/>
      <c r="LHN75" s="164"/>
      <c r="LHO75" s="164"/>
      <c r="LHP75" s="164"/>
      <c r="LHQ75" s="164"/>
      <c r="LHR75" s="164"/>
      <c r="LHS75" s="164"/>
      <c r="LHT75" s="164"/>
      <c r="LHU75" s="164"/>
      <c r="LHV75" s="164"/>
      <c r="LHW75" s="164"/>
      <c r="LHX75" s="164"/>
      <c r="LHY75" s="164"/>
      <c r="LHZ75" s="164"/>
      <c r="LIA75" s="164"/>
      <c r="LIB75" s="164"/>
      <c r="LIC75" s="164"/>
      <c r="LID75" s="164"/>
      <c r="LIE75" s="164"/>
      <c r="LIF75" s="164"/>
      <c r="LIG75" s="164"/>
      <c r="LIH75" s="164"/>
      <c r="LII75" s="164"/>
      <c r="LIJ75" s="164"/>
      <c r="LIK75" s="164"/>
      <c r="LIL75" s="164"/>
      <c r="LIM75" s="164"/>
      <c r="LIN75" s="164"/>
      <c r="LIO75" s="164"/>
      <c r="LIP75" s="164"/>
      <c r="LIQ75" s="164"/>
      <c r="LIR75" s="164"/>
      <c r="LIS75" s="164"/>
      <c r="LIT75" s="164"/>
      <c r="LIU75" s="164"/>
      <c r="LIV75" s="164"/>
      <c r="LIW75" s="164"/>
      <c r="LIX75" s="164"/>
      <c r="LIY75" s="164"/>
      <c r="LIZ75" s="164"/>
      <c r="LJA75" s="164"/>
      <c r="LJB75" s="164"/>
      <c r="LJC75" s="164"/>
      <c r="LJD75" s="164"/>
      <c r="LJE75" s="164"/>
      <c r="LJF75" s="164"/>
      <c r="LJG75" s="164"/>
      <c r="LJH75" s="164"/>
      <c r="LJI75" s="164"/>
      <c r="LJJ75" s="164"/>
      <c r="LJK75" s="164"/>
      <c r="LJL75" s="164"/>
      <c r="LJM75" s="164"/>
      <c r="LJN75" s="164"/>
      <c r="LJO75" s="164"/>
      <c r="LJP75" s="164"/>
      <c r="LJQ75" s="164"/>
      <c r="LJR75" s="164"/>
      <c r="LJS75" s="164"/>
      <c r="LJT75" s="164"/>
      <c r="LJU75" s="164"/>
      <c r="LJV75" s="164"/>
      <c r="LJW75" s="164"/>
      <c r="LJX75" s="164"/>
      <c r="LJY75" s="164"/>
      <c r="LJZ75" s="164"/>
      <c r="LKA75" s="164"/>
      <c r="LKB75" s="164"/>
      <c r="LKC75" s="164"/>
      <c r="LKD75" s="164"/>
      <c r="LKE75" s="164"/>
      <c r="LKF75" s="164"/>
      <c r="LKG75" s="164"/>
      <c r="LKH75" s="164"/>
      <c r="LKI75" s="164"/>
      <c r="LKJ75" s="164"/>
      <c r="LKK75" s="164"/>
      <c r="LKL75" s="164"/>
      <c r="LKM75" s="164"/>
      <c r="LKN75" s="164"/>
      <c r="LKO75" s="164"/>
      <c r="LKP75" s="164"/>
      <c r="LKQ75" s="164"/>
      <c r="LKR75" s="164"/>
      <c r="LKS75" s="164"/>
      <c r="LKT75" s="164"/>
      <c r="LKU75" s="164"/>
      <c r="LKV75" s="164"/>
      <c r="LKW75" s="164"/>
      <c r="LKX75" s="164"/>
      <c r="LKY75" s="164"/>
      <c r="LKZ75" s="164"/>
      <c r="LLA75" s="164"/>
      <c r="LLB75" s="164"/>
      <c r="LLC75" s="164"/>
      <c r="LLD75" s="164"/>
      <c r="LLE75" s="164"/>
      <c r="LLF75" s="164"/>
      <c r="LLG75" s="164"/>
      <c r="LLH75" s="164"/>
      <c r="LLI75" s="164"/>
      <c r="LLJ75" s="164"/>
      <c r="LLK75" s="164"/>
      <c r="LLL75" s="164"/>
      <c r="LLM75" s="164"/>
      <c r="LLN75" s="164"/>
      <c r="LLO75" s="164"/>
      <c r="LLP75" s="164"/>
      <c r="LLQ75" s="164"/>
      <c r="LLR75" s="164"/>
      <c r="LLS75" s="164"/>
      <c r="LLT75" s="164"/>
      <c r="LLU75" s="164"/>
      <c r="LLV75" s="164"/>
      <c r="LLW75" s="164"/>
      <c r="LLX75" s="164"/>
      <c r="LLY75" s="164"/>
      <c r="LLZ75" s="164"/>
      <c r="LMA75" s="164"/>
      <c r="LMB75" s="164"/>
      <c r="LMC75" s="164"/>
      <c r="LMD75" s="164"/>
      <c r="LME75" s="164"/>
      <c r="LMF75" s="164"/>
      <c r="LMG75" s="164"/>
      <c r="LMH75" s="164"/>
      <c r="LMI75" s="164"/>
      <c r="LMJ75" s="164"/>
      <c r="LMK75" s="164"/>
      <c r="LML75" s="164"/>
      <c r="LMM75" s="164"/>
      <c r="LMN75" s="164"/>
      <c r="LMO75" s="164"/>
      <c r="LMP75" s="164"/>
      <c r="LMQ75" s="164"/>
      <c r="LMR75" s="164"/>
      <c r="LMS75" s="164"/>
      <c r="LMT75" s="164"/>
      <c r="LMU75" s="164"/>
      <c r="LMV75" s="164"/>
      <c r="LMW75" s="164"/>
      <c r="LMX75" s="164"/>
      <c r="LMY75" s="164"/>
      <c r="LMZ75" s="164"/>
      <c r="LNA75" s="164"/>
      <c r="LNB75" s="164"/>
      <c r="LNC75" s="164"/>
      <c r="LND75" s="164"/>
      <c r="LNE75" s="164"/>
      <c r="LNF75" s="164"/>
      <c r="LNG75" s="164"/>
      <c r="LNH75" s="164"/>
      <c r="LNI75" s="164"/>
      <c r="LNJ75" s="164"/>
      <c r="LNK75" s="164"/>
      <c r="LNL75" s="164"/>
      <c r="LNM75" s="164"/>
      <c r="LNN75" s="164"/>
      <c r="LNO75" s="164"/>
      <c r="LNP75" s="164"/>
      <c r="LNQ75" s="164"/>
      <c r="LNR75" s="164"/>
      <c r="LNS75" s="164"/>
      <c r="LNT75" s="164"/>
      <c r="LNU75" s="164"/>
      <c r="LNV75" s="164"/>
      <c r="LNW75" s="164"/>
      <c r="LNX75" s="164"/>
      <c r="LNY75" s="164"/>
      <c r="LNZ75" s="164"/>
      <c r="LOA75" s="164"/>
      <c r="LOB75" s="164"/>
      <c r="LOC75" s="164"/>
      <c r="LOD75" s="164"/>
      <c r="LOE75" s="164"/>
      <c r="LOF75" s="164"/>
      <c r="LOG75" s="164"/>
      <c r="LOH75" s="164"/>
      <c r="LOI75" s="164"/>
      <c r="LOJ75" s="164"/>
      <c r="LOK75" s="164"/>
      <c r="LOL75" s="164"/>
      <c r="LOM75" s="164"/>
      <c r="LON75" s="164"/>
      <c r="LOO75" s="164"/>
      <c r="LOP75" s="164"/>
      <c r="LOQ75" s="164"/>
      <c r="LOR75" s="164"/>
      <c r="LOS75" s="164"/>
      <c r="LOT75" s="164"/>
      <c r="LOU75" s="164"/>
      <c r="LOV75" s="164"/>
      <c r="LOW75" s="164"/>
      <c r="LOX75" s="164"/>
      <c r="LOY75" s="164"/>
      <c r="LOZ75" s="164"/>
      <c r="LPA75" s="164"/>
      <c r="LPB75" s="164"/>
      <c r="LPC75" s="164"/>
      <c r="LPD75" s="164"/>
      <c r="LPE75" s="164"/>
      <c r="LPF75" s="164"/>
      <c r="LPG75" s="164"/>
      <c r="LPH75" s="164"/>
      <c r="LPI75" s="164"/>
      <c r="LPJ75" s="164"/>
      <c r="LPK75" s="164"/>
      <c r="LPL75" s="164"/>
      <c r="LPM75" s="164"/>
      <c r="LPN75" s="164"/>
      <c r="LPO75" s="164"/>
      <c r="LPP75" s="164"/>
      <c r="LPQ75" s="164"/>
      <c r="LPR75" s="164"/>
      <c r="LPS75" s="164"/>
      <c r="LPT75" s="164"/>
      <c r="LPU75" s="164"/>
      <c r="LPV75" s="164"/>
      <c r="LPW75" s="164"/>
      <c r="LPX75" s="164"/>
      <c r="LPY75" s="164"/>
      <c r="LPZ75" s="164"/>
      <c r="LQA75" s="164"/>
      <c r="LQB75" s="164"/>
      <c r="LQC75" s="164"/>
      <c r="LQD75" s="164"/>
      <c r="LQE75" s="164"/>
      <c r="LQF75" s="164"/>
      <c r="LQG75" s="164"/>
      <c r="LQH75" s="164"/>
      <c r="LQI75" s="164"/>
      <c r="LQJ75" s="164"/>
      <c r="LQK75" s="164"/>
      <c r="LQL75" s="164"/>
      <c r="LQM75" s="164"/>
      <c r="LQN75" s="164"/>
      <c r="LQO75" s="164"/>
      <c r="LQP75" s="164"/>
      <c r="LQQ75" s="164"/>
      <c r="LQR75" s="164"/>
      <c r="LQS75" s="164"/>
      <c r="LQT75" s="164"/>
      <c r="LQU75" s="164"/>
      <c r="LQV75" s="164"/>
      <c r="LQW75" s="164"/>
      <c r="LQX75" s="164"/>
      <c r="LQY75" s="164"/>
      <c r="LQZ75" s="164"/>
      <c r="LRA75" s="164"/>
      <c r="LRB75" s="164"/>
      <c r="LRC75" s="164"/>
      <c r="LRD75" s="164"/>
      <c r="LRE75" s="164"/>
      <c r="LRF75" s="164"/>
      <c r="LRG75" s="164"/>
      <c r="LRH75" s="164"/>
      <c r="LRI75" s="164"/>
      <c r="LRJ75" s="164"/>
      <c r="LRK75" s="164"/>
      <c r="LRL75" s="164"/>
      <c r="LRM75" s="164"/>
      <c r="LRN75" s="164"/>
      <c r="LRO75" s="164"/>
      <c r="LRP75" s="164"/>
      <c r="LRQ75" s="164"/>
      <c r="LRR75" s="164"/>
      <c r="LRS75" s="164"/>
      <c r="LRT75" s="164"/>
      <c r="LRU75" s="164"/>
      <c r="LRV75" s="164"/>
      <c r="LRW75" s="164"/>
      <c r="LRX75" s="164"/>
      <c r="LRY75" s="164"/>
      <c r="LRZ75" s="164"/>
      <c r="LSA75" s="164"/>
      <c r="LSB75" s="164"/>
      <c r="LSC75" s="164"/>
      <c r="LSD75" s="164"/>
      <c r="LSE75" s="164"/>
      <c r="LSF75" s="164"/>
      <c r="LSG75" s="164"/>
      <c r="LSH75" s="164"/>
      <c r="LSI75" s="164"/>
      <c r="LSJ75" s="164"/>
      <c r="LSK75" s="164"/>
      <c r="LSL75" s="164"/>
      <c r="LSM75" s="164"/>
      <c r="LSN75" s="164"/>
      <c r="LSO75" s="164"/>
      <c r="LSP75" s="164"/>
      <c r="LSQ75" s="164"/>
      <c r="LSR75" s="164"/>
      <c r="LSS75" s="164"/>
      <c r="LST75" s="164"/>
      <c r="LSU75" s="164"/>
      <c r="LSV75" s="164"/>
      <c r="LSW75" s="164"/>
      <c r="LSX75" s="164"/>
      <c r="LSY75" s="164"/>
      <c r="LSZ75" s="164"/>
      <c r="LTA75" s="164"/>
      <c r="LTB75" s="164"/>
      <c r="LTC75" s="164"/>
      <c r="LTD75" s="164"/>
      <c r="LTE75" s="164"/>
      <c r="LTF75" s="164"/>
      <c r="LTG75" s="164"/>
      <c r="LTH75" s="164"/>
      <c r="LTI75" s="164"/>
      <c r="LTJ75" s="164"/>
      <c r="LTK75" s="164"/>
      <c r="LTL75" s="164"/>
      <c r="LTM75" s="164"/>
      <c r="LTN75" s="164"/>
      <c r="LTO75" s="164"/>
      <c r="LTP75" s="164"/>
      <c r="LTQ75" s="164"/>
      <c r="LTR75" s="164"/>
      <c r="LTS75" s="164"/>
      <c r="LTT75" s="164"/>
      <c r="LTU75" s="164"/>
      <c r="LTV75" s="164"/>
      <c r="LTW75" s="164"/>
      <c r="LTX75" s="164"/>
      <c r="LTY75" s="164"/>
      <c r="LTZ75" s="164"/>
      <c r="LUA75" s="164"/>
      <c r="LUB75" s="164"/>
      <c r="LUC75" s="164"/>
      <c r="LUD75" s="164"/>
      <c r="LUE75" s="164"/>
      <c r="LUF75" s="164"/>
      <c r="LUG75" s="164"/>
      <c r="LUH75" s="164"/>
      <c r="LUI75" s="164"/>
      <c r="LUJ75" s="164"/>
      <c r="LUK75" s="164"/>
      <c r="LUL75" s="164"/>
      <c r="LUM75" s="164"/>
      <c r="LUN75" s="164"/>
      <c r="LUO75" s="164"/>
      <c r="LUP75" s="164"/>
      <c r="LUQ75" s="164"/>
      <c r="LUR75" s="164"/>
      <c r="LUS75" s="164"/>
      <c r="LUT75" s="164"/>
      <c r="LUU75" s="164"/>
      <c r="LUV75" s="164"/>
      <c r="LUW75" s="164"/>
      <c r="LUX75" s="164"/>
      <c r="LUY75" s="164"/>
      <c r="LUZ75" s="164"/>
      <c r="LVA75" s="164"/>
      <c r="LVB75" s="164"/>
      <c r="LVC75" s="164"/>
      <c r="LVD75" s="164"/>
      <c r="LVE75" s="164"/>
      <c r="LVF75" s="164"/>
      <c r="LVG75" s="164"/>
      <c r="LVH75" s="164"/>
      <c r="LVI75" s="164"/>
      <c r="LVJ75" s="164"/>
      <c r="LVK75" s="164"/>
      <c r="LVL75" s="164"/>
      <c r="LVM75" s="164"/>
      <c r="LVN75" s="164"/>
      <c r="LVO75" s="164"/>
      <c r="LVP75" s="164"/>
      <c r="LVQ75" s="164"/>
      <c r="LVR75" s="164"/>
      <c r="LVS75" s="164"/>
      <c r="LVT75" s="164"/>
      <c r="LVU75" s="164"/>
      <c r="LVV75" s="164"/>
      <c r="LVW75" s="164"/>
      <c r="LVX75" s="164"/>
      <c r="LVY75" s="164"/>
      <c r="LVZ75" s="164"/>
      <c r="LWA75" s="164"/>
      <c r="LWB75" s="164"/>
      <c r="LWC75" s="164"/>
      <c r="LWD75" s="164"/>
      <c r="LWE75" s="164"/>
      <c r="LWF75" s="164"/>
      <c r="LWG75" s="164"/>
      <c r="LWH75" s="164"/>
      <c r="LWI75" s="164"/>
      <c r="LWJ75" s="164"/>
      <c r="LWK75" s="164"/>
      <c r="LWL75" s="164"/>
      <c r="LWM75" s="164"/>
      <c r="LWN75" s="164"/>
      <c r="LWO75" s="164"/>
      <c r="LWP75" s="164"/>
      <c r="LWQ75" s="164"/>
      <c r="LWR75" s="164"/>
      <c r="LWS75" s="164"/>
      <c r="LWT75" s="164"/>
      <c r="LWU75" s="164"/>
      <c r="LWV75" s="164"/>
      <c r="LWW75" s="164"/>
      <c r="LWX75" s="164"/>
      <c r="LWY75" s="164"/>
      <c r="LWZ75" s="164"/>
      <c r="LXA75" s="164"/>
      <c r="LXB75" s="164"/>
      <c r="LXC75" s="164"/>
      <c r="LXD75" s="164"/>
      <c r="LXE75" s="164"/>
      <c r="LXF75" s="164"/>
      <c r="LXG75" s="164"/>
      <c r="LXH75" s="164"/>
      <c r="LXI75" s="164"/>
      <c r="LXJ75" s="164"/>
      <c r="LXK75" s="164"/>
      <c r="LXL75" s="164"/>
      <c r="LXM75" s="164"/>
      <c r="LXN75" s="164"/>
      <c r="LXO75" s="164"/>
      <c r="LXP75" s="164"/>
      <c r="LXQ75" s="164"/>
      <c r="LXR75" s="164"/>
      <c r="LXS75" s="164"/>
      <c r="LXT75" s="164"/>
      <c r="LXU75" s="164"/>
      <c r="LXV75" s="164"/>
      <c r="LXW75" s="164"/>
      <c r="LXX75" s="164"/>
      <c r="LXY75" s="164"/>
      <c r="LXZ75" s="164"/>
      <c r="LYA75" s="164"/>
      <c r="LYB75" s="164"/>
      <c r="LYC75" s="164"/>
      <c r="LYD75" s="164"/>
      <c r="LYE75" s="164"/>
      <c r="LYF75" s="164"/>
      <c r="LYG75" s="164"/>
      <c r="LYH75" s="164"/>
      <c r="LYI75" s="164"/>
      <c r="LYJ75" s="164"/>
      <c r="LYK75" s="164"/>
      <c r="LYL75" s="164"/>
      <c r="LYM75" s="164"/>
      <c r="LYN75" s="164"/>
      <c r="LYO75" s="164"/>
      <c r="LYP75" s="164"/>
      <c r="LYQ75" s="164"/>
      <c r="LYR75" s="164"/>
      <c r="LYS75" s="164"/>
      <c r="LYT75" s="164"/>
      <c r="LYU75" s="164"/>
      <c r="LYV75" s="164"/>
      <c r="LYW75" s="164"/>
      <c r="LYX75" s="164"/>
      <c r="LYY75" s="164"/>
      <c r="LYZ75" s="164"/>
      <c r="LZA75" s="164"/>
      <c r="LZB75" s="164"/>
      <c r="LZC75" s="164"/>
      <c r="LZD75" s="164"/>
      <c r="LZE75" s="164"/>
      <c r="LZF75" s="164"/>
      <c r="LZG75" s="164"/>
      <c r="LZH75" s="164"/>
      <c r="LZI75" s="164"/>
      <c r="LZJ75" s="164"/>
      <c r="LZK75" s="164"/>
      <c r="LZL75" s="164"/>
      <c r="LZM75" s="164"/>
      <c r="LZN75" s="164"/>
      <c r="LZO75" s="164"/>
      <c r="LZP75" s="164"/>
      <c r="LZQ75" s="164"/>
      <c r="LZR75" s="164"/>
      <c r="LZS75" s="164"/>
      <c r="LZT75" s="164"/>
      <c r="LZU75" s="164"/>
      <c r="LZV75" s="164"/>
      <c r="LZW75" s="164"/>
      <c r="LZX75" s="164"/>
      <c r="LZY75" s="164"/>
      <c r="LZZ75" s="164"/>
      <c r="MAA75" s="164"/>
      <c r="MAB75" s="164"/>
      <c r="MAC75" s="164"/>
      <c r="MAD75" s="164"/>
      <c r="MAE75" s="164"/>
      <c r="MAF75" s="164"/>
      <c r="MAG75" s="164"/>
      <c r="MAH75" s="164"/>
      <c r="MAI75" s="164"/>
      <c r="MAJ75" s="164"/>
      <c r="MAK75" s="164"/>
      <c r="MAL75" s="164"/>
      <c r="MAM75" s="164"/>
      <c r="MAN75" s="164"/>
      <c r="MAO75" s="164"/>
      <c r="MAP75" s="164"/>
      <c r="MAQ75" s="164"/>
      <c r="MAR75" s="164"/>
      <c r="MAS75" s="164"/>
      <c r="MAT75" s="164"/>
      <c r="MAU75" s="164"/>
      <c r="MAV75" s="164"/>
      <c r="MAW75" s="164"/>
      <c r="MAX75" s="164"/>
      <c r="MAY75" s="164"/>
      <c r="MAZ75" s="164"/>
      <c r="MBA75" s="164"/>
      <c r="MBB75" s="164"/>
      <c r="MBC75" s="164"/>
      <c r="MBD75" s="164"/>
      <c r="MBE75" s="164"/>
      <c r="MBF75" s="164"/>
      <c r="MBG75" s="164"/>
      <c r="MBH75" s="164"/>
      <c r="MBI75" s="164"/>
      <c r="MBJ75" s="164"/>
      <c r="MBK75" s="164"/>
      <c r="MBL75" s="164"/>
      <c r="MBM75" s="164"/>
      <c r="MBN75" s="164"/>
      <c r="MBO75" s="164"/>
      <c r="MBP75" s="164"/>
      <c r="MBQ75" s="164"/>
      <c r="MBR75" s="164"/>
      <c r="MBS75" s="164"/>
      <c r="MBT75" s="164"/>
      <c r="MBU75" s="164"/>
      <c r="MBV75" s="164"/>
      <c r="MBW75" s="164"/>
      <c r="MBX75" s="164"/>
      <c r="MBY75" s="164"/>
      <c r="MBZ75" s="164"/>
      <c r="MCA75" s="164"/>
      <c r="MCB75" s="164"/>
      <c r="MCC75" s="164"/>
      <c r="MCD75" s="164"/>
      <c r="MCE75" s="164"/>
      <c r="MCF75" s="164"/>
      <c r="MCG75" s="164"/>
      <c r="MCH75" s="164"/>
      <c r="MCI75" s="164"/>
      <c r="MCJ75" s="164"/>
      <c r="MCK75" s="164"/>
      <c r="MCL75" s="164"/>
      <c r="MCM75" s="164"/>
      <c r="MCN75" s="164"/>
      <c r="MCO75" s="164"/>
      <c r="MCP75" s="164"/>
      <c r="MCQ75" s="164"/>
      <c r="MCR75" s="164"/>
      <c r="MCS75" s="164"/>
      <c r="MCT75" s="164"/>
      <c r="MCU75" s="164"/>
      <c r="MCV75" s="164"/>
      <c r="MCW75" s="164"/>
      <c r="MCX75" s="164"/>
      <c r="MCY75" s="164"/>
      <c r="MCZ75" s="164"/>
      <c r="MDA75" s="164"/>
      <c r="MDB75" s="164"/>
      <c r="MDC75" s="164"/>
      <c r="MDD75" s="164"/>
      <c r="MDE75" s="164"/>
      <c r="MDF75" s="164"/>
      <c r="MDG75" s="164"/>
      <c r="MDH75" s="164"/>
      <c r="MDI75" s="164"/>
      <c r="MDJ75" s="164"/>
      <c r="MDK75" s="164"/>
      <c r="MDL75" s="164"/>
      <c r="MDM75" s="164"/>
      <c r="MDN75" s="164"/>
      <c r="MDO75" s="164"/>
      <c r="MDP75" s="164"/>
      <c r="MDQ75" s="164"/>
      <c r="MDR75" s="164"/>
      <c r="MDS75" s="164"/>
      <c r="MDT75" s="164"/>
      <c r="MDU75" s="164"/>
      <c r="MDV75" s="164"/>
      <c r="MDW75" s="164"/>
      <c r="MDX75" s="164"/>
      <c r="MDY75" s="164"/>
      <c r="MDZ75" s="164"/>
      <c r="MEA75" s="164"/>
      <c r="MEB75" s="164"/>
      <c r="MEC75" s="164"/>
      <c r="MED75" s="164"/>
      <c r="MEE75" s="164"/>
      <c r="MEF75" s="164"/>
      <c r="MEG75" s="164"/>
      <c r="MEH75" s="164"/>
      <c r="MEI75" s="164"/>
      <c r="MEJ75" s="164"/>
      <c r="MEK75" s="164"/>
      <c r="MEL75" s="164"/>
      <c r="MEM75" s="164"/>
      <c r="MEN75" s="164"/>
      <c r="MEO75" s="164"/>
      <c r="MEP75" s="164"/>
      <c r="MEQ75" s="164"/>
      <c r="MER75" s="164"/>
      <c r="MES75" s="164"/>
      <c r="MET75" s="164"/>
      <c r="MEU75" s="164"/>
      <c r="MEV75" s="164"/>
      <c r="MEW75" s="164"/>
      <c r="MEX75" s="164"/>
      <c r="MEY75" s="164"/>
      <c r="MEZ75" s="164"/>
      <c r="MFA75" s="164"/>
      <c r="MFB75" s="164"/>
      <c r="MFC75" s="164"/>
      <c r="MFD75" s="164"/>
      <c r="MFE75" s="164"/>
      <c r="MFF75" s="164"/>
      <c r="MFG75" s="164"/>
      <c r="MFH75" s="164"/>
      <c r="MFI75" s="164"/>
      <c r="MFJ75" s="164"/>
      <c r="MFK75" s="164"/>
      <c r="MFL75" s="164"/>
      <c r="MFM75" s="164"/>
      <c r="MFN75" s="164"/>
      <c r="MFO75" s="164"/>
      <c r="MFP75" s="164"/>
      <c r="MFQ75" s="164"/>
      <c r="MFR75" s="164"/>
      <c r="MFS75" s="164"/>
      <c r="MFT75" s="164"/>
      <c r="MFU75" s="164"/>
      <c r="MFV75" s="164"/>
      <c r="MFW75" s="164"/>
      <c r="MFX75" s="164"/>
      <c r="MFY75" s="164"/>
      <c r="MFZ75" s="164"/>
      <c r="MGA75" s="164"/>
      <c r="MGB75" s="164"/>
      <c r="MGC75" s="164"/>
      <c r="MGD75" s="164"/>
      <c r="MGE75" s="164"/>
      <c r="MGF75" s="164"/>
      <c r="MGG75" s="164"/>
      <c r="MGH75" s="164"/>
      <c r="MGI75" s="164"/>
      <c r="MGJ75" s="164"/>
      <c r="MGK75" s="164"/>
      <c r="MGL75" s="164"/>
      <c r="MGM75" s="164"/>
      <c r="MGN75" s="164"/>
      <c r="MGO75" s="164"/>
      <c r="MGP75" s="164"/>
      <c r="MGQ75" s="164"/>
      <c r="MGR75" s="164"/>
      <c r="MGS75" s="164"/>
      <c r="MGT75" s="164"/>
      <c r="MGU75" s="164"/>
      <c r="MGV75" s="164"/>
      <c r="MGW75" s="164"/>
      <c r="MGX75" s="164"/>
      <c r="MGY75" s="164"/>
      <c r="MGZ75" s="164"/>
      <c r="MHA75" s="164"/>
      <c r="MHB75" s="164"/>
      <c r="MHC75" s="164"/>
      <c r="MHD75" s="164"/>
      <c r="MHE75" s="164"/>
      <c r="MHF75" s="164"/>
      <c r="MHG75" s="164"/>
      <c r="MHH75" s="164"/>
      <c r="MHI75" s="164"/>
      <c r="MHJ75" s="164"/>
      <c r="MHK75" s="164"/>
      <c r="MHL75" s="164"/>
      <c r="MHM75" s="164"/>
      <c r="MHN75" s="164"/>
      <c r="MHO75" s="164"/>
      <c r="MHP75" s="164"/>
      <c r="MHQ75" s="164"/>
      <c r="MHR75" s="164"/>
      <c r="MHS75" s="164"/>
      <c r="MHT75" s="164"/>
      <c r="MHU75" s="164"/>
      <c r="MHV75" s="164"/>
      <c r="MHW75" s="164"/>
      <c r="MHX75" s="164"/>
      <c r="MHY75" s="164"/>
      <c r="MHZ75" s="164"/>
      <c r="MIA75" s="164"/>
      <c r="MIB75" s="164"/>
      <c r="MIC75" s="164"/>
      <c r="MID75" s="164"/>
      <c r="MIE75" s="164"/>
      <c r="MIF75" s="164"/>
      <c r="MIG75" s="164"/>
      <c r="MIH75" s="164"/>
      <c r="MII75" s="164"/>
      <c r="MIJ75" s="164"/>
      <c r="MIK75" s="164"/>
      <c r="MIL75" s="164"/>
      <c r="MIM75" s="164"/>
      <c r="MIN75" s="164"/>
      <c r="MIO75" s="164"/>
      <c r="MIP75" s="164"/>
      <c r="MIQ75" s="164"/>
      <c r="MIR75" s="164"/>
      <c r="MIS75" s="164"/>
      <c r="MIT75" s="164"/>
      <c r="MIU75" s="164"/>
      <c r="MIV75" s="164"/>
      <c r="MIW75" s="164"/>
      <c r="MIX75" s="164"/>
      <c r="MIY75" s="164"/>
      <c r="MIZ75" s="164"/>
      <c r="MJA75" s="164"/>
      <c r="MJB75" s="164"/>
      <c r="MJC75" s="164"/>
      <c r="MJD75" s="164"/>
      <c r="MJE75" s="164"/>
      <c r="MJF75" s="164"/>
      <c r="MJG75" s="164"/>
      <c r="MJH75" s="164"/>
      <c r="MJI75" s="164"/>
      <c r="MJJ75" s="164"/>
      <c r="MJK75" s="164"/>
      <c r="MJL75" s="164"/>
      <c r="MJM75" s="164"/>
      <c r="MJN75" s="164"/>
      <c r="MJO75" s="164"/>
      <c r="MJP75" s="164"/>
      <c r="MJQ75" s="164"/>
      <c r="MJR75" s="164"/>
      <c r="MJS75" s="164"/>
      <c r="MJT75" s="164"/>
      <c r="MJU75" s="164"/>
      <c r="MJV75" s="164"/>
      <c r="MJW75" s="164"/>
      <c r="MJX75" s="164"/>
      <c r="MJY75" s="164"/>
      <c r="MJZ75" s="164"/>
      <c r="MKA75" s="164"/>
      <c r="MKB75" s="164"/>
      <c r="MKC75" s="164"/>
      <c r="MKD75" s="164"/>
      <c r="MKE75" s="164"/>
      <c r="MKF75" s="164"/>
      <c r="MKG75" s="164"/>
      <c r="MKH75" s="164"/>
      <c r="MKI75" s="164"/>
      <c r="MKJ75" s="164"/>
      <c r="MKK75" s="164"/>
      <c r="MKL75" s="164"/>
      <c r="MKM75" s="164"/>
      <c r="MKN75" s="164"/>
      <c r="MKO75" s="164"/>
      <c r="MKP75" s="164"/>
      <c r="MKQ75" s="164"/>
      <c r="MKR75" s="164"/>
      <c r="MKS75" s="164"/>
      <c r="MKT75" s="164"/>
      <c r="MKU75" s="164"/>
      <c r="MKV75" s="164"/>
      <c r="MKW75" s="164"/>
      <c r="MKX75" s="164"/>
      <c r="MKY75" s="164"/>
      <c r="MKZ75" s="164"/>
      <c r="MLA75" s="164"/>
      <c r="MLB75" s="164"/>
      <c r="MLC75" s="164"/>
      <c r="MLD75" s="164"/>
      <c r="MLE75" s="164"/>
      <c r="MLF75" s="164"/>
      <c r="MLG75" s="164"/>
      <c r="MLH75" s="164"/>
      <c r="MLI75" s="164"/>
      <c r="MLJ75" s="164"/>
      <c r="MLK75" s="164"/>
      <c r="MLL75" s="164"/>
      <c r="MLM75" s="164"/>
      <c r="MLN75" s="164"/>
      <c r="MLO75" s="164"/>
      <c r="MLP75" s="164"/>
      <c r="MLQ75" s="164"/>
      <c r="MLR75" s="164"/>
      <c r="MLS75" s="164"/>
      <c r="MLT75" s="164"/>
      <c r="MLU75" s="164"/>
      <c r="MLV75" s="164"/>
      <c r="MLW75" s="164"/>
      <c r="MLX75" s="164"/>
      <c r="MLY75" s="164"/>
      <c r="MLZ75" s="164"/>
      <c r="MMA75" s="164"/>
      <c r="MMB75" s="164"/>
      <c r="MMC75" s="164"/>
      <c r="MMD75" s="164"/>
      <c r="MME75" s="164"/>
      <c r="MMF75" s="164"/>
      <c r="MMG75" s="164"/>
      <c r="MMH75" s="164"/>
      <c r="MMI75" s="164"/>
      <c r="MMJ75" s="164"/>
      <c r="MMK75" s="164"/>
      <c r="MML75" s="164"/>
      <c r="MMM75" s="164"/>
      <c r="MMN75" s="164"/>
      <c r="MMO75" s="164"/>
      <c r="MMP75" s="164"/>
      <c r="MMQ75" s="164"/>
      <c r="MMR75" s="164"/>
      <c r="MMS75" s="164"/>
      <c r="MMT75" s="164"/>
      <c r="MMU75" s="164"/>
      <c r="MMV75" s="164"/>
      <c r="MMW75" s="164"/>
      <c r="MMX75" s="164"/>
      <c r="MMY75" s="164"/>
      <c r="MMZ75" s="164"/>
      <c r="MNA75" s="164"/>
      <c r="MNB75" s="164"/>
      <c r="MNC75" s="164"/>
      <c r="MND75" s="164"/>
      <c r="MNE75" s="164"/>
      <c r="MNF75" s="164"/>
      <c r="MNG75" s="164"/>
      <c r="MNH75" s="164"/>
      <c r="MNI75" s="164"/>
      <c r="MNJ75" s="164"/>
      <c r="MNK75" s="164"/>
      <c r="MNL75" s="164"/>
      <c r="MNM75" s="164"/>
      <c r="MNN75" s="164"/>
      <c r="MNO75" s="164"/>
      <c r="MNP75" s="164"/>
      <c r="MNQ75" s="164"/>
      <c r="MNR75" s="164"/>
      <c r="MNS75" s="164"/>
      <c r="MNT75" s="164"/>
      <c r="MNU75" s="164"/>
      <c r="MNV75" s="164"/>
      <c r="MNW75" s="164"/>
      <c r="MNX75" s="164"/>
      <c r="MNY75" s="164"/>
      <c r="MNZ75" s="164"/>
      <c r="MOA75" s="164"/>
      <c r="MOB75" s="164"/>
      <c r="MOC75" s="164"/>
      <c r="MOD75" s="164"/>
      <c r="MOE75" s="164"/>
      <c r="MOF75" s="164"/>
      <c r="MOG75" s="164"/>
      <c r="MOH75" s="164"/>
      <c r="MOI75" s="164"/>
      <c r="MOJ75" s="164"/>
      <c r="MOK75" s="164"/>
      <c r="MOL75" s="164"/>
      <c r="MOM75" s="164"/>
      <c r="MON75" s="164"/>
      <c r="MOO75" s="164"/>
      <c r="MOP75" s="164"/>
      <c r="MOQ75" s="164"/>
      <c r="MOR75" s="164"/>
      <c r="MOS75" s="164"/>
      <c r="MOT75" s="164"/>
      <c r="MOU75" s="164"/>
      <c r="MOV75" s="164"/>
      <c r="MOW75" s="164"/>
      <c r="MOX75" s="164"/>
      <c r="MOY75" s="164"/>
      <c r="MOZ75" s="164"/>
      <c r="MPA75" s="164"/>
      <c r="MPB75" s="164"/>
      <c r="MPC75" s="164"/>
      <c r="MPD75" s="164"/>
      <c r="MPE75" s="164"/>
      <c r="MPF75" s="164"/>
      <c r="MPG75" s="164"/>
      <c r="MPH75" s="164"/>
      <c r="MPI75" s="164"/>
      <c r="MPJ75" s="164"/>
      <c r="MPK75" s="164"/>
      <c r="MPL75" s="164"/>
      <c r="MPM75" s="164"/>
      <c r="MPN75" s="164"/>
      <c r="MPO75" s="164"/>
      <c r="MPP75" s="164"/>
      <c r="MPQ75" s="164"/>
      <c r="MPR75" s="164"/>
      <c r="MPS75" s="164"/>
      <c r="MPT75" s="164"/>
      <c r="MPU75" s="164"/>
      <c r="MPV75" s="164"/>
      <c r="MPW75" s="164"/>
      <c r="MPX75" s="164"/>
      <c r="MPY75" s="164"/>
      <c r="MPZ75" s="164"/>
      <c r="MQA75" s="164"/>
      <c r="MQB75" s="164"/>
      <c r="MQC75" s="164"/>
      <c r="MQD75" s="164"/>
      <c r="MQE75" s="164"/>
      <c r="MQF75" s="164"/>
      <c r="MQG75" s="164"/>
      <c r="MQH75" s="164"/>
      <c r="MQI75" s="164"/>
      <c r="MQJ75" s="164"/>
      <c r="MQK75" s="164"/>
      <c r="MQL75" s="164"/>
      <c r="MQM75" s="164"/>
      <c r="MQN75" s="164"/>
      <c r="MQO75" s="164"/>
      <c r="MQP75" s="164"/>
      <c r="MQQ75" s="164"/>
      <c r="MQR75" s="164"/>
      <c r="MQS75" s="164"/>
      <c r="MQT75" s="164"/>
      <c r="MQU75" s="164"/>
      <c r="MQV75" s="164"/>
      <c r="MQW75" s="164"/>
      <c r="MQX75" s="164"/>
      <c r="MQY75" s="164"/>
      <c r="MQZ75" s="164"/>
      <c r="MRA75" s="164"/>
      <c r="MRB75" s="164"/>
      <c r="MRC75" s="164"/>
      <c r="MRD75" s="164"/>
      <c r="MRE75" s="164"/>
      <c r="MRF75" s="164"/>
      <c r="MRG75" s="164"/>
      <c r="MRH75" s="164"/>
      <c r="MRI75" s="164"/>
      <c r="MRJ75" s="164"/>
      <c r="MRK75" s="164"/>
      <c r="MRL75" s="164"/>
      <c r="MRM75" s="164"/>
      <c r="MRN75" s="164"/>
      <c r="MRO75" s="164"/>
      <c r="MRP75" s="164"/>
      <c r="MRQ75" s="164"/>
      <c r="MRR75" s="164"/>
      <c r="MRS75" s="164"/>
      <c r="MRT75" s="164"/>
      <c r="MRU75" s="164"/>
      <c r="MRV75" s="164"/>
      <c r="MRW75" s="164"/>
      <c r="MRX75" s="164"/>
      <c r="MRY75" s="164"/>
      <c r="MRZ75" s="164"/>
      <c r="MSA75" s="164"/>
      <c r="MSB75" s="164"/>
      <c r="MSC75" s="164"/>
      <c r="MSD75" s="164"/>
      <c r="MSE75" s="164"/>
      <c r="MSF75" s="164"/>
      <c r="MSG75" s="164"/>
      <c r="MSH75" s="164"/>
      <c r="MSI75" s="164"/>
      <c r="MSJ75" s="164"/>
      <c r="MSK75" s="164"/>
      <c r="MSL75" s="164"/>
      <c r="MSM75" s="164"/>
      <c r="MSN75" s="164"/>
      <c r="MSO75" s="164"/>
      <c r="MSP75" s="164"/>
      <c r="MSQ75" s="164"/>
      <c r="MSR75" s="164"/>
      <c r="MSS75" s="164"/>
      <c r="MST75" s="164"/>
      <c r="MSU75" s="164"/>
      <c r="MSV75" s="164"/>
      <c r="MSW75" s="164"/>
      <c r="MSX75" s="164"/>
      <c r="MSY75" s="164"/>
      <c r="MSZ75" s="164"/>
      <c r="MTA75" s="164"/>
      <c r="MTB75" s="164"/>
      <c r="MTC75" s="164"/>
      <c r="MTD75" s="164"/>
      <c r="MTE75" s="164"/>
      <c r="MTF75" s="164"/>
      <c r="MTG75" s="164"/>
      <c r="MTH75" s="164"/>
      <c r="MTI75" s="164"/>
      <c r="MTJ75" s="164"/>
      <c r="MTK75" s="164"/>
      <c r="MTL75" s="164"/>
      <c r="MTM75" s="164"/>
      <c r="MTN75" s="164"/>
      <c r="MTO75" s="164"/>
      <c r="MTP75" s="164"/>
      <c r="MTQ75" s="164"/>
      <c r="MTR75" s="164"/>
      <c r="MTS75" s="164"/>
      <c r="MTT75" s="164"/>
      <c r="MTU75" s="164"/>
      <c r="MTV75" s="164"/>
      <c r="MTW75" s="164"/>
      <c r="MTX75" s="164"/>
      <c r="MTY75" s="164"/>
      <c r="MTZ75" s="164"/>
      <c r="MUA75" s="164"/>
      <c r="MUB75" s="164"/>
      <c r="MUC75" s="164"/>
      <c r="MUD75" s="164"/>
      <c r="MUE75" s="164"/>
      <c r="MUF75" s="164"/>
      <c r="MUG75" s="164"/>
      <c r="MUH75" s="164"/>
      <c r="MUI75" s="164"/>
      <c r="MUJ75" s="164"/>
      <c r="MUK75" s="164"/>
      <c r="MUL75" s="164"/>
      <c r="MUM75" s="164"/>
      <c r="MUN75" s="164"/>
      <c r="MUO75" s="164"/>
      <c r="MUP75" s="164"/>
      <c r="MUQ75" s="164"/>
      <c r="MUR75" s="164"/>
      <c r="MUS75" s="164"/>
      <c r="MUT75" s="164"/>
      <c r="MUU75" s="164"/>
      <c r="MUV75" s="164"/>
      <c r="MUW75" s="164"/>
      <c r="MUX75" s="164"/>
      <c r="MUY75" s="164"/>
      <c r="MUZ75" s="164"/>
      <c r="MVA75" s="164"/>
      <c r="MVB75" s="164"/>
      <c r="MVC75" s="164"/>
      <c r="MVD75" s="164"/>
      <c r="MVE75" s="164"/>
      <c r="MVF75" s="164"/>
      <c r="MVG75" s="164"/>
      <c r="MVH75" s="164"/>
      <c r="MVI75" s="164"/>
      <c r="MVJ75" s="164"/>
      <c r="MVK75" s="164"/>
      <c r="MVL75" s="164"/>
      <c r="MVM75" s="164"/>
      <c r="MVN75" s="164"/>
      <c r="MVO75" s="164"/>
      <c r="MVP75" s="164"/>
      <c r="MVQ75" s="164"/>
      <c r="MVR75" s="164"/>
      <c r="MVS75" s="164"/>
      <c r="MVT75" s="164"/>
      <c r="MVU75" s="164"/>
      <c r="MVV75" s="164"/>
      <c r="MVW75" s="164"/>
      <c r="MVX75" s="164"/>
      <c r="MVY75" s="164"/>
      <c r="MVZ75" s="164"/>
      <c r="MWA75" s="164"/>
      <c r="MWB75" s="164"/>
      <c r="MWC75" s="164"/>
      <c r="MWD75" s="164"/>
      <c r="MWE75" s="164"/>
      <c r="MWF75" s="164"/>
      <c r="MWG75" s="164"/>
      <c r="MWH75" s="164"/>
      <c r="MWI75" s="164"/>
      <c r="MWJ75" s="164"/>
      <c r="MWK75" s="164"/>
      <c r="MWL75" s="164"/>
      <c r="MWM75" s="164"/>
      <c r="MWN75" s="164"/>
      <c r="MWO75" s="164"/>
      <c r="MWP75" s="164"/>
      <c r="MWQ75" s="164"/>
      <c r="MWR75" s="164"/>
      <c r="MWS75" s="164"/>
      <c r="MWT75" s="164"/>
      <c r="MWU75" s="164"/>
      <c r="MWV75" s="164"/>
      <c r="MWW75" s="164"/>
      <c r="MWX75" s="164"/>
      <c r="MWY75" s="164"/>
      <c r="MWZ75" s="164"/>
      <c r="MXA75" s="164"/>
      <c r="MXB75" s="164"/>
      <c r="MXC75" s="164"/>
      <c r="MXD75" s="164"/>
      <c r="MXE75" s="164"/>
      <c r="MXF75" s="164"/>
      <c r="MXG75" s="164"/>
      <c r="MXH75" s="164"/>
      <c r="MXI75" s="164"/>
      <c r="MXJ75" s="164"/>
      <c r="MXK75" s="164"/>
      <c r="MXL75" s="164"/>
      <c r="MXM75" s="164"/>
      <c r="MXN75" s="164"/>
      <c r="MXO75" s="164"/>
      <c r="MXP75" s="164"/>
      <c r="MXQ75" s="164"/>
      <c r="MXR75" s="164"/>
      <c r="MXS75" s="164"/>
      <c r="MXT75" s="164"/>
      <c r="MXU75" s="164"/>
      <c r="MXV75" s="164"/>
      <c r="MXW75" s="164"/>
      <c r="MXX75" s="164"/>
      <c r="MXY75" s="164"/>
      <c r="MXZ75" s="164"/>
      <c r="MYA75" s="164"/>
      <c r="MYB75" s="164"/>
      <c r="MYC75" s="164"/>
      <c r="MYD75" s="164"/>
      <c r="MYE75" s="164"/>
      <c r="MYF75" s="164"/>
      <c r="MYG75" s="164"/>
      <c r="MYH75" s="164"/>
      <c r="MYI75" s="164"/>
      <c r="MYJ75" s="164"/>
      <c r="MYK75" s="164"/>
      <c r="MYL75" s="164"/>
      <c r="MYM75" s="164"/>
      <c r="MYN75" s="164"/>
      <c r="MYO75" s="164"/>
      <c r="MYP75" s="164"/>
      <c r="MYQ75" s="164"/>
      <c r="MYR75" s="164"/>
      <c r="MYS75" s="164"/>
      <c r="MYT75" s="164"/>
      <c r="MYU75" s="164"/>
      <c r="MYV75" s="164"/>
      <c r="MYW75" s="164"/>
      <c r="MYX75" s="164"/>
      <c r="MYY75" s="164"/>
      <c r="MYZ75" s="164"/>
      <c r="MZA75" s="164"/>
      <c r="MZB75" s="164"/>
      <c r="MZC75" s="164"/>
      <c r="MZD75" s="164"/>
      <c r="MZE75" s="164"/>
      <c r="MZF75" s="164"/>
      <c r="MZG75" s="164"/>
      <c r="MZH75" s="164"/>
      <c r="MZI75" s="164"/>
      <c r="MZJ75" s="164"/>
      <c r="MZK75" s="164"/>
      <c r="MZL75" s="164"/>
      <c r="MZM75" s="164"/>
      <c r="MZN75" s="164"/>
      <c r="MZO75" s="164"/>
      <c r="MZP75" s="164"/>
      <c r="MZQ75" s="164"/>
      <c r="MZR75" s="164"/>
      <c r="MZS75" s="164"/>
      <c r="MZT75" s="164"/>
      <c r="MZU75" s="164"/>
      <c r="MZV75" s="164"/>
      <c r="MZW75" s="164"/>
      <c r="MZX75" s="164"/>
      <c r="MZY75" s="164"/>
      <c r="MZZ75" s="164"/>
      <c r="NAA75" s="164"/>
      <c r="NAB75" s="164"/>
      <c r="NAC75" s="164"/>
      <c r="NAD75" s="164"/>
      <c r="NAE75" s="164"/>
      <c r="NAF75" s="164"/>
      <c r="NAG75" s="164"/>
      <c r="NAH75" s="164"/>
      <c r="NAI75" s="164"/>
      <c r="NAJ75" s="164"/>
      <c r="NAK75" s="164"/>
      <c r="NAL75" s="164"/>
      <c r="NAM75" s="164"/>
      <c r="NAN75" s="164"/>
      <c r="NAO75" s="164"/>
      <c r="NAP75" s="164"/>
      <c r="NAQ75" s="164"/>
      <c r="NAR75" s="164"/>
      <c r="NAS75" s="164"/>
      <c r="NAT75" s="164"/>
      <c r="NAU75" s="164"/>
      <c r="NAV75" s="164"/>
      <c r="NAW75" s="164"/>
      <c r="NAX75" s="164"/>
      <c r="NAY75" s="164"/>
      <c r="NAZ75" s="164"/>
      <c r="NBA75" s="164"/>
      <c r="NBB75" s="164"/>
      <c r="NBC75" s="164"/>
      <c r="NBD75" s="164"/>
      <c r="NBE75" s="164"/>
      <c r="NBF75" s="164"/>
      <c r="NBG75" s="164"/>
      <c r="NBH75" s="164"/>
      <c r="NBI75" s="164"/>
      <c r="NBJ75" s="164"/>
      <c r="NBK75" s="164"/>
      <c r="NBL75" s="164"/>
      <c r="NBM75" s="164"/>
      <c r="NBN75" s="164"/>
      <c r="NBO75" s="164"/>
      <c r="NBP75" s="164"/>
      <c r="NBQ75" s="164"/>
      <c r="NBR75" s="164"/>
      <c r="NBS75" s="164"/>
      <c r="NBT75" s="164"/>
      <c r="NBU75" s="164"/>
      <c r="NBV75" s="164"/>
      <c r="NBW75" s="164"/>
      <c r="NBX75" s="164"/>
      <c r="NBY75" s="164"/>
      <c r="NBZ75" s="164"/>
      <c r="NCA75" s="164"/>
      <c r="NCB75" s="164"/>
      <c r="NCC75" s="164"/>
      <c r="NCD75" s="164"/>
      <c r="NCE75" s="164"/>
      <c r="NCF75" s="164"/>
      <c r="NCG75" s="164"/>
      <c r="NCH75" s="164"/>
      <c r="NCI75" s="164"/>
      <c r="NCJ75" s="164"/>
      <c r="NCK75" s="164"/>
      <c r="NCL75" s="164"/>
      <c r="NCM75" s="164"/>
      <c r="NCN75" s="164"/>
      <c r="NCO75" s="164"/>
      <c r="NCP75" s="164"/>
      <c r="NCQ75" s="164"/>
      <c r="NCR75" s="164"/>
      <c r="NCS75" s="164"/>
      <c r="NCT75" s="164"/>
      <c r="NCU75" s="164"/>
      <c r="NCV75" s="164"/>
      <c r="NCW75" s="164"/>
      <c r="NCX75" s="164"/>
      <c r="NCY75" s="164"/>
      <c r="NCZ75" s="164"/>
      <c r="NDA75" s="164"/>
      <c r="NDB75" s="164"/>
      <c r="NDC75" s="164"/>
      <c r="NDD75" s="164"/>
      <c r="NDE75" s="164"/>
      <c r="NDF75" s="164"/>
      <c r="NDG75" s="164"/>
      <c r="NDH75" s="164"/>
      <c r="NDI75" s="164"/>
      <c r="NDJ75" s="164"/>
      <c r="NDK75" s="164"/>
      <c r="NDL75" s="164"/>
      <c r="NDM75" s="164"/>
      <c r="NDN75" s="164"/>
      <c r="NDO75" s="164"/>
      <c r="NDP75" s="164"/>
      <c r="NDQ75" s="164"/>
      <c r="NDR75" s="164"/>
      <c r="NDS75" s="164"/>
      <c r="NDT75" s="164"/>
      <c r="NDU75" s="164"/>
      <c r="NDV75" s="164"/>
      <c r="NDW75" s="164"/>
      <c r="NDX75" s="164"/>
      <c r="NDY75" s="164"/>
      <c r="NDZ75" s="164"/>
      <c r="NEA75" s="164"/>
      <c r="NEB75" s="164"/>
      <c r="NEC75" s="164"/>
      <c r="NED75" s="164"/>
      <c r="NEE75" s="164"/>
      <c r="NEF75" s="164"/>
      <c r="NEG75" s="164"/>
      <c r="NEH75" s="164"/>
      <c r="NEI75" s="164"/>
      <c r="NEJ75" s="164"/>
      <c r="NEK75" s="164"/>
      <c r="NEL75" s="164"/>
      <c r="NEM75" s="164"/>
      <c r="NEN75" s="164"/>
      <c r="NEO75" s="164"/>
      <c r="NEP75" s="164"/>
      <c r="NEQ75" s="164"/>
      <c r="NER75" s="164"/>
      <c r="NES75" s="164"/>
      <c r="NET75" s="164"/>
      <c r="NEU75" s="164"/>
      <c r="NEV75" s="164"/>
      <c r="NEW75" s="164"/>
      <c r="NEX75" s="164"/>
      <c r="NEY75" s="164"/>
      <c r="NEZ75" s="164"/>
      <c r="NFA75" s="164"/>
      <c r="NFB75" s="164"/>
      <c r="NFC75" s="164"/>
      <c r="NFD75" s="164"/>
      <c r="NFE75" s="164"/>
      <c r="NFF75" s="164"/>
      <c r="NFG75" s="164"/>
      <c r="NFH75" s="164"/>
      <c r="NFI75" s="164"/>
      <c r="NFJ75" s="164"/>
      <c r="NFK75" s="164"/>
      <c r="NFL75" s="164"/>
      <c r="NFM75" s="164"/>
      <c r="NFN75" s="164"/>
      <c r="NFO75" s="164"/>
      <c r="NFP75" s="164"/>
      <c r="NFQ75" s="164"/>
      <c r="NFR75" s="164"/>
      <c r="NFS75" s="164"/>
      <c r="NFT75" s="164"/>
      <c r="NFU75" s="164"/>
      <c r="NFV75" s="164"/>
      <c r="NFW75" s="164"/>
      <c r="NFX75" s="164"/>
      <c r="NFY75" s="164"/>
      <c r="NFZ75" s="164"/>
      <c r="NGA75" s="164"/>
      <c r="NGB75" s="164"/>
      <c r="NGC75" s="164"/>
      <c r="NGD75" s="164"/>
      <c r="NGE75" s="164"/>
      <c r="NGF75" s="164"/>
      <c r="NGG75" s="164"/>
      <c r="NGH75" s="164"/>
      <c r="NGI75" s="164"/>
      <c r="NGJ75" s="164"/>
      <c r="NGK75" s="164"/>
      <c r="NGL75" s="164"/>
      <c r="NGM75" s="164"/>
      <c r="NGN75" s="164"/>
      <c r="NGO75" s="164"/>
      <c r="NGP75" s="164"/>
      <c r="NGQ75" s="164"/>
      <c r="NGR75" s="164"/>
      <c r="NGS75" s="164"/>
      <c r="NGT75" s="164"/>
      <c r="NGU75" s="164"/>
      <c r="NGV75" s="164"/>
      <c r="NGW75" s="164"/>
      <c r="NGX75" s="164"/>
      <c r="NGY75" s="164"/>
      <c r="NGZ75" s="164"/>
      <c r="NHA75" s="164"/>
      <c r="NHB75" s="164"/>
      <c r="NHC75" s="164"/>
      <c r="NHD75" s="164"/>
      <c r="NHE75" s="164"/>
      <c r="NHF75" s="164"/>
      <c r="NHG75" s="164"/>
      <c r="NHH75" s="164"/>
      <c r="NHI75" s="164"/>
      <c r="NHJ75" s="164"/>
      <c r="NHK75" s="164"/>
      <c r="NHL75" s="164"/>
      <c r="NHM75" s="164"/>
      <c r="NHN75" s="164"/>
      <c r="NHO75" s="164"/>
      <c r="NHP75" s="164"/>
      <c r="NHQ75" s="164"/>
      <c r="NHR75" s="164"/>
      <c r="NHS75" s="164"/>
      <c r="NHT75" s="164"/>
      <c r="NHU75" s="164"/>
      <c r="NHV75" s="164"/>
      <c r="NHW75" s="164"/>
      <c r="NHX75" s="164"/>
      <c r="NHY75" s="164"/>
      <c r="NHZ75" s="164"/>
      <c r="NIA75" s="164"/>
      <c r="NIB75" s="164"/>
      <c r="NIC75" s="164"/>
      <c r="NID75" s="164"/>
      <c r="NIE75" s="164"/>
      <c r="NIF75" s="164"/>
      <c r="NIG75" s="164"/>
      <c r="NIH75" s="164"/>
      <c r="NII75" s="164"/>
      <c r="NIJ75" s="164"/>
      <c r="NIK75" s="164"/>
      <c r="NIL75" s="164"/>
      <c r="NIM75" s="164"/>
      <c r="NIN75" s="164"/>
      <c r="NIO75" s="164"/>
      <c r="NIP75" s="164"/>
      <c r="NIQ75" s="164"/>
      <c r="NIR75" s="164"/>
      <c r="NIS75" s="164"/>
      <c r="NIT75" s="164"/>
      <c r="NIU75" s="164"/>
      <c r="NIV75" s="164"/>
      <c r="NIW75" s="164"/>
      <c r="NIX75" s="164"/>
      <c r="NIY75" s="164"/>
      <c r="NIZ75" s="164"/>
      <c r="NJA75" s="164"/>
      <c r="NJB75" s="164"/>
      <c r="NJC75" s="164"/>
      <c r="NJD75" s="164"/>
      <c r="NJE75" s="164"/>
      <c r="NJF75" s="164"/>
      <c r="NJG75" s="164"/>
      <c r="NJH75" s="164"/>
      <c r="NJI75" s="164"/>
      <c r="NJJ75" s="164"/>
      <c r="NJK75" s="164"/>
      <c r="NJL75" s="164"/>
      <c r="NJM75" s="164"/>
      <c r="NJN75" s="164"/>
      <c r="NJO75" s="164"/>
      <c r="NJP75" s="164"/>
      <c r="NJQ75" s="164"/>
      <c r="NJR75" s="164"/>
      <c r="NJS75" s="164"/>
      <c r="NJT75" s="164"/>
      <c r="NJU75" s="164"/>
      <c r="NJV75" s="164"/>
      <c r="NJW75" s="164"/>
      <c r="NJX75" s="164"/>
      <c r="NJY75" s="164"/>
      <c r="NJZ75" s="164"/>
      <c r="NKA75" s="164"/>
      <c r="NKB75" s="164"/>
      <c r="NKC75" s="164"/>
      <c r="NKD75" s="164"/>
      <c r="NKE75" s="164"/>
      <c r="NKF75" s="164"/>
      <c r="NKG75" s="164"/>
      <c r="NKH75" s="164"/>
      <c r="NKI75" s="164"/>
      <c r="NKJ75" s="164"/>
      <c r="NKK75" s="164"/>
      <c r="NKL75" s="164"/>
      <c r="NKM75" s="164"/>
      <c r="NKN75" s="164"/>
      <c r="NKO75" s="164"/>
      <c r="NKP75" s="164"/>
      <c r="NKQ75" s="164"/>
      <c r="NKR75" s="164"/>
      <c r="NKS75" s="164"/>
      <c r="NKT75" s="164"/>
      <c r="NKU75" s="164"/>
      <c r="NKV75" s="164"/>
      <c r="NKW75" s="164"/>
      <c r="NKX75" s="164"/>
      <c r="NKY75" s="164"/>
      <c r="NKZ75" s="164"/>
      <c r="NLA75" s="164"/>
      <c r="NLB75" s="164"/>
      <c r="NLC75" s="164"/>
      <c r="NLD75" s="164"/>
      <c r="NLE75" s="164"/>
      <c r="NLF75" s="164"/>
      <c r="NLG75" s="164"/>
      <c r="NLH75" s="164"/>
      <c r="NLI75" s="164"/>
      <c r="NLJ75" s="164"/>
      <c r="NLK75" s="164"/>
      <c r="NLL75" s="164"/>
      <c r="NLM75" s="164"/>
      <c r="NLN75" s="164"/>
      <c r="NLO75" s="164"/>
      <c r="NLP75" s="164"/>
      <c r="NLQ75" s="164"/>
      <c r="NLR75" s="164"/>
      <c r="NLS75" s="164"/>
      <c r="NLT75" s="164"/>
      <c r="NLU75" s="164"/>
      <c r="NLV75" s="164"/>
      <c r="NLW75" s="164"/>
      <c r="NLX75" s="164"/>
      <c r="NLY75" s="164"/>
      <c r="NLZ75" s="164"/>
      <c r="NMA75" s="164"/>
      <c r="NMB75" s="164"/>
      <c r="NMC75" s="164"/>
      <c r="NMD75" s="164"/>
      <c r="NME75" s="164"/>
      <c r="NMF75" s="164"/>
      <c r="NMG75" s="164"/>
      <c r="NMH75" s="164"/>
      <c r="NMI75" s="164"/>
      <c r="NMJ75" s="164"/>
      <c r="NMK75" s="164"/>
      <c r="NML75" s="164"/>
      <c r="NMM75" s="164"/>
      <c r="NMN75" s="164"/>
      <c r="NMO75" s="164"/>
      <c r="NMP75" s="164"/>
      <c r="NMQ75" s="164"/>
      <c r="NMR75" s="164"/>
      <c r="NMS75" s="164"/>
      <c r="NMT75" s="164"/>
      <c r="NMU75" s="164"/>
      <c r="NMV75" s="164"/>
      <c r="NMW75" s="164"/>
      <c r="NMX75" s="164"/>
      <c r="NMY75" s="164"/>
      <c r="NMZ75" s="164"/>
      <c r="NNA75" s="164"/>
      <c r="NNB75" s="164"/>
      <c r="NNC75" s="164"/>
      <c r="NND75" s="164"/>
      <c r="NNE75" s="164"/>
      <c r="NNF75" s="164"/>
      <c r="NNG75" s="164"/>
      <c r="NNH75" s="164"/>
      <c r="NNI75" s="164"/>
      <c r="NNJ75" s="164"/>
      <c r="NNK75" s="164"/>
      <c r="NNL75" s="164"/>
      <c r="NNM75" s="164"/>
      <c r="NNN75" s="164"/>
      <c r="NNO75" s="164"/>
      <c r="NNP75" s="164"/>
      <c r="NNQ75" s="164"/>
      <c r="NNR75" s="164"/>
      <c r="NNS75" s="164"/>
      <c r="NNT75" s="164"/>
      <c r="NNU75" s="164"/>
      <c r="NNV75" s="164"/>
      <c r="NNW75" s="164"/>
      <c r="NNX75" s="164"/>
      <c r="NNY75" s="164"/>
      <c r="NNZ75" s="164"/>
      <c r="NOA75" s="164"/>
      <c r="NOB75" s="164"/>
      <c r="NOC75" s="164"/>
      <c r="NOD75" s="164"/>
      <c r="NOE75" s="164"/>
      <c r="NOF75" s="164"/>
      <c r="NOG75" s="164"/>
      <c r="NOH75" s="164"/>
      <c r="NOI75" s="164"/>
      <c r="NOJ75" s="164"/>
      <c r="NOK75" s="164"/>
      <c r="NOL75" s="164"/>
      <c r="NOM75" s="164"/>
      <c r="NON75" s="164"/>
      <c r="NOO75" s="164"/>
      <c r="NOP75" s="164"/>
      <c r="NOQ75" s="164"/>
      <c r="NOR75" s="164"/>
      <c r="NOS75" s="164"/>
      <c r="NOT75" s="164"/>
      <c r="NOU75" s="164"/>
      <c r="NOV75" s="164"/>
      <c r="NOW75" s="164"/>
      <c r="NOX75" s="164"/>
      <c r="NOY75" s="164"/>
      <c r="NOZ75" s="164"/>
      <c r="NPA75" s="164"/>
      <c r="NPB75" s="164"/>
      <c r="NPC75" s="164"/>
      <c r="NPD75" s="164"/>
      <c r="NPE75" s="164"/>
      <c r="NPF75" s="164"/>
      <c r="NPG75" s="164"/>
      <c r="NPH75" s="164"/>
      <c r="NPI75" s="164"/>
      <c r="NPJ75" s="164"/>
      <c r="NPK75" s="164"/>
      <c r="NPL75" s="164"/>
      <c r="NPM75" s="164"/>
      <c r="NPN75" s="164"/>
      <c r="NPO75" s="164"/>
      <c r="NPP75" s="164"/>
      <c r="NPQ75" s="164"/>
      <c r="NPR75" s="164"/>
      <c r="NPS75" s="164"/>
      <c r="NPT75" s="164"/>
      <c r="NPU75" s="164"/>
      <c r="NPV75" s="164"/>
      <c r="NPW75" s="164"/>
      <c r="NPX75" s="164"/>
      <c r="NPY75" s="164"/>
      <c r="NPZ75" s="164"/>
      <c r="NQA75" s="164"/>
      <c r="NQB75" s="164"/>
      <c r="NQC75" s="164"/>
      <c r="NQD75" s="164"/>
      <c r="NQE75" s="164"/>
      <c r="NQF75" s="164"/>
      <c r="NQG75" s="164"/>
      <c r="NQH75" s="164"/>
      <c r="NQI75" s="164"/>
      <c r="NQJ75" s="164"/>
      <c r="NQK75" s="164"/>
      <c r="NQL75" s="164"/>
      <c r="NQM75" s="164"/>
      <c r="NQN75" s="164"/>
      <c r="NQO75" s="164"/>
      <c r="NQP75" s="164"/>
      <c r="NQQ75" s="164"/>
      <c r="NQR75" s="164"/>
      <c r="NQS75" s="164"/>
      <c r="NQT75" s="164"/>
      <c r="NQU75" s="164"/>
      <c r="NQV75" s="164"/>
      <c r="NQW75" s="164"/>
      <c r="NQX75" s="164"/>
      <c r="NQY75" s="164"/>
      <c r="NQZ75" s="164"/>
      <c r="NRA75" s="164"/>
      <c r="NRB75" s="164"/>
      <c r="NRC75" s="164"/>
      <c r="NRD75" s="164"/>
      <c r="NRE75" s="164"/>
      <c r="NRF75" s="164"/>
      <c r="NRG75" s="164"/>
      <c r="NRH75" s="164"/>
      <c r="NRI75" s="164"/>
      <c r="NRJ75" s="164"/>
      <c r="NRK75" s="164"/>
      <c r="NRL75" s="164"/>
      <c r="NRM75" s="164"/>
      <c r="NRN75" s="164"/>
      <c r="NRO75" s="164"/>
      <c r="NRP75" s="164"/>
      <c r="NRQ75" s="164"/>
      <c r="NRR75" s="164"/>
      <c r="NRS75" s="164"/>
      <c r="NRT75" s="164"/>
      <c r="NRU75" s="164"/>
      <c r="NRV75" s="164"/>
      <c r="NRW75" s="164"/>
      <c r="NRX75" s="164"/>
      <c r="NRY75" s="164"/>
      <c r="NRZ75" s="164"/>
      <c r="NSA75" s="164"/>
      <c r="NSB75" s="164"/>
      <c r="NSC75" s="164"/>
      <c r="NSD75" s="164"/>
      <c r="NSE75" s="164"/>
      <c r="NSF75" s="164"/>
      <c r="NSG75" s="164"/>
      <c r="NSH75" s="164"/>
      <c r="NSI75" s="164"/>
      <c r="NSJ75" s="164"/>
      <c r="NSK75" s="164"/>
      <c r="NSL75" s="164"/>
      <c r="NSM75" s="164"/>
      <c r="NSN75" s="164"/>
      <c r="NSO75" s="164"/>
      <c r="NSP75" s="164"/>
      <c r="NSQ75" s="164"/>
      <c r="NSR75" s="164"/>
      <c r="NSS75" s="164"/>
      <c r="NST75" s="164"/>
      <c r="NSU75" s="164"/>
      <c r="NSV75" s="164"/>
      <c r="NSW75" s="164"/>
      <c r="NSX75" s="164"/>
      <c r="NSY75" s="164"/>
      <c r="NSZ75" s="164"/>
      <c r="NTA75" s="164"/>
      <c r="NTB75" s="164"/>
      <c r="NTC75" s="164"/>
      <c r="NTD75" s="164"/>
      <c r="NTE75" s="164"/>
      <c r="NTF75" s="164"/>
      <c r="NTG75" s="164"/>
      <c r="NTH75" s="164"/>
      <c r="NTI75" s="164"/>
      <c r="NTJ75" s="164"/>
      <c r="NTK75" s="164"/>
      <c r="NTL75" s="164"/>
      <c r="NTM75" s="164"/>
      <c r="NTN75" s="164"/>
      <c r="NTO75" s="164"/>
      <c r="NTP75" s="164"/>
      <c r="NTQ75" s="164"/>
      <c r="NTR75" s="164"/>
      <c r="NTS75" s="164"/>
      <c r="NTT75" s="164"/>
      <c r="NTU75" s="164"/>
      <c r="NTV75" s="164"/>
      <c r="NTW75" s="164"/>
      <c r="NTX75" s="164"/>
      <c r="NTY75" s="164"/>
      <c r="NTZ75" s="164"/>
      <c r="NUA75" s="164"/>
      <c r="NUB75" s="164"/>
      <c r="NUC75" s="164"/>
      <c r="NUD75" s="164"/>
      <c r="NUE75" s="164"/>
      <c r="NUF75" s="164"/>
      <c r="NUG75" s="164"/>
      <c r="NUH75" s="164"/>
      <c r="NUI75" s="164"/>
      <c r="NUJ75" s="164"/>
      <c r="NUK75" s="164"/>
      <c r="NUL75" s="164"/>
      <c r="NUM75" s="164"/>
      <c r="NUN75" s="164"/>
      <c r="NUO75" s="164"/>
      <c r="NUP75" s="164"/>
      <c r="NUQ75" s="164"/>
      <c r="NUR75" s="164"/>
      <c r="NUS75" s="164"/>
      <c r="NUT75" s="164"/>
      <c r="NUU75" s="164"/>
      <c r="NUV75" s="164"/>
      <c r="NUW75" s="164"/>
      <c r="NUX75" s="164"/>
      <c r="NUY75" s="164"/>
      <c r="NUZ75" s="164"/>
      <c r="NVA75" s="164"/>
      <c r="NVB75" s="164"/>
      <c r="NVC75" s="164"/>
      <c r="NVD75" s="164"/>
      <c r="NVE75" s="164"/>
      <c r="NVF75" s="164"/>
      <c r="NVG75" s="164"/>
      <c r="NVH75" s="164"/>
      <c r="NVI75" s="164"/>
      <c r="NVJ75" s="164"/>
      <c r="NVK75" s="164"/>
      <c r="NVL75" s="164"/>
      <c r="NVM75" s="164"/>
      <c r="NVN75" s="164"/>
      <c r="NVO75" s="164"/>
      <c r="NVP75" s="164"/>
      <c r="NVQ75" s="164"/>
      <c r="NVR75" s="164"/>
      <c r="NVS75" s="164"/>
      <c r="NVT75" s="164"/>
      <c r="NVU75" s="164"/>
      <c r="NVV75" s="164"/>
      <c r="NVW75" s="164"/>
      <c r="NVX75" s="164"/>
      <c r="NVY75" s="164"/>
      <c r="NVZ75" s="164"/>
      <c r="NWA75" s="164"/>
      <c r="NWB75" s="164"/>
      <c r="NWC75" s="164"/>
      <c r="NWD75" s="164"/>
      <c r="NWE75" s="164"/>
      <c r="NWF75" s="164"/>
      <c r="NWG75" s="164"/>
      <c r="NWH75" s="164"/>
      <c r="NWI75" s="164"/>
      <c r="NWJ75" s="164"/>
      <c r="NWK75" s="164"/>
      <c r="NWL75" s="164"/>
      <c r="NWM75" s="164"/>
      <c r="NWN75" s="164"/>
      <c r="NWO75" s="164"/>
      <c r="NWP75" s="164"/>
      <c r="NWQ75" s="164"/>
      <c r="NWR75" s="164"/>
      <c r="NWS75" s="164"/>
      <c r="NWT75" s="164"/>
      <c r="NWU75" s="164"/>
      <c r="NWV75" s="164"/>
      <c r="NWW75" s="164"/>
      <c r="NWX75" s="164"/>
      <c r="NWY75" s="164"/>
      <c r="NWZ75" s="164"/>
      <c r="NXA75" s="164"/>
      <c r="NXB75" s="164"/>
      <c r="NXC75" s="164"/>
      <c r="NXD75" s="164"/>
      <c r="NXE75" s="164"/>
      <c r="NXF75" s="164"/>
      <c r="NXG75" s="164"/>
      <c r="NXH75" s="164"/>
      <c r="NXI75" s="164"/>
      <c r="NXJ75" s="164"/>
      <c r="NXK75" s="164"/>
      <c r="NXL75" s="164"/>
      <c r="NXM75" s="164"/>
      <c r="NXN75" s="164"/>
      <c r="NXO75" s="164"/>
      <c r="NXP75" s="164"/>
      <c r="NXQ75" s="164"/>
      <c r="NXR75" s="164"/>
      <c r="NXS75" s="164"/>
      <c r="NXT75" s="164"/>
      <c r="NXU75" s="164"/>
      <c r="NXV75" s="164"/>
      <c r="NXW75" s="164"/>
      <c r="NXX75" s="164"/>
      <c r="NXY75" s="164"/>
      <c r="NXZ75" s="164"/>
      <c r="NYA75" s="164"/>
      <c r="NYB75" s="164"/>
      <c r="NYC75" s="164"/>
      <c r="NYD75" s="164"/>
      <c r="NYE75" s="164"/>
      <c r="NYF75" s="164"/>
      <c r="NYG75" s="164"/>
      <c r="NYH75" s="164"/>
      <c r="NYI75" s="164"/>
      <c r="NYJ75" s="164"/>
      <c r="NYK75" s="164"/>
      <c r="NYL75" s="164"/>
      <c r="NYM75" s="164"/>
      <c r="NYN75" s="164"/>
      <c r="NYO75" s="164"/>
      <c r="NYP75" s="164"/>
      <c r="NYQ75" s="164"/>
      <c r="NYR75" s="164"/>
      <c r="NYS75" s="164"/>
      <c r="NYT75" s="164"/>
      <c r="NYU75" s="164"/>
      <c r="NYV75" s="164"/>
      <c r="NYW75" s="164"/>
      <c r="NYX75" s="164"/>
      <c r="NYY75" s="164"/>
      <c r="NYZ75" s="164"/>
      <c r="NZA75" s="164"/>
      <c r="NZB75" s="164"/>
      <c r="NZC75" s="164"/>
      <c r="NZD75" s="164"/>
      <c r="NZE75" s="164"/>
      <c r="NZF75" s="164"/>
      <c r="NZG75" s="164"/>
      <c r="NZH75" s="164"/>
      <c r="NZI75" s="164"/>
      <c r="NZJ75" s="164"/>
      <c r="NZK75" s="164"/>
      <c r="NZL75" s="164"/>
      <c r="NZM75" s="164"/>
      <c r="NZN75" s="164"/>
      <c r="NZO75" s="164"/>
      <c r="NZP75" s="164"/>
      <c r="NZQ75" s="164"/>
      <c r="NZR75" s="164"/>
      <c r="NZS75" s="164"/>
      <c r="NZT75" s="164"/>
      <c r="NZU75" s="164"/>
      <c r="NZV75" s="164"/>
      <c r="NZW75" s="164"/>
      <c r="NZX75" s="164"/>
      <c r="NZY75" s="164"/>
      <c r="NZZ75" s="164"/>
      <c r="OAA75" s="164"/>
      <c r="OAB75" s="164"/>
      <c r="OAC75" s="164"/>
      <c r="OAD75" s="164"/>
      <c r="OAE75" s="164"/>
      <c r="OAF75" s="164"/>
      <c r="OAG75" s="164"/>
      <c r="OAH75" s="164"/>
      <c r="OAI75" s="164"/>
      <c r="OAJ75" s="164"/>
      <c r="OAK75" s="164"/>
      <c r="OAL75" s="164"/>
      <c r="OAM75" s="164"/>
      <c r="OAN75" s="164"/>
      <c r="OAO75" s="164"/>
      <c r="OAP75" s="164"/>
      <c r="OAQ75" s="164"/>
      <c r="OAR75" s="164"/>
      <c r="OAS75" s="164"/>
      <c r="OAT75" s="164"/>
      <c r="OAU75" s="164"/>
      <c r="OAV75" s="164"/>
      <c r="OAW75" s="164"/>
      <c r="OAX75" s="164"/>
      <c r="OAY75" s="164"/>
      <c r="OAZ75" s="164"/>
      <c r="OBA75" s="164"/>
      <c r="OBB75" s="164"/>
      <c r="OBC75" s="164"/>
      <c r="OBD75" s="164"/>
      <c r="OBE75" s="164"/>
      <c r="OBF75" s="164"/>
      <c r="OBG75" s="164"/>
      <c r="OBH75" s="164"/>
      <c r="OBI75" s="164"/>
      <c r="OBJ75" s="164"/>
      <c r="OBK75" s="164"/>
      <c r="OBL75" s="164"/>
      <c r="OBM75" s="164"/>
      <c r="OBN75" s="164"/>
      <c r="OBO75" s="164"/>
      <c r="OBP75" s="164"/>
      <c r="OBQ75" s="164"/>
      <c r="OBR75" s="164"/>
      <c r="OBS75" s="164"/>
      <c r="OBT75" s="164"/>
      <c r="OBU75" s="164"/>
      <c r="OBV75" s="164"/>
      <c r="OBW75" s="164"/>
      <c r="OBX75" s="164"/>
      <c r="OBY75" s="164"/>
      <c r="OBZ75" s="164"/>
      <c r="OCA75" s="164"/>
      <c r="OCB75" s="164"/>
      <c r="OCC75" s="164"/>
      <c r="OCD75" s="164"/>
      <c r="OCE75" s="164"/>
      <c r="OCF75" s="164"/>
      <c r="OCG75" s="164"/>
      <c r="OCH75" s="164"/>
      <c r="OCI75" s="164"/>
      <c r="OCJ75" s="164"/>
      <c r="OCK75" s="164"/>
      <c r="OCL75" s="164"/>
      <c r="OCM75" s="164"/>
      <c r="OCN75" s="164"/>
      <c r="OCO75" s="164"/>
      <c r="OCP75" s="164"/>
      <c r="OCQ75" s="164"/>
      <c r="OCR75" s="164"/>
      <c r="OCS75" s="164"/>
      <c r="OCT75" s="164"/>
      <c r="OCU75" s="164"/>
      <c r="OCV75" s="164"/>
      <c r="OCW75" s="164"/>
      <c r="OCX75" s="164"/>
      <c r="OCY75" s="164"/>
      <c r="OCZ75" s="164"/>
      <c r="ODA75" s="164"/>
      <c r="ODB75" s="164"/>
      <c r="ODC75" s="164"/>
      <c r="ODD75" s="164"/>
      <c r="ODE75" s="164"/>
      <c r="ODF75" s="164"/>
      <c r="ODG75" s="164"/>
      <c r="ODH75" s="164"/>
      <c r="ODI75" s="164"/>
      <c r="ODJ75" s="164"/>
      <c r="ODK75" s="164"/>
      <c r="ODL75" s="164"/>
      <c r="ODM75" s="164"/>
      <c r="ODN75" s="164"/>
      <c r="ODO75" s="164"/>
      <c r="ODP75" s="164"/>
      <c r="ODQ75" s="164"/>
      <c r="ODR75" s="164"/>
      <c r="ODS75" s="164"/>
      <c r="ODT75" s="164"/>
      <c r="ODU75" s="164"/>
      <c r="ODV75" s="164"/>
      <c r="ODW75" s="164"/>
      <c r="ODX75" s="164"/>
      <c r="ODY75" s="164"/>
      <c r="ODZ75" s="164"/>
      <c r="OEA75" s="164"/>
      <c r="OEB75" s="164"/>
      <c r="OEC75" s="164"/>
      <c r="OED75" s="164"/>
      <c r="OEE75" s="164"/>
      <c r="OEF75" s="164"/>
      <c r="OEG75" s="164"/>
      <c r="OEH75" s="164"/>
      <c r="OEI75" s="164"/>
      <c r="OEJ75" s="164"/>
      <c r="OEK75" s="164"/>
      <c r="OEL75" s="164"/>
      <c r="OEM75" s="164"/>
      <c r="OEN75" s="164"/>
      <c r="OEO75" s="164"/>
      <c r="OEP75" s="164"/>
      <c r="OEQ75" s="164"/>
      <c r="OER75" s="164"/>
      <c r="OES75" s="164"/>
      <c r="OET75" s="164"/>
      <c r="OEU75" s="164"/>
      <c r="OEV75" s="164"/>
      <c r="OEW75" s="164"/>
      <c r="OEX75" s="164"/>
      <c r="OEY75" s="164"/>
      <c r="OEZ75" s="164"/>
      <c r="OFA75" s="164"/>
      <c r="OFB75" s="164"/>
      <c r="OFC75" s="164"/>
      <c r="OFD75" s="164"/>
      <c r="OFE75" s="164"/>
      <c r="OFF75" s="164"/>
      <c r="OFG75" s="164"/>
      <c r="OFH75" s="164"/>
      <c r="OFI75" s="164"/>
      <c r="OFJ75" s="164"/>
      <c r="OFK75" s="164"/>
      <c r="OFL75" s="164"/>
      <c r="OFM75" s="164"/>
      <c r="OFN75" s="164"/>
      <c r="OFO75" s="164"/>
      <c r="OFP75" s="164"/>
      <c r="OFQ75" s="164"/>
      <c r="OFR75" s="164"/>
      <c r="OFS75" s="164"/>
      <c r="OFT75" s="164"/>
      <c r="OFU75" s="164"/>
      <c r="OFV75" s="164"/>
      <c r="OFW75" s="164"/>
      <c r="OFX75" s="164"/>
      <c r="OFY75" s="164"/>
      <c r="OFZ75" s="164"/>
      <c r="OGA75" s="164"/>
      <c r="OGB75" s="164"/>
      <c r="OGC75" s="164"/>
      <c r="OGD75" s="164"/>
      <c r="OGE75" s="164"/>
      <c r="OGF75" s="164"/>
      <c r="OGG75" s="164"/>
      <c r="OGH75" s="164"/>
      <c r="OGI75" s="164"/>
      <c r="OGJ75" s="164"/>
      <c r="OGK75" s="164"/>
      <c r="OGL75" s="164"/>
      <c r="OGM75" s="164"/>
      <c r="OGN75" s="164"/>
      <c r="OGO75" s="164"/>
      <c r="OGP75" s="164"/>
      <c r="OGQ75" s="164"/>
      <c r="OGR75" s="164"/>
      <c r="OGS75" s="164"/>
      <c r="OGT75" s="164"/>
      <c r="OGU75" s="164"/>
      <c r="OGV75" s="164"/>
      <c r="OGW75" s="164"/>
      <c r="OGX75" s="164"/>
      <c r="OGY75" s="164"/>
      <c r="OGZ75" s="164"/>
      <c r="OHA75" s="164"/>
      <c r="OHB75" s="164"/>
      <c r="OHC75" s="164"/>
      <c r="OHD75" s="164"/>
      <c r="OHE75" s="164"/>
      <c r="OHF75" s="164"/>
      <c r="OHG75" s="164"/>
      <c r="OHH75" s="164"/>
      <c r="OHI75" s="164"/>
      <c r="OHJ75" s="164"/>
      <c r="OHK75" s="164"/>
      <c r="OHL75" s="164"/>
      <c r="OHM75" s="164"/>
      <c r="OHN75" s="164"/>
      <c r="OHO75" s="164"/>
      <c r="OHP75" s="164"/>
      <c r="OHQ75" s="164"/>
      <c r="OHR75" s="164"/>
      <c r="OHS75" s="164"/>
      <c r="OHT75" s="164"/>
      <c r="OHU75" s="164"/>
      <c r="OHV75" s="164"/>
      <c r="OHW75" s="164"/>
      <c r="OHX75" s="164"/>
      <c r="OHY75" s="164"/>
      <c r="OHZ75" s="164"/>
      <c r="OIA75" s="164"/>
      <c r="OIB75" s="164"/>
      <c r="OIC75" s="164"/>
      <c r="OID75" s="164"/>
      <c r="OIE75" s="164"/>
      <c r="OIF75" s="164"/>
      <c r="OIG75" s="164"/>
      <c r="OIH75" s="164"/>
      <c r="OII75" s="164"/>
      <c r="OIJ75" s="164"/>
      <c r="OIK75" s="164"/>
      <c r="OIL75" s="164"/>
      <c r="OIM75" s="164"/>
      <c r="OIN75" s="164"/>
      <c r="OIO75" s="164"/>
      <c r="OIP75" s="164"/>
      <c r="OIQ75" s="164"/>
      <c r="OIR75" s="164"/>
      <c r="OIS75" s="164"/>
      <c r="OIT75" s="164"/>
      <c r="OIU75" s="164"/>
      <c r="OIV75" s="164"/>
      <c r="OIW75" s="164"/>
      <c r="OIX75" s="164"/>
      <c r="OIY75" s="164"/>
      <c r="OIZ75" s="164"/>
      <c r="OJA75" s="164"/>
      <c r="OJB75" s="164"/>
      <c r="OJC75" s="164"/>
      <c r="OJD75" s="164"/>
      <c r="OJE75" s="164"/>
      <c r="OJF75" s="164"/>
      <c r="OJG75" s="164"/>
      <c r="OJH75" s="164"/>
      <c r="OJI75" s="164"/>
      <c r="OJJ75" s="164"/>
      <c r="OJK75" s="164"/>
      <c r="OJL75" s="164"/>
      <c r="OJM75" s="164"/>
      <c r="OJN75" s="164"/>
      <c r="OJO75" s="164"/>
      <c r="OJP75" s="164"/>
      <c r="OJQ75" s="164"/>
      <c r="OJR75" s="164"/>
      <c r="OJS75" s="164"/>
      <c r="OJT75" s="164"/>
      <c r="OJU75" s="164"/>
      <c r="OJV75" s="164"/>
      <c r="OJW75" s="164"/>
      <c r="OJX75" s="164"/>
      <c r="OJY75" s="164"/>
      <c r="OJZ75" s="164"/>
      <c r="OKA75" s="164"/>
      <c r="OKB75" s="164"/>
      <c r="OKC75" s="164"/>
      <c r="OKD75" s="164"/>
      <c r="OKE75" s="164"/>
      <c r="OKF75" s="164"/>
      <c r="OKG75" s="164"/>
      <c r="OKH75" s="164"/>
      <c r="OKI75" s="164"/>
      <c r="OKJ75" s="164"/>
      <c r="OKK75" s="164"/>
      <c r="OKL75" s="164"/>
      <c r="OKM75" s="164"/>
      <c r="OKN75" s="164"/>
      <c r="OKO75" s="164"/>
      <c r="OKP75" s="164"/>
      <c r="OKQ75" s="164"/>
      <c r="OKR75" s="164"/>
      <c r="OKS75" s="164"/>
      <c r="OKT75" s="164"/>
      <c r="OKU75" s="164"/>
      <c r="OKV75" s="164"/>
      <c r="OKW75" s="164"/>
      <c r="OKX75" s="164"/>
      <c r="OKY75" s="164"/>
      <c r="OKZ75" s="164"/>
      <c r="OLA75" s="164"/>
      <c r="OLB75" s="164"/>
      <c r="OLC75" s="164"/>
      <c r="OLD75" s="164"/>
      <c r="OLE75" s="164"/>
      <c r="OLF75" s="164"/>
      <c r="OLG75" s="164"/>
      <c r="OLH75" s="164"/>
      <c r="OLI75" s="164"/>
      <c r="OLJ75" s="164"/>
      <c r="OLK75" s="164"/>
      <c r="OLL75" s="164"/>
      <c r="OLM75" s="164"/>
      <c r="OLN75" s="164"/>
      <c r="OLO75" s="164"/>
      <c r="OLP75" s="164"/>
      <c r="OLQ75" s="164"/>
      <c r="OLR75" s="164"/>
      <c r="OLS75" s="164"/>
      <c r="OLT75" s="164"/>
      <c r="OLU75" s="164"/>
      <c r="OLV75" s="164"/>
      <c r="OLW75" s="164"/>
      <c r="OLX75" s="164"/>
      <c r="OLY75" s="164"/>
      <c r="OLZ75" s="164"/>
      <c r="OMA75" s="164"/>
      <c r="OMB75" s="164"/>
      <c r="OMC75" s="164"/>
      <c r="OMD75" s="164"/>
      <c r="OME75" s="164"/>
      <c r="OMF75" s="164"/>
      <c r="OMG75" s="164"/>
      <c r="OMH75" s="164"/>
      <c r="OMI75" s="164"/>
      <c r="OMJ75" s="164"/>
      <c r="OMK75" s="164"/>
      <c r="OML75" s="164"/>
      <c r="OMM75" s="164"/>
      <c r="OMN75" s="164"/>
      <c r="OMO75" s="164"/>
      <c r="OMP75" s="164"/>
      <c r="OMQ75" s="164"/>
      <c r="OMR75" s="164"/>
      <c r="OMS75" s="164"/>
      <c r="OMT75" s="164"/>
      <c r="OMU75" s="164"/>
      <c r="OMV75" s="164"/>
      <c r="OMW75" s="164"/>
      <c r="OMX75" s="164"/>
      <c r="OMY75" s="164"/>
      <c r="OMZ75" s="164"/>
      <c r="ONA75" s="164"/>
      <c r="ONB75" s="164"/>
      <c r="ONC75" s="164"/>
      <c r="OND75" s="164"/>
      <c r="ONE75" s="164"/>
      <c r="ONF75" s="164"/>
      <c r="ONG75" s="164"/>
      <c r="ONH75" s="164"/>
      <c r="ONI75" s="164"/>
      <c r="ONJ75" s="164"/>
      <c r="ONK75" s="164"/>
      <c r="ONL75" s="164"/>
      <c r="ONM75" s="164"/>
      <c r="ONN75" s="164"/>
      <c r="ONO75" s="164"/>
      <c r="ONP75" s="164"/>
      <c r="ONQ75" s="164"/>
      <c r="ONR75" s="164"/>
      <c r="ONS75" s="164"/>
      <c r="ONT75" s="164"/>
      <c r="ONU75" s="164"/>
      <c r="ONV75" s="164"/>
      <c r="ONW75" s="164"/>
      <c r="ONX75" s="164"/>
      <c r="ONY75" s="164"/>
      <c r="ONZ75" s="164"/>
      <c r="OOA75" s="164"/>
      <c r="OOB75" s="164"/>
      <c r="OOC75" s="164"/>
      <c r="OOD75" s="164"/>
      <c r="OOE75" s="164"/>
      <c r="OOF75" s="164"/>
      <c r="OOG75" s="164"/>
      <c r="OOH75" s="164"/>
      <c r="OOI75" s="164"/>
      <c r="OOJ75" s="164"/>
      <c r="OOK75" s="164"/>
      <c r="OOL75" s="164"/>
      <c r="OOM75" s="164"/>
      <c r="OON75" s="164"/>
      <c r="OOO75" s="164"/>
      <c r="OOP75" s="164"/>
      <c r="OOQ75" s="164"/>
      <c r="OOR75" s="164"/>
      <c r="OOS75" s="164"/>
      <c r="OOT75" s="164"/>
      <c r="OOU75" s="164"/>
      <c r="OOV75" s="164"/>
      <c r="OOW75" s="164"/>
      <c r="OOX75" s="164"/>
      <c r="OOY75" s="164"/>
      <c r="OOZ75" s="164"/>
      <c r="OPA75" s="164"/>
      <c r="OPB75" s="164"/>
      <c r="OPC75" s="164"/>
      <c r="OPD75" s="164"/>
      <c r="OPE75" s="164"/>
      <c r="OPF75" s="164"/>
      <c r="OPG75" s="164"/>
      <c r="OPH75" s="164"/>
      <c r="OPI75" s="164"/>
      <c r="OPJ75" s="164"/>
      <c r="OPK75" s="164"/>
      <c r="OPL75" s="164"/>
      <c r="OPM75" s="164"/>
      <c r="OPN75" s="164"/>
      <c r="OPO75" s="164"/>
      <c r="OPP75" s="164"/>
      <c r="OPQ75" s="164"/>
      <c r="OPR75" s="164"/>
      <c r="OPS75" s="164"/>
      <c r="OPT75" s="164"/>
      <c r="OPU75" s="164"/>
      <c r="OPV75" s="164"/>
      <c r="OPW75" s="164"/>
      <c r="OPX75" s="164"/>
      <c r="OPY75" s="164"/>
      <c r="OPZ75" s="164"/>
      <c r="OQA75" s="164"/>
      <c r="OQB75" s="164"/>
      <c r="OQC75" s="164"/>
      <c r="OQD75" s="164"/>
      <c r="OQE75" s="164"/>
      <c r="OQF75" s="164"/>
      <c r="OQG75" s="164"/>
      <c r="OQH75" s="164"/>
      <c r="OQI75" s="164"/>
      <c r="OQJ75" s="164"/>
      <c r="OQK75" s="164"/>
      <c r="OQL75" s="164"/>
      <c r="OQM75" s="164"/>
      <c r="OQN75" s="164"/>
      <c r="OQO75" s="164"/>
      <c r="OQP75" s="164"/>
      <c r="OQQ75" s="164"/>
      <c r="OQR75" s="164"/>
      <c r="OQS75" s="164"/>
      <c r="OQT75" s="164"/>
      <c r="OQU75" s="164"/>
      <c r="OQV75" s="164"/>
      <c r="OQW75" s="164"/>
      <c r="OQX75" s="164"/>
      <c r="OQY75" s="164"/>
      <c r="OQZ75" s="164"/>
      <c r="ORA75" s="164"/>
      <c r="ORB75" s="164"/>
      <c r="ORC75" s="164"/>
      <c r="ORD75" s="164"/>
      <c r="ORE75" s="164"/>
      <c r="ORF75" s="164"/>
      <c r="ORG75" s="164"/>
      <c r="ORH75" s="164"/>
      <c r="ORI75" s="164"/>
      <c r="ORJ75" s="164"/>
      <c r="ORK75" s="164"/>
      <c r="ORL75" s="164"/>
      <c r="ORM75" s="164"/>
      <c r="ORN75" s="164"/>
      <c r="ORO75" s="164"/>
      <c r="ORP75" s="164"/>
      <c r="ORQ75" s="164"/>
      <c r="ORR75" s="164"/>
      <c r="ORS75" s="164"/>
      <c r="ORT75" s="164"/>
      <c r="ORU75" s="164"/>
      <c r="ORV75" s="164"/>
      <c r="ORW75" s="164"/>
      <c r="ORX75" s="164"/>
      <c r="ORY75" s="164"/>
      <c r="ORZ75" s="164"/>
      <c r="OSA75" s="164"/>
      <c r="OSB75" s="164"/>
      <c r="OSC75" s="164"/>
      <c r="OSD75" s="164"/>
      <c r="OSE75" s="164"/>
      <c r="OSF75" s="164"/>
      <c r="OSG75" s="164"/>
      <c r="OSH75" s="164"/>
      <c r="OSI75" s="164"/>
      <c r="OSJ75" s="164"/>
      <c r="OSK75" s="164"/>
      <c r="OSL75" s="164"/>
      <c r="OSM75" s="164"/>
      <c r="OSN75" s="164"/>
      <c r="OSO75" s="164"/>
      <c r="OSP75" s="164"/>
      <c r="OSQ75" s="164"/>
      <c r="OSR75" s="164"/>
      <c r="OSS75" s="164"/>
      <c r="OST75" s="164"/>
      <c r="OSU75" s="164"/>
      <c r="OSV75" s="164"/>
      <c r="OSW75" s="164"/>
      <c r="OSX75" s="164"/>
      <c r="OSY75" s="164"/>
      <c r="OSZ75" s="164"/>
      <c r="OTA75" s="164"/>
      <c r="OTB75" s="164"/>
      <c r="OTC75" s="164"/>
      <c r="OTD75" s="164"/>
      <c r="OTE75" s="164"/>
      <c r="OTF75" s="164"/>
      <c r="OTG75" s="164"/>
      <c r="OTH75" s="164"/>
      <c r="OTI75" s="164"/>
      <c r="OTJ75" s="164"/>
      <c r="OTK75" s="164"/>
      <c r="OTL75" s="164"/>
      <c r="OTM75" s="164"/>
      <c r="OTN75" s="164"/>
      <c r="OTO75" s="164"/>
      <c r="OTP75" s="164"/>
      <c r="OTQ75" s="164"/>
      <c r="OTR75" s="164"/>
      <c r="OTS75" s="164"/>
      <c r="OTT75" s="164"/>
      <c r="OTU75" s="164"/>
      <c r="OTV75" s="164"/>
      <c r="OTW75" s="164"/>
      <c r="OTX75" s="164"/>
      <c r="OTY75" s="164"/>
      <c r="OTZ75" s="164"/>
      <c r="OUA75" s="164"/>
      <c r="OUB75" s="164"/>
      <c r="OUC75" s="164"/>
      <c r="OUD75" s="164"/>
      <c r="OUE75" s="164"/>
      <c r="OUF75" s="164"/>
      <c r="OUG75" s="164"/>
      <c r="OUH75" s="164"/>
      <c r="OUI75" s="164"/>
      <c r="OUJ75" s="164"/>
      <c r="OUK75" s="164"/>
      <c r="OUL75" s="164"/>
      <c r="OUM75" s="164"/>
      <c r="OUN75" s="164"/>
      <c r="OUO75" s="164"/>
      <c r="OUP75" s="164"/>
      <c r="OUQ75" s="164"/>
      <c r="OUR75" s="164"/>
      <c r="OUS75" s="164"/>
      <c r="OUT75" s="164"/>
      <c r="OUU75" s="164"/>
      <c r="OUV75" s="164"/>
      <c r="OUW75" s="164"/>
      <c r="OUX75" s="164"/>
      <c r="OUY75" s="164"/>
      <c r="OUZ75" s="164"/>
      <c r="OVA75" s="164"/>
      <c r="OVB75" s="164"/>
      <c r="OVC75" s="164"/>
      <c r="OVD75" s="164"/>
      <c r="OVE75" s="164"/>
      <c r="OVF75" s="164"/>
      <c r="OVG75" s="164"/>
      <c r="OVH75" s="164"/>
      <c r="OVI75" s="164"/>
      <c r="OVJ75" s="164"/>
      <c r="OVK75" s="164"/>
      <c r="OVL75" s="164"/>
      <c r="OVM75" s="164"/>
      <c r="OVN75" s="164"/>
      <c r="OVO75" s="164"/>
      <c r="OVP75" s="164"/>
      <c r="OVQ75" s="164"/>
      <c r="OVR75" s="164"/>
      <c r="OVS75" s="164"/>
      <c r="OVT75" s="164"/>
      <c r="OVU75" s="164"/>
      <c r="OVV75" s="164"/>
      <c r="OVW75" s="164"/>
      <c r="OVX75" s="164"/>
      <c r="OVY75" s="164"/>
      <c r="OVZ75" s="164"/>
      <c r="OWA75" s="164"/>
      <c r="OWB75" s="164"/>
      <c r="OWC75" s="164"/>
      <c r="OWD75" s="164"/>
      <c r="OWE75" s="164"/>
      <c r="OWF75" s="164"/>
      <c r="OWG75" s="164"/>
      <c r="OWH75" s="164"/>
      <c r="OWI75" s="164"/>
      <c r="OWJ75" s="164"/>
      <c r="OWK75" s="164"/>
      <c r="OWL75" s="164"/>
      <c r="OWM75" s="164"/>
      <c r="OWN75" s="164"/>
      <c r="OWO75" s="164"/>
      <c r="OWP75" s="164"/>
      <c r="OWQ75" s="164"/>
      <c r="OWR75" s="164"/>
      <c r="OWS75" s="164"/>
      <c r="OWT75" s="164"/>
      <c r="OWU75" s="164"/>
      <c r="OWV75" s="164"/>
      <c r="OWW75" s="164"/>
      <c r="OWX75" s="164"/>
      <c r="OWY75" s="164"/>
      <c r="OWZ75" s="164"/>
      <c r="OXA75" s="164"/>
      <c r="OXB75" s="164"/>
      <c r="OXC75" s="164"/>
      <c r="OXD75" s="164"/>
      <c r="OXE75" s="164"/>
      <c r="OXF75" s="164"/>
      <c r="OXG75" s="164"/>
      <c r="OXH75" s="164"/>
      <c r="OXI75" s="164"/>
      <c r="OXJ75" s="164"/>
      <c r="OXK75" s="164"/>
      <c r="OXL75" s="164"/>
      <c r="OXM75" s="164"/>
      <c r="OXN75" s="164"/>
      <c r="OXO75" s="164"/>
      <c r="OXP75" s="164"/>
      <c r="OXQ75" s="164"/>
      <c r="OXR75" s="164"/>
      <c r="OXS75" s="164"/>
      <c r="OXT75" s="164"/>
      <c r="OXU75" s="164"/>
      <c r="OXV75" s="164"/>
      <c r="OXW75" s="164"/>
      <c r="OXX75" s="164"/>
      <c r="OXY75" s="164"/>
      <c r="OXZ75" s="164"/>
      <c r="OYA75" s="164"/>
      <c r="OYB75" s="164"/>
      <c r="OYC75" s="164"/>
      <c r="OYD75" s="164"/>
      <c r="OYE75" s="164"/>
      <c r="OYF75" s="164"/>
      <c r="OYG75" s="164"/>
      <c r="OYH75" s="164"/>
      <c r="OYI75" s="164"/>
      <c r="OYJ75" s="164"/>
      <c r="OYK75" s="164"/>
      <c r="OYL75" s="164"/>
      <c r="OYM75" s="164"/>
      <c r="OYN75" s="164"/>
      <c r="OYO75" s="164"/>
      <c r="OYP75" s="164"/>
      <c r="OYQ75" s="164"/>
      <c r="OYR75" s="164"/>
      <c r="OYS75" s="164"/>
      <c r="OYT75" s="164"/>
      <c r="OYU75" s="164"/>
      <c r="OYV75" s="164"/>
      <c r="OYW75" s="164"/>
      <c r="OYX75" s="164"/>
      <c r="OYY75" s="164"/>
      <c r="OYZ75" s="164"/>
      <c r="OZA75" s="164"/>
      <c r="OZB75" s="164"/>
      <c r="OZC75" s="164"/>
      <c r="OZD75" s="164"/>
      <c r="OZE75" s="164"/>
      <c r="OZF75" s="164"/>
      <c r="OZG75" s="164"/>
      <c r="OZH75" s="164"/>
      <c r="OZI75" s="164"/>
      <c r="OZJ75" s="164"/>
      <c r="OZK75" s="164"/>
      <c r="OZL75" s="164"/>
      <c r="OZM75" s="164"/>
      <c r="OZN75" s="164"/>
      <c r="OZO75" s="164"/>
      <c r="OZP75" s="164"/>
      <c r="OZQ75" s="164"/>
      <c r="OZR75" s="164"/>
      <c r="OZS75" s="164"/>
      <c r="OZT75" s="164"/>
      <c r="OZU75" s="164"/>
      <c r="OZV75" s="164"/>
      <c r="OZW75" s="164"/>
      <c r="OZX75" s="164"/>
      <c r="OZY75" s="164"/>
      <c r="OZZ75" s="164"/>
      <c r="PAA75" s="164"/>
      <c r="PAB75" s="164"/>
      <c r="PAC75" s="164"/>
      <c r="PAD75" s="164"/>
      <c r="PAE75" s="164"/>
      <c r="PAF75" s="164"/>
      <c r="PAG75" s="164"/>
      <c r="PAH75" s="164"/>
      <c r="PAI75" s="164"/>
      <c r="PAJ75" s="164"/>
      <c r="PAK75" s="164"/>
      <c r="PAL75" s="164"/>
      <c r="PAM75" s="164"/>
      <c r="PAN75" s="164"/>
      <c r="PAO75" s="164"/>
      <c r="PAP75" s="164"/>
      <c r="PAQ75" s="164"/>
      <c r="PAR75" s="164"/>
      <c r="PAS75" s="164"/>
      <c r="PAT75" s="164"/>
      <c r="PAU75" s="164"/>
      <c r="PAV75" s="164"/>
      <c r="PAW75" s="164"/>
      <c r="PAX75" s="164"/>
      <c r="PAY75" s="164"/>
      <c r="PAZ75" s="164"/>
      <c r="PBA75" s="164"/>
      <c r="PBB75" s="164"/>
      <c r="PBC75" s="164"/>
      <c r="PBD75" s="164"/>
      <c r="PBE75" s="164"/>
      <c r="PBF75" s="164"/>
      <c r="PBG75" s="164"/>
      <c r="PBH75" s="164"/>
      <c r="PBI75" s="164"/>
      <c r="PBJ75" s="164"/>
      <c r="PBK75" s="164"/>
      <c r="PBL75" s="164"/>
      <c r="PBM75" s="164"/>
      <c r="PBN75" s="164"/>
      <c r="PBO75" s="164"/>
      <c r="PBP75" s="164"/>
      <c r="PBQ75" s="164"/>
      <c r="PBR75" s="164"/>
      <c r="PBS75" s="164"/>
      <c r="PBT75" s="164"/>
      <c r="PBU75" s="164"/>
      <c r="PBV75" s="164"/>
      <c r="PBW75" s="164"/>
      <c r="PBX75" s="164"/>
      <c r="PBY75" s="164"/>
      <c r="PBZ75" s="164"/>
      <c r="PCA75" s="164"/>
      <c r="PCB75" s="164"/>
      <c r="PCC75" s="164"/>
      <c r="PCD75" s="164"/>
      <c r="PCE75" s="164"/>
      <c r="PCF75" s="164"/>
      <c r="PCG75" s="164"/>
      <c r="PCH75" s="164"/>
      <c r="PCI75" s="164"/>
      <c r="PCJ75" s="164"/>
      <c r="PCK75" s="164"/>
      <c r="PCL75" s="164"/>
      <c r="PCM75" s="164"/>
      <c r="PCN75" s="164"/>
      <c r="PCO75" s="164"/>
      <c r="PCP75" s="164"/>
      <c r="PCQ75" s="164"/>
      <c r="PCR75" s="164"/>
      <c r="PCS75" s="164"/>
      <c r="PCT75" s="164"/>
      <c r="PCU75" s="164"/>
      <c r="PCV75" s="164"/>
      <c r="PCW75" s="164"/>
      <c r="PCX75" s="164"/>
      <c r="PCY75" s="164"/>
      <c r="PCZ75" s="164"/>
      <c r="PDA75" s="164"/>
      <c r="PDB75" s="164"/>
      <c r="PDC75" s="164"/>
      <c r="PDD75" s="164"/>
      <c r="PDE75" s="164"/>
      <c r="PDF75" s="164"/>
      <c r="PDG75" s="164"/>
      <c r="PDH75" s="164"/>
      <c r="PDI75" s="164"/>
      <c r="PDJ75" s="164"/>
      <c r="PDK75" s="164"/>
      <c r="PDL75" s="164"/>
      <c r="PDM75" s="164"/>
      <c r="PDN75" s="164"/>
      <c r="PDO75" s="164"/>
      <c r="PDP75" s="164"/>
      <c r="PDQ75" s="164"/>
      <c r="PDR75" s="164"/>
      <c r="PDS75" s="164"/>
      <c r="PDT75" s="164"/>
      <c r="PDU75" s="164"/>
      <c r="PDV75" s="164"/>
      <c r="PDW75" s="164"/>
      <c r="PDX75" s="164"/>
      <c r="PDY75" s="164"/>
      <c r="PDZ75" s="164"/>
      <c r="PEA75" s="164"/>
      <c r="PEB75" s="164"/>
      <c r="PEC75" s="164"/>
      <c r="PED75" s="164"/>
      <c r="PEE75" s="164"/>
      <c r="PEF75" s="164"/>
      <c r="PEG75" s="164"/>
      <c r="PEH75" s="164"/>
      <c r="PEI75" s="164"/>
      <c r="PEJ75" s="164"/>
      <c r="PEK75" s="164"/>
      <c r="PEL75" s="164"/>
      <c r="PEM75" s="164"/>
      <c r="PEN75" s="164"/>
      <c r="PEO75" s="164"/>
      <c r="PEP75" s="164"/>
      <c r="PEQ75" s="164"/>
      <c r="PER75" s="164"/>
      <c r="PES75" s="164"/>
      <c r="PET75" s="164"/>
      <c r="PEU75" s="164"/>
      <c r="PEV75" s="164"/>
      <c r="PEW75" s="164"/>
      <c r="PEX75" s="164"/>
      <c r="PEY75" s="164"/>
      <c r="PEZ75" s="164"/>
      <c r="PFA75" s="164"/>
      <c r="PFB75" s="164"/>
      <c r="PFC75" s="164"/>
      <c r="PFD75" s="164"/>
      <c r="PFE75" s="164"/>
      <c r="PFF75" s="164"/>
      <c r="PFG75" s="164"/>
      <c r="PFH75" s="164"/>
      <c r="PFI75" s="164"/>
      <c r="PFJ75" s="164"/>
      <c r="PFK75" s="164"/>
      <c r="PFL75" s="164"/>
      <c r="PFM75" s="164"/>
      <c r="PFN75" s="164"/>
      <c r="PFO75" s="164"/>
      <c r="PFP75" s="164"/>
      <c r="PFQ75" s="164"/>
      <c r="PFR75" s="164"/>
      <c r="PFS75" s="164"/>
      <c r="PFT75" s="164"/>
      <c r="PFU75" s="164"/>
      <c r="PFV75" s="164"/>
      <c r="PFW75" s="164"/>
      <c r="PFX75" s="164"/>
      <c r="PFY75" s="164"/>
      <c r="PFZ75" s="164"/>
      <c r="PGA75" s="164"/>
      <c r="PGB75" s="164"/>
      <c r="PGC75" s="164"/>
      <c r="PGD75" s="164"/>
      <c r="PGE75" s="164"/>
      <c r="PGF75" s="164"/>
      <c r="PGG75" s="164"/>
      <c r="PGH75" s="164"/>
      <c r="PGI75" s="164"/>
      <c r="PGJ75" s="164"/>
      <c r="PGK75" s="164"/>
      <c r="PGL75" s="164"/>
      <c r="PGM75" s="164"/>
      <c r="PGN75" s="164"/>
      <c r="PGO75" s="164"/>
      <c r="PGP75" s="164"/>
      <c r="PGQ75" s="164"/>
      <c r="PGR75" s="164"/>
      <c r="PGS75" s="164"/>
      <c r="PGT75" s="164"/>
      <c r="PGU75" s="164"/>
      <c r="PGV75" s="164"/>
      <c r="PGW75" s="164"/>
      <c r="PGX75" s="164"/>
      <c r="PGY75" s="164"/>
      <c r="PGZ75" s="164"/>
      <c r="PHA75" s="164"/>
      <c r="PHB75" s="164"/>
      <c r="PHC75" s="164"/>
      <c r="PHD75" s="164"/>
      <c r="PHE75" s="164"/>
      <c r="PHF75" s="164"/>
      <c r="PHG75" s="164"/>
      <c r="PHH75" s="164"/>
      <c r="PHI75" s="164"/>
      <c r="PHJ75" s="164"/>
      <c r="PHK75" s="164"/>
      <c r="PHL75" s="164"/>
      <c r="PHM75" s="164"/>
      <c r="PHN75" s="164"/>
      <c r="PHO75" s="164"/>
      <c r="PHP75" s="164"/>
      <c r="PHQ75" s="164"/>
      <c r="PHR75" s="164"/>
      <c r="PHS75" s="164"/>
      <c r="PHT75" s="164"/>
      <c r="PHU75" s="164"/>
      <c r="PHV75" s="164"/>
      <c r="PHW75" s="164"/>
      <c r="PHX75" s="164"/>
      <c r="PHY75" s="164"/>
      <c r="PHZ75" s="164"/>
      <c r="PIA75" s="164"/>
      <c r="PIB75" s="164"/>
      <c r="PIC75" s="164"/>
      <c r="PID75" s="164"/>
      <c r="PIE75" s="164"/>
      <c r="PIF75" s="164"/>
      <c r="PIG75" s="164"/>
      <c r="PIH75" s="164"/>
      <c r="PII75" s="164"/>
      <c r="PIJ75" s="164"/>
      <c r="PIK75" s="164"/>
      <c r="PIL75" s="164"/>
      <c r="PIM75" s="164"/>
      <c r="PIN75" s="164"/>
      <c r="PIO75" s="164"/>
      <c r="PIP75" s="164"/>
      <c r="PIQ75" s="164"/>
      <c r="PIR75" s="164"/>
      <c r="PIS75" s="164"/>
      <c r="PIT75" s="164"/>
      <c r="PIU75" s="164"/>
      <c r="PIV75" s="164"/>
      <c r="PIW75" s="164"/>
      <c r="PIX75" s="164"/>
      <c r="PIY75" s="164"/>
      <c r="PIZ75" s="164"/>
      <c r="PJA75" s="164"/>
      <c r="PJB75" s="164"/>
      <c r="PJC75" s="164"/>
      <c r="PJD75" s="164"/>
      <c r="PJE75" s="164"/>
      <c r="PJF75" s="164"/>
      <c r="PJG75" s="164"/>
      <c r="PJH75" s="164"/>
      <c r="PJI75" s="164"/>
      <c r="PJJ75" s="164"/>
      <c r="PJK75" s="164"/>
      <c r="PJL75" s="164"/>
      <c r="PJM75" s="164"/>
      <c r="PJN75" s="164"/>
      <c r="PJO75" s="164"/>
      <c r="PJP75" s="164"/>
      <c r="PJQ75" s="164"/>
      <c r="PJR75" s="164"/>
      <c r="PJS75" s="164"/>
      <c r="PJT75" s="164"/>
      <c r="PJU75" s="164"/>
      <c r="PJV75" s="164"/>
      <c r="PJW75" s="164"/>
      <c r="PJX75" s="164"/>
      <c r="PJY75" s="164"/>
      <c r="PJZ75" s="164"/>
      <c r="PKA75" s="164"/>
      <c r="PKB75" s="164"/>
      <c r="PKC75" s="164"/>
      <c r="PKD75" s="164"/>
      <c r="PKE75" s="164"/>
      <c r="PKF75" s="164"/>
      <c r="PKG75" s="164"/>
      <c r="PKH75" s="164"/>
      <c r="PKI75" s="164"/>
      <c r="PKJ75" s="164"/>
      <c r="PKK75" s="164"/>
      <c r="PKL75" s="164"/>
      <c r="PKM75" s="164"/>
      <c r="PKN75" s="164"/>
      <c r="PKO75" s="164"/>
      <c r="PKP75" s="164"/>
      <c r="PKQ75" s="164"/>
      <c r="PKR75" s="164"/>
      <c r="PKS75" s="164"/>
      <c r="PKT75" s="164"/>
      <c r="PKU75" s="164"/>
      <c r="PKV75" s="164"/>
      <c r="PKW75" s="164"/>
      <c r="PKX75" s="164"/>
      <c r="PKY75" s="164"/>
      <c r="PKZ75" s="164"/>
      <c r="PLA75" s="164"/>
      <c r="PLB75" s="164"/>
      <c r="PLC75" s="164"/>
      <c r="PLD75" s="164"/>
      <c r="PLE75" s="164"/>
      <c r="PLF75" s="164"/>
      <c r="PLG75" s="164"/>
      <c r="PLH75" s="164"/>
      <c r="PLI75" s="164"/>
      <c r="PLJ75" s="164"/>
      <c r="PLK75" s="164"/>
      <c r="PLL75" s="164"/>
      <c r="PLM75" s="164"/>
      <c r="PLN75" s="164"/>
      <c r="PLO75" s="164"/>
      <c r="PLP75" s="164"/>
      <c r="PLQ75" s="164"/>
      <c r="PLR75" s="164"/>
      <c r="PLS75" s="164"/>
      <c r="PLT75" s="164"/>
      <c r="PLU75" s="164"/>
      <c r="PLV75" s="164"/>
      <c r="PLW75" s="164"/>
      <c r="PLX75" s="164"/>
      <c r="PLY75" s="164"/>
      <c r="PLZ75" s="164"/>
      <c r="PMA75" s="164"/>
      <c r="PMB75" s="164"/>
      <c r="PMC75" s="164"/>
      <c r="PMD75" s="164"/>
      <c r="PME75" s="164"/>
      <c r="PMF75" s="164"/>
      <c r="PMG75" s="164"/>
      <c r="PMH75" s="164"/>
      <c r="PMI75" s="164"/>
      <c r="PMJ75" s="164"/>
      <c r="PMK75" s="164"/>
      <c r="PML75" s="164"/>
      <c r="PMM75" s="164"/>
      <c r="PMN75" s="164"/>
      <c r="PMO75" s="164"/>
      <c r="PMP75" s="164"/>
      <c r="PMQ75" s="164"/>
      <c r="PMR75" s="164"/>
      <c r="PMS75" s="164"/>
      <c r="PMT75" s="164"/>
      <c r="PMU75" s="164"/>
      <c r="PMV75" s="164"/>
      <c r="PMW75" s="164"/>
      <c r="PMX75" s="164"/>
      <c r="PMY75" s="164"/>
      <c r="PMZ75" s="164"/>
      <c r="PNA75" s="164"/>
      <c r="PNB75" s="164"/>
      <c r="PNC75" s="164"/>
      <c r="PND75" s="164"/>
      <c r="PNE75" s="164"/>
      <c r="PNF75" s="164"/>
      <c r="PNG75" s="164"/>
      <c r="PNH75" s="164"/>
      <c r="PNI75" s="164"/>
      <c r="PNJ75" s="164"/>
      <c r="PNK75" s="164"/>
      <c r="PNL75" s="164"/>
      <c r="PNM75" s="164"/>
      <c r="PNN75" s="164"/>
      <c r="PNO75" s="164"/>
      <c r="PNP75" s="164"/>
      <c r="PNQ75" s="164"/>
      <c r="PNR75" s="164"/>
      <c r="PNS75" s="164"/>
      <c r="PNT75" s="164"/>
      <c r="PNU75" s="164"/>
      <c r="PNV75" s="164"/>
      <c r="PNW75" s="164"/>
      <c r="PNX75" s="164"/>
      <c r="PNY75" s="164"/>
      <c r="PNZ75" s="164"/>
      <c r="POA75" s="164"/>
      <c r="POB75" s="164"/>
      <c r="POC75" s="164"/>
      <c r="POD75" s="164"/>
      <c r="POE75" s="164"/>
      <c r="POF75" s="164"/>
      <c r="POG75" s="164"/>
      <c r="POH75" s="164"/>
      <c r="POI75" s="164"/>
      <c r="POJ75" s="164"/>
      <c r="POK75" s="164"/>
      <c r="POL75" s="164"/>
      <c r="POM75" s="164"/>
      <c r="PON75" s="164"/>
      <c r="POO75" s="164"/>
      <c r="POP75" s="164"/>
      <c r="POQ75" s="164"/>
      <c r="POR75" s="164"/>
      <c r="POS75" s="164"/>
      <c r="POT75" s="164"/>
      <c r="POU75" s="164"/>
      <c r="POV75" s="164"/>
      <c r="POW75" s="164"/>
      <c r="POX75" s="164"/>
      <c r="POY75" s="164"/>
      <c r="POZ75" s="164"/>
      <c r="PPA75" s="164"/>
      <c r="PPB75" s="164"/>
      <c r="PPC75" s="164"/>
      <c r="PPD75" s="164"/>
      <c r="PPE75" s="164"/>
      <c r="PPF75" s="164"/>
      <c r="PPG75" s="164"/>
      <c r="PPH75" s="164"/>
      <c r="PPI75" s="164"/>
      <c r="PPJ75" s="164"/>
      <c r="PPK75" s="164"/>
      <c r="PPL75" s="164"/>
      <c r="PPM75" s="164"/>
      <c r="PPN75" s="164"/>
      <c r="PPO75" s="164"/>
      <c r="PPP75" s="164"/>
      <c r="PPQ75" s="164"/>
      <c r="PPR75" s="164"/>
      <c r="PPS75" s="164"/>
      <c r="PPT75" s="164"/>
      <c r="PPU75" s="164"/>
      <c r="PPV75" s="164"/>
      <c r="PPW75" s="164"/>
      <c r="PPX75" s="164"/>
      <c r="PPY75" s="164"/>
      <c r="PPZ75" s="164"/>
      <c r="PQA75" s="164"/>
      <c r="PQB75" s="164"/>
      <c r="PQC75" s="164"/>
      <c r="PQD75" s="164"/>
      <c r="PQE75" s="164"/>
      <c r="PQF75" s="164"/>
      <c r="PQG75" s="164"/>
      <c r="PQH75" s="164"/>
      <c r="PQI75" s="164"/>
      <c r="PQJ75" s="164"/>
      <c r="PQK75" s="164"/>
      <c r="PQL75" s="164"/>
      <c r="PQM75" s="164"/>
      <c r="PQN75" s="164"/>
      <c r="PQO75" s="164"/>
      <c r="PQP75" s="164"/>
      <c r="PQQ75" s="164"/>
      <c r="PQR75" s="164"/>
      <c r="PQS75" s="164"/>
      <c r="PQT75" s="164"/>
      <c r="PQU75" s="164"/>
      <c r="PQV75" s="164"/>
      <c r="PQW75" s="164"/>
      <c r="PQX75" s="164"/>
      <c r="PQY75" s="164"/>
      <c r="PQZ75" s="164"/>
      <c r="PRA75" s="164"/>
      <c r="PRB75" s="164"/>
      <c r="PRC75" s="164"/>
      <c r="PRD75" s="164"/>
      <c r="PRE75" s="164"/>
      <c r="PRF75" s="164"/>
      <c r="PRG75" s="164"/>
      <c r="PRH75" s="164"/>
      <c r="PRI75" s="164"/>
      <c r="PRJ75" s="164"/>
      <c r="PRK75" s="164"/>
      <c r="PRL75" s="164"/>
      <c r="PRM75" s="164"/>
      <c r="PRN75" s="164"/>
      <c r="PRO75" s="164"/>
      <c r="PRP75" s="164"/>
      <c r="PRQ75" s="164"/>
      <c r="PRR75" s="164"/>
      <c r="PRS75" s="164"/>
      <c r="PRT75" s="164"/>
      <c r="PRU75" s="164"/>
      <c r="PRV75" s="164"/>
      <c r="PRW75" s="164"/>
      <c r="PRX75" s="164"/>
      <c r="PRY75" s="164"/>
      <c r="PRZ75" s="164"/>
      <c r="PSA75" s="164"/>
      <c r="PSB75" s="164"/>
      <c r="PSC75" s="164"/>
      <c r="PSD75" s="164"/>
      <c r="PSE75" s="164"/>
      <c r="PSF75" s="164"/>
      <c r="PSG75" s="164"/>
      <c r="PSH75" s="164"/>
      <c r="PSI75" s="164"/>
      <c r="PSJ75" s="164"/>
      <c r="PSK75" s="164"/>
      <c r="PSL75" s="164"/>
      <c r="PSM75" s="164"/>
      <c r="PSN75" s="164"/>
      <c r="PSO75" s="164"/>
      <c r="PSP75" s="164"/>
      <c r="PSQ75" s="164"/>
      <c r="PSR75" s="164"/>
      <c r="PSS75" s="164"/>
      <c r="PST75" s="164"/>
      <c r="PSU75" s="164"/>
      <c r="PSV75" s="164"/>
      <c r="PSW75" s="164"/>
      <c r="PSX75" s="164"/>
      <c r="PSY75" s="164"/>
      <c r="PSZ75" s="164"/>
      <c r="PTA75" s="164"/>
      <c r="PTB75" s="164"/>
      <c r="PTC75" s="164"/>
      <c r="PTD75" s="164"/>
      <c r="PTE75" s="164"/>
      <c r="PTF75" s="164"/>
      <c r="PTG75" s="164"/>
      <c r="PTH75" s="164"/>
      <c r="PTI75" s="164"/>
      <c r="PTJ75" s="164"/>
      <c r="PTK75" s="164"/>
      <c r="PTL75" s="164"/>
      <c r="PTM75" s="164"/>
      <c r="PTN75" s="164"/>
      <c r="PTO75" s="164"/>
      <c r="PTP75" s="164"/>
      <c r="PTQ75" s="164"/>
      <c r="PTR75" s="164"/>
      <c r="PTS75" s="164"/>
      <c r="PTT75" s="164"/>
      <c r="PTU75" s="164"/>
      <c r="PTV75" s="164"/>
      <c r="PTW75" s="164"/>
      <c r="PTX75" s="164"/>
      <c r="PTY75" s="164"/>
      <c r="PTZ75" s="164"/>
      <c r="PUA75" s="164"/>
      <c r="PUB75" s="164"/>
      <c r="PUC75" s="164"/>
      <c r="PUD75" s="164"/>
      <c r="PUE75" s="164"/>
      <c r="PUF75" s="164"/>
      <c r="PUG75" s="164"/>
      <c r="PUH75" s="164"/>
      <c r="PUI75" s="164"/>
      <c r="PUJ75" s="164"/>
      <c r="PUK75" s="164"/>
      <c r="PUL75" s="164"/>
      <c r="PUM75" s="164"/>
      <c r="PUN75" s="164"/>
      <c r="PUO75" s="164"/>
      <c r="PUP75" s="164"/>
      <c r="PUQ75" s="164"/>
      <c r="PUR75" s="164"/>
      <c r="PUS75" s="164"/>
      <c r="PUT75" s="164"/>
      <c r="PUU75" s="164"/>
      <c r="PUV75" s="164"/>
      <c r="PUW75" s="164"/>
      <c r="PUX75" s="164"/>
      <c r="PUY75" s="164"/>
      <c r="PUZ75" s="164"/>
      <c r="PVA75" s="164"/>
      <c r="PVB75" s="164"/>
      <c r="PVC75" s="164"/>
      <c r="PVD75" s="164"/>
      <c r="PVE75" s="164"/>
      <c r="PVF75" s="164"/>
      <c r="PVG75" s="164"/>
      <c r="PVH75" s="164"/>
      <c r="PVI75" s="164"/>
      <c r="PVJ75" s="164"/>
      <c r="PVK75" s="164"/>
      <c r="PVL75" s="164"/>
      <c r="PVM75" s="164"/>
      <c r="PVN75" s="164"/>
      <c r="PVO75" s="164"/>
      <c r="PVP75" s="164"/>
      <c r="PVQ75" s="164"/>
      <c r="PVR75" s="164"/>
      <c r="PVS75" s="164"/>
      <c r="PVT75" s="164"/>
      <c r="PVU75" s="164"/>
      <c r="PVV75" s="164"/>
      <c r="PVW75" s="164"/>
      <c r="PVX75" s="164"/>
      <c r="PVY75" s="164"/>
      <c r="PVZ75" s="164"/>
      <c r="PWA75" s="164"/>
      <c r="PWB75" s="164"/>
      <c r="PWC75" s="164"/>
      <c r="PWD75" s="164"/>
      <c r="PWE75" s="164"/>
      <c r="PWF75" s="164"/>
      <c r="PWG75" s="164"/>
      <c r="PWH75" s="164"/>
      <c r="PWI75" s="164"/>
      <c r="PWJ75" s="164"/>
      <c r="PWK75" s="164"/>
      <c r="PWL75" s="164"/>
      <c r="PWM75" s="164"/>
      <c r="PWN75" s="164"/>
      <c r="PWO75" s="164"/>
      <c r="PWP75" s="164"/>
      <c r="PWQ75" s="164"/>
      <c r="PWR75" s="164"/>
      <c r="PWS75" s="164"/>
      <c r="PWT75" s="164"/>
      <c r="PWU75" s="164"/>
      <c r="PWV75" s="164"/>
      <c r="PWW75" s="164"/>
      <c r="PWX75" s="164"/>
      <c r="PWY75" s="164"/>
      <c r="PWZ75" s="164"/>
      <c r="PXA75" s="164"/>
      <c r="PXB75" s="164"/>
      <c r="PXC75" s="164"/>
      <c r="PXD75" s="164"/>
      <c r="PXE75" s="164"/>
      <c r="PXF75" s="164"/>
      <c r="PXG75" s="164"/>
      <c r="PXH75" s="164"/>
      <c r="PXI75" s="164"/>
      <c r="PXJ75" s="164"/>
      <c r="PXK75" s="164"/>
      <c r="PXL75" s="164"/>
      <c r="PXM75" s="164"/>
      <c r="PXN75" s="164"/>
      <c r="PXO75" s="164"/>
      <c r="PXP75" s="164"/>
      <c r="PXQ75" s="164"/>
      <c r="PXR75" s="164"/>
      <c r="PXS75" s="164"/>
      <c r="PXT75" s="164"/>
      <c r="PXU75" s="164"/>
      <c r="PXV75" s="164"/>
      <c r="PXW75" s="164"/>
      <c r="PXX75" s="164"/>
      <c r="PXY75" s="164"/>
      <c r="PXZ75" s="164"/>
      <c r="PYA75" s="164"/>
      <c r="PYB75" s="164"/>
      <c r="PYC75" s="164"/>
      <c r="PYD75" s="164"/>
      <c r="PYE75" s="164"/>
      <c r="PYF75" s="164"/>
      <c r="PYG75" s="164"/>
      <c r="PYH75" s="164"/>
      <c r="PYI75" s="164"/>
      <c r="PYJ75" s="164"/>
      <c r="PYK75" s="164"/>
      <c r="PYL75" s="164"/>
      <c r="PYM75" s="164"/>
      <c r="PYN75" s="164"/>
      <c r="PYO75" s="164"/>
      <c r="PYP75" s="164"/>
      <c r="PYQ75" s="164"/>
      <c r="PYR75" s="164"/>
      <c r="PYS75" s="164"/>
      <c r="PYT75" s="164"/>
      <c r="PYU75" s="164"/>
      <c r="PYV75" s="164"/>
      <c r="PYW75" s="164"/>
      <c r="PYX75" s="164"/>
      <c r="PYY75" s="164"/>
      <c r="PYZ75" s="164"/>
      <c r="PZA75" s="164"/>
      <c r="PZB75" s="164"/>
      <c r="PZC75" s="164"/>
      <c r="PZD75" s="164"/>
      <c r="PZE75" s="164"/>
      <c r="PZF75" s="164"/>
      <c r="PZG75" s="164"/>
      <c r="PZH75" s="164"/>
      <c r="PZI75" s="164"/>
      <c r="PZJ75" s="164"/>
      <c r="PZK75" s="164"/>
      <c r="PZL75" s="164"/>
      <c r="PZM75" s="164"/>
      <c r="PZN75" s="164"/>
      <c r="PZO75" s="164"/>
      <c r="PZP75" s="164"/>
      <c r="PZQ75" s="164"/>
      <c r="PZR75" s="164"/>
      <c r="PZS75" s="164"/>
      <c r="PZT75" s="164"/>
      <c r="PZU75" s="164"/>
      <c r="PZV75" s="164"/>
      <c r="PZW75" s="164"/>
      <c r="PZX75" s="164"/>
      <c r="PZY75" s="164"/>
      <c r="PZZ75" s="164"/>
      <c r="QAA75" s="164"/>
      <c r="QAB75" s="164"/>
      <c r="QAC75" s="164"/>
      <c r="QAD75" s="164"/>
      <c r="QAE75" s="164"/>
      <c r="QAF75" s="164"/>
      <c r="QAG75" s="164"/>
      <c r="QAH75" s="164"/>
      <c r="QAI75" s="164"/>
      <c r="QAJ75" s="164"/>
      <c r="QAK75" s="164"/>
      <c r="QAL75" s="164"/>
      <c r="QAM75" s="164"/>
      <c r="QAN75" s="164"/>
      <c r="QAO75" s="164"/>
      <c r="QAP75" s="164"/>
      <c r="QAQ75" s="164"/>
      <c r="QAR75" s="164"/>
      <c r="QAS75" s="164"/>
      <c r="QAT75" s="164"/>
      <c r="QAU75" s="164"/>
      <c r="QAV75" s="164"/>
      <c r="QAW75" s="164"/>
      <c r="QAX75" s="164"/>
      <c r="QAY75" s="164"/>
      <c r="QAZ75" s="164"/>
      <c r="QBA75" s="164"/>
      <c r="QBB75" s="164"/>
      <c r="QBC75" s="164"/>
      <c r="QBD75" s="164"/>
      <c r="QBE75" s="164"/>
      <c r="QBF75" s="164"/>
      <c r="QBG75" s="164"/>
      <c r="QBH75" s="164"/>
      <c r="QBI75" s="164"/>
      <c r="QBJ75" s="164"/>
      <c r="QBK75" s="164"/>
      <c r="QBL75" s="164"/>
      <c r="QBM75" s="164"/>
      <c r="QBN75" s="164"/>
      <c r="QBO75" s="164"/>
      <c r="QBP75" s="164"/>
      <c r="QBQ75" s="164"/>
      <c r="QBR75" s="164"/>
      <c r="QBS75" s="164"/>
      <c r="QBT75" s="164"/>
      <c r="QBU75" s="164"/>
      <c r="QBV75" s="164"/>
      <c r="QBW75" s="164"/>
      <c r="QBX75" s="164"/>
      <c r="QBY75" s="164"/>
      <c r="QBZ75" s="164"/>
      <c r="QCA75" s="164"/>
      <c r="QCB75" s="164"/>
      <c r="QCC75" s="164"/>
      <c r="QCD75" s="164"/>
      <c r="QCE75" s="164"/>
      <c r="QCF75" s="164"/>
      <c r="QCG75" s="164"/>
      <c r="QCH75" s="164"/>
      <c r="QCI75" s="164"/>
      <c r="QCJ75" s="164"/>
      <c r="QCK75" s="164"/>
      <c r="QCL75" s="164"/>
      <c r="QCM75" s="164"/>
      <c r="QCN75" s="164"/>
      <c r="QCO75" s="164"/>
      <c r="QCP75" s="164"/>
      <c r="QCQ75" s="164"/>
      <c r="QCR75" s="164"/>
      <c r="QCS75" s="164"/>
      <c r="QCT75" s="164"/>
      <c r="QCU75" s="164"/>
      <c r="QCV75" s="164"/>
      <c r="QCW75" s="164"/>
      <c r="QCX75" s="164"/>
      <c r="QCY75" s="164"/>
      <c r="QCZ75" s="164"/>
      <c r="QDA75" s="164"/>
      <c r="QDB75" s="164"/>
      <c r="QDC75" s="164"/>
      <c r="QDD75" s="164"/>
      <c r="QDE75" s="164"/>
      <c r="QDF75" s="164"/>
      <c r="QDG75" s="164"/>
      <c r="QDH75" s="164"/>
      <c r="QDI75" s="164"/>
      <c r="QDJ75" s="164"/>
      <c r="QDK75" s="164"/>
      <c r="QDL75" s="164"/>
      <c r="QDM75" s="164"/>
      <c r="QDN75" s="164"/>
      <c r="QDO75" s="164"/>
      <c r="QDP75" s="164"/>
      <c r="QDQ75" s="164"/>
      <c r="QDR75" s="164"/>
      <c r="QDS75" s="164"/>
      <c r="QDT75" s="164"/>
      <c r="QDU75" s="164"/>
      <c r="QDV75" s="164"/>
      <c r="QDW75" s="164"/>
      <c r="QDX75" s="164"/>
      <c r="QDY75" s="164"/>
      <c r="QDZ75" s="164"/>
      <c r="QEA75" s="164"/>
      <c r="QEB75" s="164"/>
      <c r="QEC75" s="164"/>
      <c r="QED75" s="164"/>
      <c r="QEE75" s="164"/>
      <c r="QEF75" s="164"/>
      <c r="QEG75" s="164"/>
      <c r="QEH75" s="164"/>
      <c r="QEI75" s="164"/>
      <c r="QEJ75" s="164"/>
      <c r="QEK75" s="164"/>
      <c r="QEL75" s="164"/>
      <c r="QEM75" s="164"/>
      <c r="QEN75" s="164"/>
      <c r="QEO75" s="164"/>
      <c r="QEP75" s="164"/>
      <c r="QEQ75" s="164"/>
      <c r="QER75" s="164"/>
      <c r="QES75" s="164"/>
      <c r="QET75" s="164"/>
      <c r="QEU75" s="164"/>
      <c r="QEV75" s="164"/>
      <c r="QEW75" s="164"/>
      <c r="QEX75" s="164"/>
      <c r="QEY75" s="164"/>
      <c r="QEZ75" s="164"/>
      <c r="QFA75" s="164"/>
      <c r="QFB75" s="164"/>
      <c r="QFC75" s="164"/>
      <c r="QFD75" s="164"/>
      <c r="QFE75" s="164"/>
      <c r="QFF75" s="164"/>
      <c r="QFG75" s="164"/>
      <c r="QFH75" s="164"/>
      <c r="QFI75" s="164"/>
      <c r="QFJ75" s="164"/>
      <c r="QFK75" s="164"/>
      <c r="QFL75" s="164"/>
      <c r="QFM75" s="164"/>
      <c r="QFN75" s="164"/>
      <c r="QFO75" s="164"/>
      <c r="QFP75" s="164"/>
      <c r="QFQ75" s="164"/>
      <c r="QFR75" s="164"/>
      <c r="QFS75" s="164"/>
      <c r="QFT75" s="164"/>
      <c r="QFU75" s="164"/>
      <c r="QFV75" s="164"/>
      <c r="QFW75" s="164"/>
      <c r="QFX75" s="164"/>
      <c r="QFY75" s="164"/>
      <c r="QFZ75" s="164"/>
      <c r="QGA75" s="164"/>
      <c r="QGB75" s="164"/>
      <c r="QGC75" s="164"/>
      <c r="QGD75" s="164"/>
      <c r="QGE75" s="164"/>
      <c r="QGF75" s="164"/>
      <c r="QGG75" s="164"/>
      <c r="QGH75" s="164"/>
      <c r="QGI75" s="164"/>
      <c r="QGJ75" s="164"/>
      <c r="QGK75" s="164"/>
      <c r="QGL75" s="164"/>
      <c r="QGM75" s="164"/>
      <c r="QGN75" s="164"/>
      <c r="QGO75" s="164"/>
      <c r="QGP75" s="164"/>
      <c r="QGQ75" s="164"/>
      <c r="QGR75" s="164"/>
      <c r="QGS75" s="164"/>
      <c r="QGT75" s="164"/>
      <c r="QGU75" s="164"/>
      <c r="QGV75" s="164"/>
      <c r="QGW75" s="164"/>
      <c r="QGX75" s="164"/>
      <c r="QGY75" s="164"/>
      <c r="QGZ75" s="164"/>
      <c r="QHA75" s="164"/>
      <c r="QHB75" s="164"/>
      <c r="QHC75" s="164"/>
      <c r="QHD75" s="164"/>
      <c r="QHE75" s="164"/>
      <c r="QHF75" s="164"/>
      <c r="QHG75" s="164"/>
      <c r="QHH75" s="164"/>
      <c r="QHI75" s="164"/>
      <c r="QHJ75" s="164"/>
      <c r="QHK75" s="164"/>
      <c r="QHL75" s="164"/>
      <c r="QHM75" s="164"/>
      <c r="QHN75" s="164"/>
      <c r="QHO75" s="164"/>
      <c r="QHP75" s="164"/>
      <c r="QHQ75" s="164"/>
      <c r="QHR75" s="164"/>
      <c r="QHS75" s="164"/>
      <c r="QHT75" s="164"/>
      <c r="QHU75" s="164"/>
      <c r="QHV75" s="164"/>
      <c r="QHW75" s="164"/>
      <c r="QHX75" s="164"/>
      <c r="QHY75" s="164"/>
      <c r="QHZ75" s="164"/>
      <c r="QIA75" s="164"/>
      <c r="QIB75" s="164"/>
      <c r="QIC75" s="164"/>
      <c r="QID75" s="164"/>
      <c r="QIE75" s="164"/>
      <c r="QIF75" s="164"/>
      <c r="QIG75" s="164"/>
      <c r="QIH75" s="164"/>
      <c r="QII75" s="164"/>
      <c r="QIJ75" s="164"/>
      <c r="QIK75" s="164"/>
      <c r="QIL75" s="164"/>
      <c r="QIM75" s="164"/>
      <c r="QIN75" s="164"/>
      <c r="QIO75" s="164"/>
      <c r="QIP75" s="164"/>
      <c r="QIQ75" s="164"/>
      <c r="QIR75" s="164"/>
      <c r="QIS75" s="164"/>
      <c r="QIT75" s="164"/>
      <c r="QIU75" s="164"/>
      <c r="QIV75" s="164"/>
      <c r="QIW75" s="164"/>
      <c r="QIX75" s="164"/>
      <c r="QIY75" s="164"/>
      <c r="QIZ75" s="164"/>
      <c r="QJA75" s="164"/>
      <c r="QJB75" s="164"/>
      <c r="QJC75" s="164"/>
      <c r="QJD75" s="164"/>
      <c r="QJE75" s="164"/>
      <c r="QJF75" s="164"/>
      <c r="QJG75" s="164"/>
      <c r="QJH75" s="164"/>
      <c r="QJI75" s="164"/>
      <c r="QJJ75" s="164"/>
      <c r="QJK75" s="164"/>
      <c r="QJL75" s="164"/>
      <c r="QJM75" s="164"/>
      <c r="QJN75" s="164"/>
      <c r="QJO75" s="164"/>
      <c r="QJP75" s="164"/>
      <c r="QJQ75" s="164"/>
      <c r="QJR75" s="164"/>
      <c r="QJS75" s="164"/>
      <c r="QJT75" s="164"/>
      <c r="QJU75" s="164"/>
      <c r="QJV75" s="164"/>
      <c r="QJW75" s="164"/>
      <c r="QJX75" s="164"/>
      <c r="QJY75" s="164"/>
      <c r="QJZ75" s="164"/>
      <c r="QKA75" s="164"/>
      <c r="QKB75" s="164"/>
      <c r="QKC75" s="164"/>
      <c r="QKD75" s="164"/>
      <c r="QKE75" s="164"/>
      <c r="QKF75" s="164"/>
      <c r="QKG75" s="164"/>
      <c r="QKH75" s="164"/>
      <c r="QKI75" s="164"/>
      <c r="QKJ75" s="164"/>
      <c r="QKK75" s="164"/>
      <c r="QKL75" s="164"/>
      <c r="QKM75" s="164"/>
      <c r="QKN75" s="164"/>
      <c r="QKO75" s="164"/>
      <c r="QKP75" s="164"/>
      <c r="QKQ75" s="164"/>
      <c r="QKR75" s="164"/>
      <c r="QKS75" s="164"/>
      <c r="QKT75" s="164"/>
      <c r="QKU75" s="164"/>
      <c r="QKV75" s="164"/>
      <c r="QKW75" s="164"/>
      <c r="QKX75" s="164"/>
      <c r="QKY75" s="164"/>
      <c r="QKZ75" s="164"/>
      <c r="QLA75" s="164"/>
      <c r="QLB75" s="164"/>
      <c r="QLC75" s="164"/>
      <c r="QLD75" s="164"/>
      <c r="QLE75" s="164"/>
      <c r="QLF75" s="164"/>
      <c r="QLG75" s="164"/>
      <c r="QLH75" s="164"/>
      <c r="QLI75" s="164"/>
      <c r="QLJ75" s="164"/>
      <c r="QLK75" s="164"/>
      <c r="QLL75" s="164"/>
      <c r="QLM75" s="164"/>
      <c r="QLN75" s="164"/>
      <c r="QLO75" s="164"/>
      <c r="QLP75" s="164"/>
      <c r="QLQ75" s="164"/>
      <c r="QLR75" s="164"/>
      <c r="QLS75" s="164"/>
      <c r="QLT75" s="164"/>
      <c r="QLU75" s="164"/>
      <c r="QLV75" s="164"/>
      <c r="QLW75" s="164"/>
      <c r="QLX75" s="164"/>
      <c r="QLY75" s="164"/>
      <c r="QLZ75" s="164"/>
      <c r="QMA75" s="164"/>
      <c r="QMB75" s="164"/>
      <c r="QMC75" s="164"/>
      <c r="QMD75" s="164"/>
      <c r="QME75" s="164"/>
      <c r="QMF75" s="164"/>
      <c r="QMG75" s="164"/>
      <c r="QMH75" s="164"/>
      <c r="QMI75" s="164"/>
      <c r="QMJ75" s="164"/>
      <c r="QMK75" s="164"/>
      <c r="QML75" s="164"/>
      <c r="QMM75" s="164"/>
      <c r="QMN75" s="164"/>
      <c r="QMO75" s="164"/>
      <c r="QMP75" s="164"/>
      <c r="QMQ75" s="164"/>
      <c r="QMR75" s="164"/>
      <c r="QMS75" s="164"/>
      <c r="QMT75" s="164"/>
      <c r="QMU75" s="164"/>
      <c r="QMV75" s="164"/>
      <c r="QMW75" s="164"/>
      <c r="QMX75" s="164"/>
      <c r="QMY75" s="164"/>
      <c r="QMZ75" s="164"/>
      <c r="QNA75" s="164"/>
      <c r="QNB75" s="164"/>
      <c r="QNC75" s="164"/>
      <c r="QND75" s="164"/>
      <c r="QNE75" s="164"/>
      <c r="QNF75" s="164"/>
      <c r="QNG75" s="164"/>
      <c r="QNH75" s="164"/>
      <c r="QNI75" s="164"/>
      <c r="QNJ75" s="164"/>
      <c r="QNK75" s="164"/>
      <c r="QNL75" s="164"/>
      <c r="QNM75" s="164"/>
      <c r="QNN75" s="164"/>
      <c r="QNO75" s="164"/>
      <c r="QNP75" s="164"/>
      <c r="QNQ75" s="164"/>
      <c r="QNR75" s="164"/>
      <c r="QNS75" s="164"/>
      <c r="QNT75" s="164"/>
      <c r="QNU75" s="164"/>
      <c r="QNV75" s="164"/>
      <c r="QNW75" s="164"/>
      <c r="QNX75" s="164"/>
      <c r="QNY75" s="164"/>
      <c r="QNZ75" s="164"/>
      <c r="QOA75" s="164"/>
      <c r="QOB75" s="164"/>
      <c r="QOC75" s="164"/>
      <c r="QOD75" s="164"/>
      <c r="QOE75" s="164"/>
      <c r="QOF75" s="164"/>
      <c r="QOG75" s="164"/>
      <c r="QOH75" s="164"/>
      <c r="QOI75" s="164"/>
      <c r="QOJ75" s="164"/>
      <c r="QOK75" s="164"/>
      <c r="QOL75" s="164"/>
      <c r="QOM75" s="164"/>
      <c r="QON75" s="164"/>
      <c r="QOO75" s="164"/>
      <c r="QOP75" s="164"/>
      <c r="QOQ75" s="164"/>
      <c r="QOR75" s="164"/>
      <c r="QOS75" s="164"/>
      <c r="QOT75" s="164"/>
      <c r="QOU75" s="164"/>
      <c r="QOV75" s="164"/>
      <c r="QOW75" s="164"/>
      <c r="QOX75" s="164"/>
      <c r="QOY75" s="164"/>
      <c r="QOZ75" s="164"/>
      <c r="QPA75" s="164"/>
      <c r="QPB75" s="164"/>
      <c r="QPC75" s="164"/>
      <c r="QPD75" s="164"/>
      <c r="QPE75" s="164"/>
      <c r="QPF75" s="164"/>
      <c r="QPG75" s="164"/>
      <c r="QPH75" s="164"/>
      <c r="QPI75" s="164"/>
      <c r="QPJ75" s="164"/>
      <c r="QPK75" s="164"/>
      <c r="QPL75" s="164"/>
      <c r="QPM75" s="164"/>
      <c r="QPN75" s="164"/>
      <c r="QPO75" s="164"/>
      <c r="QPP75" s="164"/>
      <c r="QPQ75" s="164"/>
      <c r="QPR75" s="164"/>
      <c r="QPS75" s="164"/>
      <c r="QPT75" s="164"/>
      <c r="QPU75" s="164"/>
      <c r="QPV75" s="164"/>
      <c r="QPW75" s="164"/>
      <c r="QPX75" s="164"/>
      <c r="QPY75" s="164"/>
      <c r="QPZ75" s="164"/>
      <c r="QQA75" s="164"/>
      <c r="QQB75" s="164"/>
      <c r="QQC75" s="164"/>
      <c r="QQD75" s="164"/>
      <c r="QQE75" s="164"/>
      <c r="QQF75" s="164"/>
      <c r="QQG75" s="164"/>
      <c r="QQH75" s="164"/>
      <c r="QQI75" s="164"/>
      <c r="QQJ75" s="164"/>
      <c r="QQK75" s="164"/>
      <c r="QQL75" s="164"/>
      <c r="QQM75" s="164"/>
      <c r="QQN75" s="164"/>
      <c r="QQO75" s="164"/>
      <c r="QQP75" s="164"/>
      <c r="QQQ75" s="164"/>
      <c r="QQR75" s="164"/>
      <c r="QQS75" s="164"/>
      <c r="QQT75" s="164"/>
      <c r="QQU75" s="164"/>
      <c r="QQV75" s="164"/>
      <c r="QQW75" s="164"/>
      <c r="QQX75" s="164"/>
      <c r="QQY75" s="164"/>
      <c r="QQZ75" s="164"/>
      <c r="QRA75" s="164"/>
      <c r="QRB75" s="164"/>
      <c r="QRC75" s="164"/>
      <c r="QRD75" s="164"/>
      <c r="QRE75" s="164"/>
      <c r="QRF75" s="164"/>
      <c r="QRG75" s="164"/>
      <c r="QRH75" s="164"/>
      <c r="QRI75" s="164"/>
      <c r="QRJ75" s="164"/>
      <c r="QRK75" s="164"/>
      <c r="QRL75" s="164"/>
      <c r="QRM75" s="164"/>
      <c r="QRN75" s="164"/>
      <c r="QRO75" s="164"/>
      <c r="QRP75" s="164"/>
      <c r="QRQ75" s="164"/>
      <c r="QRR75" s="164"/>
      <c r="QRS75" s="164"/>
      <c r="QRT75" s="164"/>
      <c r="QRU75" s="164"/>
      <c r="QRV75" s="164"/>
      <c r="QRW75" s="164"/>
      <c r="QRX75" s="164"/>
      <c r="QRY75" s="164"/>
      <c r="QRZ75" s="164"/>
      <c r="QSA75" s="164"/>
      <c r="QSB75" s="164"/>
      <c r="QSC75" s="164"/>
      <c r="QSD75" s="164"/>
      <c r="QSE75" s="164"/>
      <c r="QSF75" s="164"/>
      <c r="QSG75" s="164"/>
      <c r="QSH75" s="164"/>
      <c r="QSI75" s="164"/>
      <c r="QSJ75" s="164"/>
      <c r="QSK75" s="164"/>
      <c r="QSL75" s="164"/>
      <c r="QSM75" s="164"/>
      <c r="QSN75" s="164"/>
      <c r="QSO75" s="164"/>
      <c r="QSP75" s="164"/>
      <c r="QSQ75" s="164"/>
      <c r="QSR75" s="164"/>
      <c r="QSS75" s="164"/>
      <c r="QST75" s="164"/>
      <c r="QSU75" s="164"/>
      <c r="QSV75" s="164"/>
      <c r="QSW75" s="164"/>
      <c r="QSX75" s="164"/>
      <c r="QSY75" s="164"/>
      <c r="QSZ75" s="164"/>
      <c r="QTA75" s="164"/>
      <c r="QTB75" s="164"/>
      <c r="QTC75" s="164"/>
      <c r="QTD75" s="164"/>
      <c r="QTE75" s="164"/>
      <c r="QTF75" s="164"/>
      <c r="QTG75" s="164"/>
      <c r="QTH75" s="164"/>
      <c r="QTI75" s="164"/>
      <c r="QTJ75" s="164"/>
      <c r="QTK75" s="164"/>
      <c r="QTL75" s="164"/>
      <c r="QTM75" s="164"/>
      <c r="QTN75" s="164"/>
      <c r="QTO75" s="164"/>
      <c r="QTP75" s="164"/>
      <c r="QTQ75" s="164"/>
      <c r="QTR75" s="164"/>
      <c r="QTS75" s="164"/>
      <c r="QTT75" s="164"/>
      <c r="QTU75" s="164"/>
      <c r="QTV75" s="164"/>
      <c r="QTW75" s="164"/>
      <c r="QTX75" s="164"/>
      <c r="QTY75" s="164"/>
      <c r="QTZ75" s="164"/>
      <c r="QUA75" s="164"/>
      <c r="QUB75" s="164"/>
      <c r="QUC75" s="164"/>
      <c r="QUD75" s="164"/>
      <c r="QUE75" s="164"/>
      <c r="QUF75" s="164"/>
      <c r="QUG75" s="164"/>
      <c r="QUH75" s="164"/>
      <c r="QUI75" s="164"/>
      <c r="QUJ75" s="164"/>
      <c r="QUK75" s="164"/>
      <c r="QUL75" s="164"/>
      <c r="QUM75" s="164"/>
      <c r="QUN75" s="164"/>
      <c r="QUO75" s="164"/>
      <c r="QUP75" s="164"/>
      <c r="QUQ75" s="164"/>
      <c r="QUR75" s="164"/>
      <c r="QUS75" s="164"/>
      <c r="QUT75" s="164"/>
      <c r="QUU75" s="164"/>
      <c r="QUV75" s="164"/>
      <c r="QUW75" s="164"/>
      <c r="QUX75" s="164"/>
      <c r="QUY75" s="164"/>
      <c r="QUZ75" s="164"/>
      <c r="QVA75" s="164"/>
      <c r="QVB75" s="164"/>
      <c r="QVC75" s="164"/>
      <c r="QVD75" s="164"/>
      <c r="QVE75" s="164"/>
      <c r="QVF75" s="164"/>
      <c r="QVG75" s="164"/>
      <c r="QVH75" s="164"/>
      <c r="QVI75" s="164"/>
      <c r="QVJ75" s="164"/>
      <c r="QVK75" s="164"/>
      <c r="QVL75" s="164"/>
      <c r="QVM75" s="164"/>
      <c r="QVN75" s="164"/>
      <c r="QVO75" s="164"/>
      <c r="QVP75" s="164"/>
      <c r="QVQ75" s="164"/>
      <c r="QVR75" s="164"/>
      <c r="QVS75" s="164"/>
      <c r="QVT75" s="164"/>
      <c r="QVU75" s="164"/>
      <c r="QVV75" s="164"/>
      <c r="QVW75" s="164"/>
      <c r="QVX75" s="164"/>
      <c r="QVY75" s="164"/>
      <c r="QVZ75" s="164"/>
      <c r="QWA75" s="164"/>
      <c r="QWB75" s="164"/>
      <c r="QWC75" s="164"/>
      <c r="QWD75" s="164"/>
      <c r="QWE75" s="164"/>
      <c r="QWF75" s="164"/>
      <c r="QWG75" s="164"/>
      <c r="QWH75" s="164"/>
      <c r="QWI75" s="164"/>
      <c r="QWJ75" s="164"/>
      <c r="QWK75" s="164"/>
      <c r="QWL75" s="164"/>
      <c r="QWM75" s="164"/>
      <c r="QWN75" s="164"/>
      <c r="QWO75" s="164"/>
      <c r="QWP75" s="164"/>
      <c r="QWQ75" s="164"/>
      <c r="QWR75" s="164"/>
      <c r="QWS75" s="164"/>
      <c r="QWT75" s="164"/>
      <c r="QWU75" s="164"/>
      <c r="QWV75" s="164"/>
      <c r="QWW75" s="164"/>
      <c r="QWX75" s="164"/>
      <c r="QWY75" s="164"/>
      <c r="QWZ75" s="164"/>
      <c r="QXA75" s="164"/>
      <c r="QXB75" s="164"/>
      <c r="QXC75" s="164"/>
      <c r="QXD75" s="164"/>
      <c r="QXE75" s="164"/>
      <c r="QXF75" s="164"/>
      <c r="QXG75" s="164"/>
      <c r="QXH75" s="164"/>
      <c r="QXI75" s="164"/>
      <c r="QXJ75" s="164"/>
      <c r="QXK75" s="164"/>
      <c r="QXL75" s="164"/>
      <c r="QXM75" s="164"/>
      <c r="QXN75" s="164"/>
      <c r="QXO75" s="164"/>
      <c r="QXP75" s="164"/>
      <c r="QXQ75" s="164"/>
      <c r="QXR75" s="164"/>
      <c r="QXS75" s="164"/>
      <c r="QXT75" s="164"/>
      <c r="QXU75" s="164"/>
      <c r="QXV75" s="164"/>
      <c r="QXW75" s="164"/>
      <c r="QXX75" s="164"/>
      <c r="QXY75" s="164"/>
      <c r="QXZ75" s="164"/>
      <c r="QYA75" s="164"/>
      <c r="QYB75" s="164"/>
      <c r="QYC75" s="164"/>
      <c r="QYD75" s="164"/>
      <c r="QYE75" s="164"/>
      <c r="QYF75" s="164"/>
      <c r="QYG75" s="164"/>
      <c r="QYH75" s="164"/>
      <c r="QYI75" s="164"/>
      <c r="QYJ75" s="164"/>
      <c r="QYK75" s="164"/>
      <c r="QYL75" s="164"/>
      <c r="QYM75" s="164"/>
      <c r="QYN75" s="164"/>
      <c r="QYO75" s="164"/>
      <c r="QYP75" s="164"/>
      <c r="QYQ75" s="164"/>
      <c r="QYR75" s="164"/>
      <c r="QYS75" s="164"/>
      <c r="QYT75" s="164"/>
      <c r="QYU75" s="164"/>
      <c r="QYV75" s="164"/>
      <c r="QYW75" s="164"/>
      <c r="QYX75" s="164"/>
      <c r="QYY75" s="164"/>
      <c r="QYZ75" s="164"/>
      <c r="QZA75" s="164"/>
      <c r="QZB75" s="164"/>
      <c r="QZC75" s="164"/>
      <c r="QZD75" s="164"/>
      <c r="QZE75" s="164"/>
      <c r="QZF75" s="164"/>
      <c r="QZG75" s="164"/>
      <c r="QZH75" s="164"/>
      <c r="QZI75" s="164"/>
      <c r="QZJ75" s="164"/>
      <c r="QZK75" s="164"/>
      <c r="QZL75" s="164"/>
      <c r="QZM75" s="164"/>
      <c r="QZN75" s="164"/>
      <c r="QZO75" s="164"/>
      <c r="QZP75" s="164"/>
      <c r="QZQ75" s="164"/>
      <c r="QZR75" s="164"/>
      <c r="QZS75" s="164"/>
      <c r="QZT75" s="164"/>
      <c r="QZU75" s="164"/>
      <c r="QZV75" s="164"/>
      <c r="QZW75" s="164"/>
      <c r="QZX75" s="164"/>
      <c r="QZY75" s="164"/>
      <c r="QZZ75" s="164"/>
      <c r="RAA75" s="164"/>
      <c r="RAB75" s="164"/>
      <c r="RAC75" s="164"/>
      <c r="RAD75" s="164"/>
      <c r="RAE75" s="164"/>
      <c r="RAF75" s="164"/>
      <c r="RAG75" s="164"/>
      <c r="RAH75" s="164"/>
      <c r="RAI75" s="164"/>
      <c r="RAJ75" s="164"/>
      <c r="RAK75" s="164"/>
      <c r="RAL75" s="164"/>
      <c r="RAM75" s="164"/>
      <c r="RAN75" s="164"/>
      <c r="RAO75" s="164"/>
      <c r="RAP75" s="164"/>
      <c r="RAQ75" s="164"/>
      <c r="RAR75" s="164"/>
      <c r="RAS75" s="164"/>
      <c r="RAT75" s="164"/>
      <c r="RAU75" s="164"/>
      <c r="RAV75" s="164"/>
      <c r="RAW75" s="164"/>
      <c r="RAX75" s="164"/>
      <c r="RAY75" s="164"/>
      <c r="RAZ75" s="164"/>
      <c r="RBA75" s="164"/>
      <c r="RBB75" s="164"/>
      <c r="RBC75" s="164"/>
      <c r="RBD75" s="164"/>
      <c r="RBE75" s="164"/>
      <c r="RBF75" s="164"/>
      <c r="RBG75" s="164"/>
      <c r="RBH75" s="164"/>
      <c r="RBI75" s="164"/>
      <c r="RBJ75" s="164"/>
      <c r="RBK75" s="164"/>
      <c r="RBL75" s="164"/>
      <c r="RBM75" s="164"/>
      <c r="RBN75" s="164"/>
      <c r="RBO75" s="164"/>
      <c r="RBP75" s="164"/>
      <c r="RBQ75" s="164"/>
      <c r="RBR75" s="164"/>
      <c r="RBS75" s="164"/>
      <c r="RBT75" s="164"/>
      <c r="RBU75" s="164"/>
      <c r="RBV75" s="164"/>
      <c r="RBW75" s="164"/>
      <c r="RBX75" s="164"/>
      <c r="RBY75" s="164"/>
      <c r="RBZ75" s="164"/>
      <c r="RCA75" s="164"/>
      <c r="RCB75" s="164"/>
      <c r="RCC75" s="164"/>
      <c r="RCD75" s="164"/>
      <c r="RCE75" s="164"/>
      <c r="RCF75" s="164"/>
      <c r="RCG75" s="164"/>
      <c r="RCH75" s="164"/>
      <c r="RCI75" s="164"/>
      <c r="RCJ75" s="164"/>
      <c r="RCK75" s="164"/>
      <c r="RCL75" s="164"/>
      <c r="RCM75" s="164"/>
      <c r="RCN75" s="164"/>
      <c r="RCO75" s="164"/>
      <c r="RCP75" s="164"/>
      <c r="RCQ75" s="164"/>
      <c r="RCR75" s="164"/>
      <c r="RCS75" s="164"/>
      <c r="RCT75" s="164"/>
      <c r="RCU75" s="164"/>
      <c r="RCV75" s="164"/>
      <c r="RCW75" s="164"/>
      <c r="RCX75" s="164"/>
      <c r="RCY75" s="164"/>
      <c r="RCZ75" s="164"/>
      <c r="RDA75" s="164"/>
      <c r="RDB75" s="164"/>
      <c r="RDC75" s="164"/>
      <c r="RDD75" s="164"/>
      <c r="RDE75" s="164"/>
      <c r="RDF75" s="164"/>
      <c r="RDG75" s="164"/>
      <c r="RDH75" s="164"/>
      <c r="RDI75" s="164"/>
      <c r="RDJ75" s="164"/>
      <c r="RDK75" s="164"/>
      <c r="RDL75" s="164"/>
      <c r="RDM75" s="164"/>
      <c r="RDN75" s="164"/>
      <c r="RDO75" s="164"/>
      <c r="RDP75" s="164"/>
      <c r="RDQ75" s="164"/>
      <c r="RDR75" s="164"/>
      <c r="RDS75" s="164"/>
      <c r="RDT75" s="164"/>
      <c r="RDU75" s="164"/>
      <c r="RDV75" s="164"/>
      <c r="RDW75" s="164"/>
      <c r="RDX75" s="164"/>
      <c r="RDY75" s="164"/>
      <c r="RDZ75" s="164"/>
      <c r="REA75" s="164"/>
      <c r="REB75" s="164"/>
      <c r="REC75" s="164"/>
      <c r="RED75" s="164"/>
      <c r="REE75" s="164"/>
      <c r="REF75" s="164"/>
      <c r="REG75" s="164"/>
      <c r="REH75" s="164"/>
      <c r="REI75" s="164"/>
      <c r="REJ75" s="164"/>
      <c r="REK75" s="164"/>
      <c r="REL75" s="164"/>
      <c r="REM75" s="164"/>
      <c r="REN75" s="164"/>
      <c r="REO75" s="164"/>
      <c r="REP75" s="164"/>
      <c r="REQ75" s="164"/>
      <c r="RER75" s="164"/>
      <c r="RES75" s="164"/>
      <c r="RET75" s="164"/>
      <c r="REU75" s="164"/>
      <c r="REV75" s="164"/>
      <c r="REW75" s="164"/>
      <c r="REX75" s="164"/>
      <c r="REY75" s="164"/>
      <c r="REZ75" s="164"/>
      <c r="RFA75" s="164"/>
      <c r="RFB75" s="164"/>
      <c r="RFC75" s="164"/>
      <c r="RFD75" s="164"/>
      <c r="RFE75" s="164"/>
      <c r="RFF75" s="164"/>
      <c r="RFG75" s="164"/>
      <c r="RFH75" s="164"/>
      <c r="RFI75" s="164"/>
      <c r="RFJ75" s="164"/>
      <c r="RFK75" s="164"/>
      <c r="RFL75" s="164"/>
      <c r="RFM75" s="164"/>
      <c r="RFN75" s="164"/>
      <c r="RFO75" s="164"/>
      <c r="RFP75" s="164"/>
      <c r="RFQ75" s="164"/>
      <c r="RFR75" s="164"/>
      <c r="RFS75" s="164"/>
      <c r="RFT75" s="164"/>
      <c r="RFU75" s="164"/>
      <c r="RFV75" s="164"/>
      <c r="RFW75" s="164"/>
      <c r="RFX75" s="164"/>
      <c r="RFY75" s="164"/>
      <c r="RFZ75" s="164"/>
      <c r="RGA75" s="164"/>
      <c r="RGB75" s="164"/>
      <c r="RGC75" s="164"/>
      <c r="RGD75" s="164"/>
      <c r="RGE75" s="164"/>
      <c r="RGF75" s="164"/>
      <c r="RGG75" s="164"/>
      <c r="RGH75" s="164"/>
      <c r="RGI75" s="164"/>
      <c r="RGJ75" s="164"/>
      <c r="RGK75" s="164"/>
      <c r="RGL75" s="164"/>
      <c r="RGM75" s="164"/>
      <c r="RGN75" s="164"/>
      <c r="RGO75" s="164"/>
      <c r="RGP75" s="164"/>
      <c r="RGQ75" s="164"/>
      <c r="RGR75" s="164"/>
      <c r="RGS75" s="164"/>
      <c r="RGT75" s="164"/>
      <c r="RGU75" s="164"/>
      <c r="RGV75" s="164"/>
      <c r="RGW75" s="164"/>
      <c r="RGX75" s="164"/>
      <c r="RGY75" s="164"/>
      <c r="RGZ75" s="164"/>
      <c r="RHA75" s="164"/>
      <c r="RHB75" s="164"/>
      <c r="RHC75" s="164"/>
      <c r="RHD75" s="164"/>
      <c r="RHE75" s="164"/>
      <c r="RHF75" s="164"/>
      <c r="RHG75" s="164"/>
      <c r="RHH75" s="164"/>
      <c r="RHI75" s="164"/>
      <c r="RHJ75" s="164"/>
      <c r="RHK75" s="164"/>
      <c r="RHL75" s="164"/>
      <c r="RHM75" s="164"/>
      <c r="RHN75" s="164"/>
      <c r="RHO75" s="164"/>
      <c r="RHP75" s="164"/>
      <c r="RHQ75" s="164"/>
      <c r="RHR75" s="164"/>
      <c r="RHS75" s="164"/>
      <c r="RHT75" s="164"/>
      <c r="RHU75" s="164"/>
      <c r="RHV75" s="164"/>
      <c r="RHW75" s="164"/>
      <c r="RHX75" s="164"/>
      <c r="RHY75" s="164"/>
      <c r="RHZ75" s="164"/>
      <c r="RIA75" s="164"/>
      <c r="RIB75" s="164"/>
      <c r="RIC75" s="164"/>
      <c r="RID75" s="164"/>
      <c r="RIE75" s="164"/>
      <c r="RIF75" s="164"/>
      <c r="RIG75" s="164"/>
      <c r="RIH75" s="164"/>
      <c r="RII75" s="164"/>
      <c r="RIJ75" s="164"/>
      <c r="RIK75" s="164"/>
      <c r="RIL75" s="164"/>
      <c r="RIM75" s="164"/>
      <c r="RIN75" s="164"/>
      <c r="RIO75" s="164"/>
      <c r="RIP75" s="164"/>
      <c r="RIQ75" s="164"/>
      <c r="RIR75" s="164"/>
      <c r="RIS75" s="164"/>
      <c r="RIT75" s="164"/>
      <c r="RIU75" s="164"/>
      <c r="RIV75" s="164"/>
      <c r="RIW75" s="164"/>
      <c r="RIX75" s="164"/>
      <c r="RIY75" s="164"/>
      <c r="RIZ75" s="164"/>
      <c r="RJA75" s="164"/>
      <c r="RJB75" s="164"/>
      <c r="RJC75" s="164"/>
      <c r="RJD75" s="164"/>
      <c r="RJE75" s="164"/>
      <c r="RJF75" s="164"/>
      <c r="RJG75" s="164"/>
      <c r="RJH75" s="164"/>
      <c r="RJI75" s="164"/>
      <c r="RJJ75" s="164"/>
      <c r="RJK75" s="164"/>
      <c r="RJL75" s="164"/>
      <c r="RJM75" s="164"/>
      <c r="RJN75" s="164"/>
      <c r="RJO75" s="164"/>
      <c r="RJP75" s="164"/>
      <c r="RJQ75" s="164"/>
      <c r="RJR75" s="164"/>
      <c r="RJS75" s="164"/>
      <c r="RJT75" s="164"/>
      <c r="RJU75" s="164"/>
      <c r="RJV75" s="164"/>
      <c r="RJW75" s="164"/>
      <c r="RJX75" s="164"/>
      <c r="RJY75" s="164"/>
      <c r="RJZ75" s="164"/>
      <c r="RKA75" s="164"/>
      <c r="RKB75" s="164"/>
      <c r="RKC75" s="164"/>
      <c r="RKD75" s="164"/>
      <c r="RKE75" s="164"/>
      <c r="RKF75" s="164"/>
      <c r="RKG75" s="164"/>
      <c r="RKH75" s="164"/>
      <c r="RKI75" s="164"/>
      <c r="RKJ75" s="164"/>
      <c r="RKK75" s="164"/>
      <c r="RKL75" s="164"/>
      <c r="RKM75" s="164"/>
      <c r="RKN75" s="164"/>
      <c r="RKO75" s="164"/>
      <c r="RKP75" s="164"/>
      <c r="RKQ75" s="164"/>
      <c r="RKR75" s="164"/>
      <c r="RKS75" s="164"/>
      <c r="RKT75" s="164"/>
      <c r="RKU75" s="164"/>
      <c r="RKV75" s="164"/>
      <c r="RKW75" s="164"/>
      <c r="RKX75" s="164"/>
      <c r="RKY75" s="164"/>
      <c r="RKZ75" s="164"/>
      <c r="RLA75" s="164"/>
      <c r="RLB75" s="164"/>
      <c r="RLC75" s="164"/>
      <c r="RLD75" s="164"/>
      <c r="RLE75" s="164"/>
      <c r="RLF75" s="164"/>
      <c r="RLG75" s="164"/>
      <c r="RLH75" s="164"/>
      <c r="RLI75" s="164"/>
      <c r="RLJ75" s="164"/>
      <c r="RLK75" s="164"/>
      <c r="RLL75" s="164"/>
      <c r="RLM75" s="164"/>
      <c r="RLN75" s="164"/>
      <c r="RLO75" s="164"/>
      <c r="RLP75" s="164"/>
      <c r="RLQ75" s="164"/>
      <c r="RLR75" s="164"/>
      <c r="RLS75" s="164"/>
      <c r="RLT75" s="164"/>
      <c r="RLU75" s="164"/>
      <c r="RLV75" s="164"/>
      <c r="RLW75" s="164"/>
      <c r="RLX75" s="164"/>
      <c r="RLY75" s="164"/>
      <c r="RLZ75" s="164"/>
      <c r="RMA75" s="164"/>
      <c r="RMB75" s="164"/>
      <c r="RMC75" s="164"/>
      <c r="RMD75" s="164"/>
      <c r="RME75" s="164"/>
      <c r="RMF75" s="164"/>
      <c r="RMG75" s="164"/>
      <c r="RMH75" s="164"/>
      <c r="RMI75" s="164"/>
      <c r="RMJ75" s="164"/>
      <c r="RMK75" s="164"/>
      <c r="RML75" s="164"/>
      <c r="RMM75" s="164"/>
      <c r="RMN75" s="164"/>
      <c r="RMO75" s="164"/>
      <c r="RMP75" s="164"/>
      <c r="RMQ75" s="164"/>
      <c r="RMR75" s="164"/>
      <c r="RMS75" s="164"/>
      <c r="RMT75" s="164"/>
      <c r="RMU75" s="164"/>
      <c r="RMV75" s="164"/>
      <c r="RMW75" s="164"/>
      <c r="RMX75" s="164"/>
      <c r="RMY75" s="164"/>
      <c r="RMZ75" s="164"/>
      <c r="RNA75" s="164"/>
      <c r="RNB75" s="164"/>
      <c r="RNC75" s="164"/>
      <c r="RND75" s="164"/>
      <c r="RNE75" s="164"/>
      <c r="RNF75" s="164"/>
      <c r="RNG75" s="164"/>
      <c r="RNH75" s="164"/>
      <c r="RNI75" s="164"/>
      <c r="RNJ75" s="164"/>
      <c r="RNK75" s="164"/>
      <c r="RNL75" s="164"/>
      <c r="RNM75" s="164"/>
      <c r="RNN75" s="164"/>
      <c r="RNO75" s="164"/>
      <c r="RNP75" s="164"/>
      <c r="RNQ75" s="164"/>
      <c r="RNR75" s="164"/>
      <c r="RNS75" s="164"/>
      <c r="RNT75" s="164"/>
      <c r="RNU75" s="164"/>
      <c r="RNV75" s="164"/>
      <c r="RNW75" s="164"/>
      <c r="RNX75" s="164"/>
      <c r="RNY75" s="164"/>
      <c r="RNZ75" s="164"/>
      <c r="ROA75" s="164"/>
      <c r="ROB75" s="164"/>
      <c r="ROC75" s="164"/>
      <c r="ROD75" s="164"/>
      <c r="ROE75" s="164"/>
      <c r="ROF75" s="164"/>
      <c r="ROG75" s="164"/>
      <c r="ROH75" s="164"/>
      <c r="ROI75" s="164"/>
      <c r="ROJ75" s="164"/>
      <c r="ROK75" s="164"/>
      <c r="ROL75" s="164"/>
      <c r="ROM75" s="164"/>
      <c r="RON75" s="164"/>
      <c r="ROO75" s="164"/>
      <c r="ROP75" s="164"/>
      <c r="ROQ75" s="164"/>
      <c r="ROR75" s="164"/>
      <c r="ROS75" s="164"/>
      <c r="ROT75" s="164"/>
      <c r="ROU75" s="164"/>
      <c r="ROV75" s="164"/>
      <c r="ROW75" s="164"/>
      <c r="ROX75" s="164"/>
      <c r="ROY75" s="164"/>
      <c r="ROZ75" s="164"/>
      <c r="RPA75" s="164"/>
      <c r="RPB75" s="164"/>
      <c r="RPC75" s="164"/>
      <c r="RPD75" s="164"/>
      <c r="RPE75" s="164"/>
      <c r="RPF75" s="164"/>
      <c r="RPG75" s="164"/>
      <c r="RPH75" s="164"/>
      <c r="RPI75" s="164"/>
      <c r="RPJ75" s="164"/>
      <c r="RPK75" s="164"/>
      <c r="RPL75" s="164"/>
      <c r="RPM75" s="164"/>
      <c r="RPN75" s="164"/>
      <c r="RPO75" s="164"/>
      <c r="RPP75" s="164"/>
      <c r="RPQ75" s="164"/>
      <c r="RPR75" s="164"/>
      <c r="RPS75" s="164"/>
      <c r="RPT75" s="164"/>
      <c r="RPU75" s="164"/>
      <c r="RPV75" s="164"/>
      <c r="RPW75" s="164"/>
      <c r="RPX75" s="164"/>
      <c r="RPY75" s="164"/>
      <c r="RPZ75" s="164"/>
      <c r="RQA75" s="164"/>
      <c r="RQB75" s="164"/>
      <c r="RQC75" s="164"/>
      <c r="RQD75" s="164"/>
      <c r="RQE75" s="164"/>
      <c r="RQF75" s="164"/>
      <c r="RQG75" s="164"/>
      <c r="RQH75" s="164"/>
      <c r="RQI75" s="164"/>
      <c r="RQJ75" s="164"/>
      <c r="RQK75" s="164"/>
      <c r="RQL75" s="164"/>
      <c r="RQM75" s="164"/>
      <c r="RQN75" s="164"/>
      <c r="RQO75" s="164"/>
      <c r="RQP75" s="164"/>
      <c r="RQQ75" s="164"/>
      <c r="RQR75" s="164"/>
      <c r="RQS75" s="164"/>
      <c r="RQT75" s="164"/>
      <c r="RQU75" s="164"/>
      <c r="RQV75" s="164"/>
      <c r="RQW75" s="164"/>
      <c r="RQX75" s="164"/>
      <c r="RQY75" s="164"/>
      <c r="RQZ75" s="164"/>
      <c r="RRA75" s="164"/>
      <c r="RRB75" s="164"/>
      <c r="RRC75" s="164"/>
      <c r="RRD75" s="164"/>
      <c r="RRE75" s="164"/>
      <c r="RRF75" s="164"/>
      <c r="RRG75" s="164"/>
      <c r="RRH75" s="164"/>
      <c r="RRI75" s="164"/>
      <c r="RRJ75" s="164"/>
      <c r="RRK75" s="164"/>
      <c r="RRL75" s="164"/>
      <c r="RRM75" s="164"/>
      <c r="RRN75" s="164"/>
      <c r="RRO75" s="164"/>
      <c r="RRP75" s="164"/>
      <c r="RRQ75" s="164"/>
      <c r="RRR75" s="164"/>
      <c r="RRS75" s="164"/>
      <c r="RRT75" s="164"/>
      <c r="RRU75" s="164"/>
      <c r="RRV75" s="164"/>
      <c r="RRW75" s="164"/>
      <c r="RRX75" s="164"/>
      <c r="RRY75" s="164"/>
      <c r="RRZ75" s="164"/>
      <c r="RSA75" s="164"/>
      <c r="RSB75" s="164"/>
      <c r="RSC75" s="164"/>
      <c r="RSD75" s="164"/>
      <c r="RSE75" s="164"/>
      <c r="RSF75" s="164"/>
      <c r="RSG75" s="164"/>
      <c r="RSH75" s="164"/>
      <c r="RSI75" s="164"/>
      <c r="RSJ75" s="164"/>
      <c r="RSK75" s="164"/>
      <c r="RSL75" s="164"/>
      <c r="RSM75" s="164"/>
      <c r="RSN75" s="164"/>
      <c r="RSO75" s="164"/>
      <c r="RSP75" s="164"/>
      <c r="RSQ75" s="164"/>
      <c r="RSR75" s="164"/>
      <c r="RSS75" s="164"/>
      <c r="RST75" s="164"/>
      <c r="RSU75" s="164"/>
      <c r="RSV75" s="164"/>
      <c r="RSW75" s="164"/>
      <c r="RSX75" s="164"/>
      <c r="RSY75" s="164"/>
      <c r="RSZ75" s="164"/>
      <c r="RTA75" s="164"/>
      <c r="RTB75" s="164"/>
      <c r="RTC75" s="164"/>
      <c r="RTD75" s="164"/>
      <c r="RTE75" s="164"/>
      <c r="RTF75" s="164"/>
      <c r="RTG75" s="164"/>
      <c r="RTH75" s="164"/>
      <c r="RTI75" s="164"/>
      <c r="RTJ75" s="164"/>
      <c r="RTK75" s="164"/>
      <c r="RTL75" s="164"/>
      <c r="RTM75" s="164"/>
      <c r="RTN75" s="164"/>
      <c r="RTO75" s="164"/>
      <c r="RTP75" s="164"/>
      <c r="RTQ75" s="164"/>
      <c r="RTR75" s="164"/>
      <c r="RTS75" s="164"/>
      <c r="RTT75" s="164"/>
      <c r="RTU75" s="164"/>
      <c r="RTV75" s="164"/>
      <c r="RTW75" s="164"/>
      <c r="RTX75" s="164"/>
      <c r="RTY75" s="164"/>
      <c r="RTZ75" s="164"/>
      <c r="RUA75" s="164"/>
      <c r="RUB75" s="164"/>
      <c r="RUC75" s="164"/>
      <c r="RUD75" s="164"/>
      <c r="RUE75" s="164"/>
      <c r="RUF75" s="164"/>
      <c r="RUG75" s="164"/>
      <c r="RUH75" s="164"/>
      <c r="RUI75" s="164"/>
      <c r="RUJ75" s="164"/>
      <c r="RUK75" s="164"/>
      <c r="RUL75" s="164"/>
      <c r="RUM75" s="164"/>
      <c r="RUN75" s="164"/>
      <c r="RUO75" s="164"/>
      <c r="RUP75" s="164"/>
      <c r="RUQ75" s="164"/>
      <c r="RUR75" s="164"/>
      <c r="RUS75" s="164"/>
      <c r="RUT75" s="164"/>
      <c r="RUU75" s="164"/>
      <c r="RUV75" s="164"/>
      <c r="RUW75" s="164"/>
      <c r="RUX75" s="164"/>
      <c r="RUY75" s="164"/>
      <c r="RUZ75" s="164"/>
      <c r="RVA75" s="164"/>
      <c r="RVB75" s="164"/>
      <c r="RVC75" s="164"/>
      <c r="RVD75" s="164"/>
      <c r="RVE75" s="164"/>
      <c r="RVF75" s="164"/>
      <c r="RVG75" s="164"/>
      <c r="RVH75" s="164"/>
      <c r="RVI75" s="164"/>
      <c r="RVJ75" s="164"/>
      <c r="RVK75" s="164"/>
      <c r="RVL75" s="164"/>
      <c r="RVM75" s="164"/>
      <c r="RVN75" s="164"/>
      <c r="RVO75" s="164"/>
      <c r="RVP75" s="164"/>
      <c r="RVQ75" s="164"/>
      <c r="RVR75" s="164"/>
      <c r="RVS75" s="164"/>
      <c r="RVT75" s="164"/>
      <c r="RVU75" s="164"/>
      <c r="RVV75" s="164"/>
      <c r="RVW75" s="164"/>
      <c r="RVX75" s="164"/>
      <c r="RVY75" s="164"/>
      <c r="RVZ75" s="164"/>
      <c r="RWA75" s="164"/>
      <c r="RWB75" s="164"/>
      <c r="RWC75" s="164"/>
      <c r="RWD75" s="164"/>
      <c r="RWE75" s="164"/>
      <c r="RWF75" s="164"/>
      <c r="RWG75" s="164"/>
      <c r="RWH75" s="164"/>
      <c r="RWI75" s="164"/>
      <c r="RWJ75" s="164"/>
      <c r="RWK75" s="164"/>
      <c r="RWL75" s="164"/>
      <c r="RWM75" s="164"/>
      <c r="RWN75" s="164"/>
      <c r="RWO75" s="164"/>
      <c r="RWP75" s="164"/>
      <c r="RWQ75" s="164"/>
      <c r="RWR75" s="164"/>
      <c r="RWS75" s="164"/>
      <c r="RWT75" s="164"/>
      <c r="RWU75" s="164"/>
      <c r="RWV75" s="164"/>
      <c r="RWW75" s="164"/>
      <c r="RWX75" s="164"/>
      <c r="RWY75" s="164"/>
      <c r="RWZ75" s="164"/>
      <c r="RXA75" s="164"/>
      <c r="RXB75" s="164"/>
      <c r="RXC75" s="164"/>
      <c r="RXD75" s="164"/>
      <c r="RXE75" s="164"/>
      <c r="RXF75" s="164"/>
      <c r="RXG75" s="164"/>
      <c r="RXH75" s="164"/>
      <c r="RXI75" s="164"/>
      <c r="RXJ75" s="164"/>
      <c r="RXK75" s="164"/>
      <c r="RXL75" s="164"/>
      <c r="RXM75" s="164"/>
      <c r="RXN75" s="164"/>
      <c r="RXO75" s="164"/>
      <c r="RXP75" s="164"/>
      <c r="RXQ75" s="164"/>
      <c r="RXR75" s="164"/>
      <c r="RXS75" s="164"/>
      <c r="RXT75" s="164"/>
      <c r="RXU75" s="164"/>
      <c r="RXV75" s="164"/>
      <c r="RXW75" s="164"/>
      <c r="RXX75" s="164"/>
      <c r="RXY75" s="164"/>
      <c r="RXZ75" s="164"/>
      <c r="RYA75" s="164"/>
      <c r="RYB75" s="164"/>
      <c r="RYC75" s="164"/>
      <c r="RYD75" s="164"/>
      <c r="RYE75" s="164"/>
      <c r="RYF75" s="164"/>
      <c r="RYG75" s="164"/>
      <c r="RYH75" s="164"/>
      <c r="RYI75" s="164"/>
      <c r="RYJ75" s="164"/>
      <c r="RYK75" s="164"/>
      <c r="RYL75" s="164"/>
      <c r="RYM75" s="164"/>
      <c r="RYN75" s="164"/>
      <c r="RYO75" s="164"/>
      <c r="RYP75" s="164"/>
      <c r="RYQ75" s="164"/>
      <c r="RYR75" s="164"/>
      <c r="RYS75" s="164"/>
      <c r="RYT75" s="164"/>
      <c r="RYU75" s="164"/>
      <c r="RYV75" s="164"/>
      <c r="RYW75" s="164"/>
      <c r="RYX75" s="164"/>
      <c r="RYY75" s="164"/>
      <c r="RYZ75" s="164"/>
      <c r="RZA75" s="164"/>
      <c r="RZB75" s="164"/>
      <c r="RZC75" s="164"/>
      <c r="RZD75" s="164"/>
      <c r="RZE75" s="164"/>
      <c r="RZF75" s="164"/>
      <c r="RZG75" s="164"/>
      <c r="RZH75" s="164"/>
      <c r="RZI75" s="164"/>
      <c r="RZJ75" s="164"/>
      <c r="RZK75" s="164"/>
      <c r="RZL75" s="164"/>
      <c r="RZM75" s="164"/>
      <c r="RZN75" s="164"/>
      <c r="RZO75" s="164"/>
      <c r="RZP75" s="164"/>
      <c r="RZQ75" s="164"/>
      <c r="RZR75" s="164"/>
      <c r="RZS75" s="164"/>
      <c r="RZT75" s="164"/>
      <c r="RZU75" s="164"/>
      <c r="RZV75" s="164"/>
      <c r="RZW75" s="164"/>
      <c r="RZX75" s="164"/>
      <c r="RZY75" s="164"/>
      <c r="RZZ75" s="164"/>
      <c r="SAA75" s="164"/>
      <c r="SAB75" s="164"/>
      <c r="SAC75" s="164"/>
      <c r="SAD75" s="164"/>
      <c r="SAE75" s="164"/>
      <c r="SAF75" s="164"/>
      <c r="SAG75" s="164"/>
      <c r="SAH75" s="164"/>
      <c r="SAI75" s="164"/>
      <c r="SAJ75" s="164"/>
      <c r="SAK75" s="164"/>
      <c r="SAL75" s="164"/>
      <c r="SAM75" s="164"/>
      <c r="SAN75" s="164"/>
      <c r="SAO75" s="164"/>
      <c r="SAP75" s="164"/>
      <c r="SAQ75" s="164"/>
      <c r="SAR75" s="164"/>
      <c r="SAS75" s="164"/>
      <c r="SAT75" s="164"/>
      <c r="SAU75" s="164"/>
      <c r="SAV75" s="164"/>
      <c r="SAW75" s="164"/>
      <c r="SAX75" s="164"/>
      <c r="SAY75" s="164"/>
      <c r="SAZ75" s="164"/>
      <c r="SBA75" s="164"/>
      <c r="SBB75" s="164"/>
      <c r="SBC75" s="164"/>
      <c r="SBD75" s="164"/>
      <c r="SBE75" s="164"/>
      <c r="SBF75" s="164"/>
      <c r="SBG75" s="164"/>
      <c r="SBH75" s="164"/>
      <c r="SBI75" s="164"/>
      <c r="SBJ75" s="164"/>
      <c r="SBK75" s="164"/>
      <c r="SBL75" s="164"/>
      <c r="SBM75" s="164"/>
      <c r="SBN75" s="164"/>
      <c r="SBO75" s="164"/>
      <c r="SBP75" s="164"/>
      <c r="SBQ75" s="164"/>
      <c r="SBR75" s="164"/>
      <c r="SBS75" s="164"/>
      <c r="SBT75" s="164"/>
      <c r="SBU75" s="164"/>
      <c r="SBV75" s="164"/>
      <c r="SBW75" s="164"/>
      <c r="SBX75" s="164"/>
      <c r="SBY75" s="164"/>
      <c r="SBZ75" s="164"/>
      <c r="SCA75" s="164"/>
      <c r="SCB75" s="164"/>
      <c r="SCC75" s="164"/>
      <c r="SCD75" s="164"/>
      <c r="SCE75" s="164"/>
      <c r="SCF75" s="164"/>
      <c r="SCG75" s="164"/>
      <c r="SCH75" s="164"/>
      <c r="SCI75" s="164"/>
      <c r="SCJ75" s="164"/>
      <c r="SCK75" s="164"/>
      <c r="SCL75" s="164"/>
      <c r="SCM75" s="164"/>
      <c r="SCN75" s="164"/>
      <c r="SCO75" s="164"/>
      <c r="SCP75" s="164"/>
      <c r="SCQ75" s="164"/>
      <c r="SCR75" s="164"/>
      <c r="SCS75" s="164"/>
      <c r="SCT75" s="164"/>
      <c r="SCU75" s="164"/>
      <c r="SCV75" s="164"/>
      <c r="SCW75" s="164"/>
      <c r="SCX75" s="164"/>
      <c r="SCY75" s="164"/>
      <c r="SCZ75" s="164"/>
      <c r="SDA75" s="164"/>
      <c r="SDB75" s="164"/>
      <c r="SDC75" s="164"/>
      <c r="SDD75" s="164"/>
      <c r="SDE75" s="164"/>
      <c r="SDF75" s="164"/>
      <c r="SDG75" s="164"/>
      <c r="SDH75" s="164"/>
      <c r="SDI75" s="164"/>
      <c r="SDJ75" s="164"/>
      <c r="SDK75" s="164"/>
      <c r="SDL75" s="164"/>
      <c r="SDM75" s="164"/>
      <c r="SDN75" s="164"/>
      <c r="SDO75" s="164"/>
      <c r="SDP75" s="164"/>
      <c r="SDQ75" s="164"/>
      <c r="SDR75" s="164"/>
      <c r="SDS75" s="164"/>
      <c r="SDT75" s="164"/>
      <c r="SDU75" s="164"/>
      <c r="SDV75" s="164"/>
      <c r="SDW75" s="164"/>
      <c r="SDX75" s="164"/>
      <c r="SDY75" s="164"/>
      <c r="SDZ75" s="164"/>
      <c r="SEA75" s="164"/>
      <c r="SEB75" s="164"/>
      <c r="SEC75" s="164"/>
      <c r="SED75" s="164"/>
      <c r="SEE75" s="164"/>
      <c r="SEF75" s="164"/>
      <c r="SEG75" s="164"/>
      <c r="SEH75" s="164"/>
      <c r="SEI75" s="164"/>
      <c r="SEJ75" s="164"/>
      <c r="SEK75" s="164"/>
      <c r="SEL75" s="164"/>
      <c r="SEM75" s="164"/>
      <c r="SEN75" s="164"/>
      <c r="SEO75" s="164"/>
      <c r="SEP75" s="164"/>
      <c r="SEQ75" s="164"/>
      <c r="SER75" s="164"/>
      <c r="SES75" s="164"/>
      <c r="SET75" s="164"/>
      <c r="SEU75" s="164"/>
      <c r="SEV75" s="164"/>
      <c r="SEW75" s="164"/>
      <c r="SEX75" s="164"/>
      <c r="SEY75" s="164"/>
      <c r="SEZ75" s="164"/>
      <c r="SFA75" s="164"/>
      <c r="SFB75" s="164"/>
      <c r="SFC75" s="164"/>
      <c r="SFD75" s="164"/>
      <c r="SFE75" s="164"/>
      <c r="SFF75" s="164"/>
      <c r="SFG75" s="164"/>
      <c r="SFH75" s="164"/>
      <c r="SFI75" s="164"/>
      <c r="SFJ75" s="164"/>
      <c r="SFK75" s="164"/>
      <c r="SFL75" s="164"/>
      <c r="SFM75" s="164"/>
      <c r="SFN75" s="164"/>
      <c r="SFO75" s="164"/>
      <c r="SFP75" s="164"/>
      <c r="SFQ75" s="164"/>
      <c r="SFR75" s="164"/>
      <c r="SFS75" s="164"/>
      <c r="SFT75" s="164"/>
      <c r="SFU75" s="164"/>
      <c r="SFV75" s="164"/>
      <c r="SFW75" s="164"/>
      <c r="SFX75" s="164"/>
      <c r="SFY75" s="164"/>
      <c r="SFZ75" s="164"/>
      <c r="SGA75" s="164"/>
      <c r="SGB75" s="164"/>
      <c r="SGC75" s="164"/>
      <c r="SGD75" s="164"/>
      <c r="SGE75" s="164"/>
      <c r="SGF75" s="164"/>
      <c r="SGG75" s="164"/>
      <c r="SGH75" s="164"/>
      <c r="SGI75" s="164"/>
      <c r="SGJ75" s="164"/>
      <c r="SGK75" s="164"/>
      <c r="SGL75" s="164"/>
      <c r="SGM75" s="164"/>
      <c r="SGN75" s="164"/>
      <c r="SGO75" s="164"/>
      <c r="SGP75" s="164"/>
      <c r="SGQ75" s="164"/>
      <c r="SGR75" s="164"/>
      <c r="SGS75" s="164"/>
      <c r="SGT75" s="164"/>
      <c r="SGU75" s="164"/>
      <c r="SGV75" s="164"/>
      <c r="SGW75" s="164"/>
      <c r="SGX75" s="164"/>
      <c r="SGY75" s="164"/>
      <c r="SGZ75" s="164"/>
      <c r="SHA75" s="164"/>
      <c r="SHB75" s="164"/>
      <c r="SHC75" s="164"/>
      <c r="SHD75" s="164"/>
      <c r="SHE75" s="164"/>
      <c r="SHF75" s="164"/>
      <c r="SHG75" s="164"/>
      <c r="SHH75" s="164"/>
      <c r="SHI75" s="164"/>
      <c r="SHJ75" s="164"/>
      <c r="SHK75" s="164"/>
      <c r="SHL75" s="164"/>
      <c r="SHM75" s="164"/>
      <c r="SHN75" s="164"/>
      <c r="SHO75" s="164"/>
      <c r="SHP75" s="164"/>
      <c r="SHQ75" s="164"/>
      <c r="SHR75" s="164"/>
      <c r="SHS75" s="164"/>
      <c r="SHT75" s="164"/>
      <c r="SHU75" s="164"/>
      <c r="SHV75" s="164"/>
      <c r="SHW75" s="164"/>
      <c r="SHX75" s="164"/>
      <c r="SHY75" s="164"/>
      <c r="SHZ75" s="164"/>
      <c r="SIA75" s="164"/>
      <c r="SIB75" s="164"/>
      <c r="SIC75" s="164"/>
      <c r="SID75" s="164"/>
      <c r="SIE75" s="164"/>
      <c r="SIF75" s="164"/>
      <c r="SIG75" s="164"/>
      <c r="SIH75" s="164"/>
      <c r="SII75" s="164"/>
      <c r="SIJ75" s="164"/>
      <c r="SIK75" s="164"/>
      <c r="SIL75" s="164"/>
      <c r="SIM75" s="164"/>
      <c r="SIN75" s="164"/>
      <c r="SIO75" s="164"/>
      <c r="SIP75" s="164"/>
      <c r="SIQ75" s="164"/>
      <c r="SIR75" s="164"/>
      <c r="SIS75" s="164"/>
      <c r="SIT75" s="164"/>
      <c r="SIU75" s="164"/>
      <c r="SIV75" s="164"/>
      <c r="SIW75" s="164"/>
      <c r="SIX75" s="164"/>
      <c r="SIY75" s="164"/>
      <c r="SIZ75" s="164"/>
      <c r="SJA75" s="164"/>
      <c r="SJB75" s="164"/>
      <c r="SJC75" s="164"/>
      <c r="SJD75" s="164"/>
      <c r="SJE75" s="164"/>
      <c r="SJF75" s="164"/>
      <c r="SJG75" s="164"/>
      <c r="SJH75" s="164"/>
      <c r="SJI75" s="164"/>
      <c r="SJJ75" s="164"/>
      <c r="SJK75" s="164"/>
      <c r="SJL75" s="164"/>
      <c r="SJM75" s="164"/>
      <c r="SJN75" s="164"/>
      <c r="SJO75" s="164"/>
      <c r="SJP75" s="164"/>
      <c r="SJQ75" s="164"/>
      <c r="SJR75" s="164"/>
      <c r="SJS75" s="164"/>
      <c r="SJT75" s="164"/>
      <c r="SJU75" s="164"/>
      <c r="SJV75" s="164"/>
      <c r="SJW75" s="164"/>
      <c r="SJX75" s="164"/>
      <c r="SJY75" s="164"/>
      <c r="SJZ75" s="164"/>
      <c r="SKA75" s="164"/>
      <c r="SKB75" s="164"/>
      <c r="SKC75" s="164"/>
      <c r="SKD75" s="164"/>
      <c r="SKE75" s="164"/>
      <c r="SKF75" s="164"/>
      <c r="SKG75" s="164"/>
      <c r="SKH75" s="164"/>
      <c r="SKI75" s="164"/>
      <c r="SKJ75" s="164"/>
      <c r="SKK75" s="164"/>
      <c r="SKL75" s="164"/>
      <c r="SKM75" s="164"/>
      <c r="SKN75" s="164"/>
      <c r="SKO75" s="164"/>
      <c r="SKP75" s="164"/>
      <c r="SKQ75" s="164"/>
      <c r="SKR75" s="164"/>
      <c r="SKS75" s="164"/>
      <c r="SKT75" s="164"/>
      <c r="SKU75" s="164"/>
      <c r="SKV75" s="164"/>
      <c r="SKW75" s="164"/>
      <c r="SKX75" s="164"/>
      <c r="SKY75" s="164"/>
      <c r="SKZ75" s="164"/>
      <c r="SLA75" s="164"/>
      <c r="SLB75" s="164"/>
      <c r="SLC75" s="164"/>
      <c r="SLD75" s="164"/>
      <c r="SLE75" s="164"/>
      <c r="SLF75" s="164"/>
      <c r="SLG75" s="164"/>
      <c r="SLH75" s="164"/>
      <c r="SLI75" s="164"/>
      <c r="SLJ75" s="164"/>
      <c r="SLK75" s="164"/>
      <c r="SLL75" s="164"/>
      <c r="SLM75" s="164"/>
      <c r="SLN75" s="164"/>
      <c r="SLO75" s="164"/>
      <c r="SLP75" s="164"/>
      <c r="SLQ75" s="164"/>
      <c r="SLR75" s="164"/>
      <c r="SLS75" s="164"/>
      <c r="SLT75" s="164"/>
      <c r="SLU75" s="164"/>
      <c r="SLV75" s="164"/>
      <c r="SLW75" s="164"/>
      <c r="SLX75" s="164"/>
      <c r="SLY75" s="164"/>
      <c r="SLZ75" s="164"/>
      <c r="SMA75" s="164"/>
      <c r="SMB75" s="164"/>
      <c r="SMC75" s="164"/>
      <c r="SMD75" s="164"/>
      <c r="SME75" s="164"/>
      <c r="SMF75" s="164"/>
      <c r="SMG75" s="164"/>
      <c r="SMH75" s="164"/>
      <c r="SMI75" s="164"/>
      <c r="SMJ75" s="164"/>
      <c r="SMK75" s="164"/>
      <c r="SML75" s="164"/>
      <c r="SMM75" s="164"/>
      <c r="SMN75" s="164"/>
      <c r="SMO75" s="164"/>
      <c r="SMP75" s="164"/>
      <c r="SMQ75" s="164"/>
      <c r="SMR75" s="164"/>
      <c r="SMS75" s="164"/>
      <c r="SMT75" s="164"/>
      <c r="SMU75" s="164"/>
      <c r="SMV75" s="164"/>
      <c r="SMW75" s="164"/>
      <c r="SMX75" s="164"/>
      <c r="SMY75" s="164"/>
      <c r="SMZ75" s="164"/>
      <c r="SNA75" s="164"/>
      <c r="SNB75" s="164"/>
      <c r="SNC75" s="164"/>
      <c r="SND75" s="164"/>
      <c r="SNE75" s="164"/>
      <c r="SNF75" s="164"/>
      <c r="SNG75" s="164"/>
      <c r="SNH75" s="164"/>
      <c r="SNI75" s="164"/>
      <c r="SNJ75" s="164"/>
      <c r="SNK75" s="164"/>
      <c r="SNL75" s="164"/>
      <c r="SNM75" s="164"/>
      <c r="SNN75" s="164"/>
      <c r="SNO75" s="164"/>
      <c r="SNP75" s="164"/>
      <c r="SNQ75" s="164"/>
      <c r="SNR75" s="164"/>
      <c r="SNS75" s="164"/>
      <c r="SNT75" s="164"/>
      <c r="SNU75" s="164"/>
      <c r="SNV75" s="164"/>
      <c r="SNW75" s="164"/>
      <c r="SNX75" s="164"/>
      <c r="SNY75" s="164"/>
      <c r="SNZ75" s="164"/>
      <c r="SOA75" s="164"/>
      <c r="SOB75" s="164"/>
      <c r="SOC75" s="164"/>
      <c r="SOD75" s="164"/>
      <c r="SOE75" s="164"/>
      <c r="SOF75" s="164"/>
      <c r="SOG75" s="164"/>
      <c r="SOH75" s="164"/>
      <c r="SOI75" s="164"/>
      <c r="SOJ75" s="164"/>
      <c r="SOK75" s="164"/>
      <c r="SOL75" s="164"/>
      <c r="SOM75" s="164"/>
      <c r="SON75" s="164"/>
      <c r="SOO75" s="164"/>
      <c r="SOP75" s="164"/>
      <c r="SOQ75" s="164"/>
      <c r="SOR75" s="164"/>
      <c r="SOS75" s="164"/>
      <c r="SOT75" s="164"/>
      <c r="SOU75" s="164"/>
      <c r="SOV75" s="164"/>
      <c r="SOW75" s="164"/>
      <c r="SOX75" s="164"/>
      <c r="SOY75" s="164"/>
      <c r="SOZ75" s="164"/>
      <c r="SPA75" s="164"/>
      <c r="SPB75" s="164"/>
      <c r="SPC75" s="164"/>
      <c r="SPD75" s="164"/>
      <c r="SPE75" s="164"/>
      <c r="SPF75" s="164"/>
      <c r="SPG75" s="164"/>
      <c r="SPH75" s="164"/>
      <c r="SPI75" s="164"/>
      <c r="SPJ75" s="164"/>
      <c r="SPK75" s="164"/>
      <c r="SPL75" s="164"/>
      <c r="SPM75" s="164"/>
      <c r="SPN75" s="164"/>
      <c r="SPO75" s="164"/>
      <c r="SPP75" s="164"/>
      <c r="SPQ75" s="164"/>
      <c r="SPR75" s="164"/>
      <c r="SPS75" s="164"/>
      <c r="SPT75" s="164"/>
      <c r="SPU75" s="164"/>
      <c r="SPV75" s="164"/>
      <c r="SPW75" s="164"/>
      <c r="SPX75" s="164"/>
      <c r="SPY75" s="164"/>
      <c r="SPZ75" s="164"/>
      <c r="SQA75" s="164"/>
      <c r="SQB75" s="164"/>
      <c r="SQC75" s="164"/>
      <c r="SQD75" s="164"/>
      <c r="SQE75" s="164"/>
      <c r="SQF75" s="164"/>
      <c r="SQG75" s="164"/>
      <c r="SQH75" s="164"/>
      <c r="SQI75" s="164"/>
      <c r="SQJ75" s="164"/>
      <c r="SQK75" s="164"/>
      <c r="SQL75" s="164"/>
      <c r="SQM75" s="164"/>
      <c r="SQN75" s="164"/>
      <c r="SQO75" s="164"/>
      <c r="SQP75" s="164"/>
      <c r="SQQ75" s="164"/>
      <c r="SQR75" s="164"/>
      <c r="SQS75" s="164"/>
      <c r="SQT75" s="164"/>
      <c r="SQU75" s="164"/>
      <c r="SQV75" s="164"/>
      <c r="SQW75" s="164"/>
      <c r="SQX75" s="164"/>
      <c r="SQY75" s="164"/>
      <c r="SQZ75" s="164"/>
      <c r="SRA75" s="164"/>
      <c r="SRB75" s="164"/>
      <c r="SRC75" s="164"/>
      <c r="SRD75" s="164"/>
      <c r="SRE75" s="164"/>
      <c r="SRF75" s="164"/>
      <c r="SRG75" s="164"/>
      <c r="SRH75" s="164"/>
      <c r="SRI75" s="164"/>
      <c r="SRJ75" s="164"/>
      <c r="SRK75" s="164"/>
      <c r="SRL75" s="164"/>
      <c r="SRM75" s="164"/>
      <c r="SRN75" s="164"/>
      <c r="SRO75" s="164"/>
      <c r="SRP75" s="164"/>
      <c r="SRQ75" s="164"/>
      <c r="SRR75" s="164"/>
      <c r="SRS75" s="164"/>
      <c r="SRT75" s="164"/>
      <c r="SRU75" s="164"/>
      <c r="SRV75" s="164"/>
      <c r="SRW75" s="164"/>
      <c r="SRX75" s="164"/>
      <c r="SRY75" s="164"/>
      <c r="SRZ75" s="164"/>
      <c r="SSA75" s="164"/>
      <c r="SSB75" s="164"/>
      <c r="SSC75" s="164"/>
      <c r="SSD75" s="164"/>
      <c r="SSE75" s="164"/>
      <c r="SSF75" s="164"/>
      <c r="SSG75" s="164"/>
      <c r="SSH75" s="164"/>
      <c r="SSI75" s="164"/>
      <c r="SSJ75" s="164"/>
      <c r="SSK75" s="164"/>
      <c r="SSL75" s="164"/>
      <c r="SSM75" s="164"/>
      <c r="SSN75" s="164"/>
      <c r="SSO75" s="164"/>
      <c r="SSP75" s="164"/>
      <c r="SSQ75" s="164"/>
      <c r="SSR75" s="164"/>
      <c r="SSS75" s="164"/>
      <c r="SST75" s="164"/>
      <c r="SSU75" s="164"/>
      <c r="SSV75" s="164"/>
      <c r="SSW75" s="164"/>
      <c r="SSX75" s="164"/>
      <c r="SSY75" s="164"/>
      <c r="SSZ75" s="164"/>
      <c r="STA75" s="164"/>
      <c r="STB75" s="164"/>
      <c r="STC75" s="164"/>
      <c r="STD75" s="164"/>
      <c r="STE75" s="164"/>
      <c r="STF75" s="164"/>
      <c r="STG75" s="164"/>
      <c r="STH75" s="164"/>
      <c r="STI75" s="164"/>
      <c r="STJ75" s="164"/>
      <c r="STK75" s="164"/>
      <c r="STL75" s="164"/>
      <c r="STM75" s="164"/>
      <c r="STN75" s="164"/>
      <c r="STO75" s="164"/>
      <c r="STP75" s="164"/>
      <c r="STQ75" s="164"/>
      <c r="STR75" s="164"/>
      <c r="STS75" s="164"/>
      <c r="STT75" s="164"/>
      <c r="STU75" s="164"/>
      <c r="STV75" s="164"/>
      <c r="STW75" s="164"/>
      <c r="STX75" s="164"/>
      <c r="STY75" s="164"/>
      <c r="STZ75" s="164"/>
      <c r="SUA75" s="164"/>
      <c r="SUB75" s="164"/>
      <c r="SUC75" s="164"/>
      <c r="SUD75" s="164"/>
      <c r="SUE75" s="164"/>
      <c r="SUF75" s="164"/>
      <c r="SUG75" s="164"/>
      <c r="SUH75" s="164"/>
      <c r="SUI75" s="164"/>
      <c r="SUJ75" s="164"/>
      <c r="SUK75" s="164"/>
      <c r="SUL75" s="164"/>
      <c r="SUM75" s="164"/>
      <c r="SUN75" s="164"/>
      <c r="SUO75" s="164"/>
      <c r="SUP75" s="164"/>
      <c r="SUQ75" s="164"/>
      <c r="SUR75" s="164"/>
      <c r="SUS75" s="164"/>
      <c r="SUT75" s="164"/>
      <c r="SUU75" s="164"/>
      <c r="SUV75" s="164"/>
      <c r="SUW75" s="164"/>
      <c r="SUX75" s="164"/>
      <c r="SUY75" s="164"/>
      <c r="SUZ75" s="164"/>
      <c r="SVA75" s="164"/>
      <c r="SVB75" s="164"/>
      <c r="SVC75" s="164"/>
      <c r="SVD75" s="164"/>
      <c r="SVE75" s="164"/>
      <c r="SVF75" s="164"/>
      <c r="SVG75" s="164"/>
      <c r="SVH75" s="164"/>
      <c r="SVI75" s="164"/>
      <c r="SVJ75" s="164"/>
      <c r="SVK75" s="164"/>
      <c r="SVL75" s="164"/>
      <c r="SVM75" s="164"/>
      <c r="SVN75" s="164"/>
      <c r="SVO75" s="164"/>
      <c r="SVP75" s="164"/>
      <c r="SVQ75" s="164"/>
      <c r="SVR75" s="164"/>
      <c r="SVS75" s="164"/>
      <c r="SVT75" s="164"/>
      <c r="SVU75" s="164"/>
      <c r="SVV75" s="164"/>
      <c r="SVW75" s="164"/>
      <c r="SVX75" s="164"/>
      <c r="SVY75" s="164"/>
      <c r="SVZ75" s="164"/>
      <c r="SWA75" s="164"/>
      <c r="SWB75" s="164"/>
      <c r="SWC75" s="164"/>
      <c r="SWD75" s="164"/>
      <c r="SWE75" s="164"/>
      <c r="SWF75" s="164"/>
      <c r="SWG75" s="164"/>
      <c r="SWH75" s="164"/>
      <c r="SWI75" s="164"/>
      <c r="SWJ75" s="164"/>
      <c r="SWK75" s="164"/>
      <c r="SWL75" s="164"/>
      <c r="SWM75" s="164"/>
      <c r="SWN75" s="164"/>
      <c r="SWO75" s="164"/>
      <c r="SWP75" s="164"/>
      <c r="SWQ75" s="164"/>
      <c r="SWR75" s="164"/>
      <c r="SWS75" s="164"/>
      <c r="SWT75" s="164"/>
      <c r="SWU75" s="164"/>
      <c r="SWV75" s="164"/>
      <c r="SWW75" s="164"/>
      <c r="SWX75" s="164"/>
      <c r="SWY75" s="164"/>
      <c r="SWZ75" s="164"/>
      <c r="SXA75" s="164"/>
      <c r="SXB75" s="164"/>
      <c r="SXC75" s="164"/>
      <c r="SXD75" s="164"/>
      <c r="SXE75" s="164"/>
      <c r="SXF75" s="164"/>
      <c r="SXG75" s="164"/>
      <c r="SXH75" s="164"/>
      <c r="SXI75" s="164"/>
      <c r="SXJ75" s="164"/>
      <c r="SXK75" s="164"/>
      <c r="SXL75" s="164"/>
      <c r="SXM75" s="164"/>
      <c r="SXN75" s="164"/>
      <c r="SXO75" s="164"/>
      <c r="SXP75" s="164"/>
      <c r="SXQ75" s="164"/>
      <c r="SXR75" s="164"/>
      <c r="SXS75" s="164"/>
      <c r="SXT75" s="164"/>
      <c r="SXU75" s="164"/>
      <c r="SXV75" s="164"/>
      <c r="SXW75" s="164"/>
      <c r="SXX75" s="164"/>
      <c r="SXY75" s="164"/>
      <c r="SXZ75" s="164"/>
      <c r="SYA75" s="164"/>
      <c r="SYB75" s="164"/>
      <c r="SYC75" s="164"/>
      <c r="SYD75" s="164"/>
      <c r="SYE75" s="164"/>
      <c r="SYF75" s="164"/>
      <c r="SYG75" s="164"/>
      <c r="SYH75" s="164"/>
      <c r="SYI75" s="164"/>
      <c r="SYJ75" s="164"/>
      <c r="SYK75" s="164"/>
      <c r="SYL75" s="164"/>
      <c r="SYM75" s="164"/>
      <c r="SYN75" s="164"/>
      <c r="SYO75" s="164"/>
      <c r="SYP75" s="164"/>
      <c r="SYQ75" s="164"/>
      <c r="SYR75" s="164"/>
      <c r="SYS75" s="164"/>
      <c r="SYT75" s="164"/>
      <c r="SYU75" s="164"/>
      <c r="SYV75" s="164"/>
      <c r="SYW75" s="164"/>
      <c r="SYX75" s="164"/>
      <c r="SYY75" s="164"/>
      <c r="SYZ75" s="164"/>
      <c r="SZA75" s="164"/>
      <c r="SZB75" s="164"/>
      <c r="SZC75" s="164"/>
      <c r="SZD75" s="164"/>
      <c r="SZE75" s="164"/>
      <c r="SZF75" s="164"/>
      <c r="SZG75" s="164"/>
      <c r="SZH75" s="164"/>
      <c r="SZI75" s="164"/>
      <c r="SZJ75" s="164"/>
      <c r="SZK75" s="164"/>
      <c r="SZL75" s="164"/>
      <c r="SZM75" s="164"/>
      <c r="SZN75" s="164"/>
      <c r="SZO75" s="164"/>
      <c r="SZP75" s="164"/>
      <c r="SZQ75" s="164"/>
      <c r="SZR75" s="164"/>
      <c r="SZS75" s="164"/>
      <c r="SZT75" s="164"/>
      <c r="SZU75" s="164"/>
      <c r="SZV75" s="164"/>
      <c r="SZW75" s="164"/>
      <c r="SZX75" s="164"/>
      <c r="SZY75" s="164"/>
      <c r="SZZ75" s="164"/>
      <c r="TAA75" s="164"/>
      <c r="TAB75" s="164"/>
      <c r="TAC75" s="164"/>
      <c r="TAD75" s="164"/>
      <c r="TAE75" s="164"/>
      <c r="TAF75" s="164"/>
      <c r="TAG75" s="164"/>
      <c r="TAH75" s="164"/>
      <c r="TAI75" s="164"/>
      <c r="TAJ75" s="164"/>
      <c r="TAK75" s="164"/>
      <c r="TAL75" s="164"/>
      <c r="TAM75" s="164"/>
      <c r="TAN75" s="164"/>
      <c r="TAO75" s="164"/>
      <c r="TAP75" s="164"/>
      <c r="TAQ75" s="164"/>
      <c r="TAR75" s="164"/>
      <c r="TAS75" s="164"/>
      <c r="TAT75" s="164"/>
      <c r="TAU75" s="164"/>
      <c r="TAV75" s="164"/>
      <c r="TAW75" s="164"/>
      <c r="TAX75" s="164"/>
      <c r="TAY75" s="164"/>
      <c r="TAZ75" s="164"/>
      <c r="TBA75" s="164"/>
      <c r="TBB75" s="164"/>
      <c r="TBC75" s="164"/>
      <c r="TBD75" s="164"/>
      <c r="TBE75" s="164"/>
      <c r="TBF75" s="164"/>
      <c r="TBG75" s="164"/>
      <c r="TBH75" s="164"/>
      <c r="TBI75" s="164"/>
      <c r="TBJ75" s="164"/>
      <c r="TBK75" s="164"/>
      <c r="TBL75" s="164"/>
      <c r="TBM75" s="164"/>
      <c r="TBN75" s="164"/>
      <c r="TBO75" s="164"/>
      <c r="TBP75" s="164"/>
      <c r="TBQ75" s="164"/>
      <c r="TBR75" s="164"/>
      <c r="TBS75" s="164"/>
      <c r="TBT75" s="164"/>
      <c r="TBU75" s="164"/>
      <c r="TBV75" s="164"/>
      <c r="TBW75" s="164"/>
      <c r="TBX75" s="164"/>
      <c r="TBY75" s="164"/>
      <c r="TBZ75" s="164"/>
      <c r="TCA75" s="164"/>
      <c r="TCB75" s="164"/>
      <c r="TCC75" s="164"/>
      <c r="TCD75" s="164"/>
      <c r="TCE75" s="164"/>
      <c r="TCF75" s="164"/>
      <c r="TCG75" s="164"/>
      <c r="TCH75" s="164"/>
      <c r="TCI75" s="164"/>
      <c r="TCJ75" s="164"/>
      <c r="TCK75" s="164"/>
      <c r="TCL75" s="164"/>
      <c r="TCM75" s="164"/>
      <c r="TCN75" s="164"/>
      <c r="TCO75" s="164"/>
      <c r="TCP75" s="164"/>
      <c r="TCQ75" s="164"/>
      <c r="TCR75" s="164"/>
      <c r="TCS75" s="164"/>
      <c r="TCT75" s="164"/>
      <c r="TCU75" s="164"/>
      <c r="TCV75" s="164"/>
      <c r="TCW75" s="164"/>
      <c r="TCX75" s="164"/>
      <c r="TCY75" s="164"/>
      <c r="TCZ75" s="164"/>
      <c r="TDA75" s="164"/>
      <c r="TDB75" s="164"/>
      <c r="TDC75" s="164"/>
      <c r="TDD75" s="164"/>
      <c r="TDE75" s="164"/>
      <c r="TDF75" s="164"/>
      <c r="TDG75" s="164"/>
      <c r="TDH75" s="164"/>
      <c r="TDI75" s="164"/>
      <c r="TDJ75" s="164"/>
      <c r="TDK75" s="164"/>
      <c r="TDL75" s="164"/>
      <c r="TDM75" s="164"/>
      <c r="TDN75" s="164"/>
      <c r="TDO75" s="164"/>
      <c r="TDP75" s="164"/>
      <c r="TDQ75" s="164"/>
      <c r="TDR75" s="164"/>
      <c r="TDS75" s="164"/>
      <c r="TDT75" s="164"/>
      <c r="TDU75" s="164"/>
      <c r="TDV75" s="164"/>
      <c r="TDW75" s="164"/>
      <c r="TDX75" s="164"/>
      <c r="TDY75" s="164"/>
      <c r="TDZ75" s="164"/>
      <c r="TEA75" s="164"/>
      <c r="TEB75" s="164"/>
      <c r="TEC75" s="164"/>
      <c r="TED75" s="164"/>
      <c r="TEE75" s="164"/>
      <c r="TEF75" s="164"/>
      <c r="TEG75" s="164"/>
      <c r="TEH75" s="164"/>
      <c r="TEI75" s="164"/>
      <c r="TEJ75" s="164"/>
      <c r="TEK75" s="164"/>
      <c r="TEL75" s="164"/>
      <c r="TEM75" s="164"/>
      <c r="TEN75" s="164"/>
      <c r="TEO75" s="164"/>
      <c r="TEP75" s="164"/>
      <c r="TEQ75" s="164"/>
      <c r="TER75" s="164"/>
      <c r="TES75" s="164"/>
      <c r="TET75" s="164"/>
      <c r="TEU75" s="164"/>
      <c r="TEV75" s="164"/>
      <c r="TEW75" s="164"/>
      <c r="TEX75" s="164"/>
      <c r="TEY75" s="164"/>
      <c r="TEZ75" s="164"/>
      <c r="TFA75" s="164"/>
      <c r="TFB75" s="164"/>
      <c r="TFC75" s="164"/>
      <c r="TFD75" s="164"/>
      <c r="TFE75" s="164"/>
      <c r="TFF75" s="164"/>
      <c r="TFG75" s="164"/>
      <c r="TFH75" s="164"/>
      <c r="TFI75" s="164"/>
      <c r="TFJ75" s="164"/>
      <c r="TFK75" s="164"/>
      <c r="TFL75" s="164"/>
      <c r="TFM75" s="164"/>
      <c r="TFN75" s="164"/>
      <c r="TFO75" s="164"/>
      <c r="TFP75" s="164"/>
      <c r="TFQ75" s="164"/>
      <c r="TFR75" s="164"/>
      <c r="TFS75" s="164"/>
      <c r="TFT75" s="164"/>
      <c r="TFU75" s="164"/>
      <c r="TFV75" s="164"/>
      <c r="TFW75" s="164"/>
      <c r="TFX75" s="164"/>
      <c r="TFY75" s="164"/>
      <c r="TFZ75" s="164"/>
      <c r="TGA75" s="164"/>
      <c r="TGB75" s="164"/>
      <c r="TGC75" s="164"/>
      <c r="TGD75" s="164"/>
      <c r="TGE75" s="164"/>
      <c r="TGF75" s="164"/>
      <c r="TGG75" s="164"/>
      <c r="TGH75" s="164"/>
      <c r="TGI75" s="164"/>
      <c r="TGJ75" s="164"/>
      <c r="TGK75" s="164"/>
      <c r="TGL75" s="164"/>
      <c r="TGM75" s="164"/>
      <c r="TGN75" s="164"/>
      <c r="TGO75" s="164"/>
      <c r="TGP75" s="164"/>
      <c r="TGQ75" s="164"/>
      <c r="TGR75" s="164"/>
      <c r="TGS75" s="164"/>
      <c r="TGT75" s="164"/>
      <c r="TGU75" s="164"/>
      <c r="TGV75" s="164"/>
      <c r="TGW75" s="164"/>
      <c r="TGX75" s="164"/>
      <c r="TGY75" s="164"/>
      <c r="TGZ75" s="164"/>
      <c r="THA75" s="164"/>
      <c r="THB75" s="164"/>
      <c r="THC75" s="164"/>
      <c r="THD75" s="164"/>
      <c r="THE75" s="164"/>
      <c r="THF75" s="164"/>
      <c r="THG75" s="164"/>
      <c r="THH75" s="164"/>
      <c r="THI75" s="164"/>
      <c r="THJ75" s="164"/>
      <c r="THK75" s="164"/>
      <c r="THL75" s="164"/>
      <c r="THM75" s="164"/>
      <c r="THN75" s="164"/>
      <c r="THO75" s="164"/>
      <c r="THP75" s="164"/>
      <c r="THQ75" s="164"/>
      <c r="THR75" s="164"/>
      <c r="THS75" s="164"/>
      <c r="THT75" s="164"/>
      <c r="THU75" s="164"/>
      <c r="THV75" s="164"/>
      <c r="THW75" s="164"/>
      <c r="THX75" s="164"/>
      <c r="THY75" s="164"/>
      <c r="THZ75" s="164"/>
      <c r="TIA75" s="164"/>
      <c r="TIB75" s="164"/>
      <c r="TIC75" s="164"/>
      <c r="TID75" s="164"/>
      <c r="TIE75" s="164"/>
      <c r="TIF75" s="164"/>
      <c r="TIG75" s="164"/>
      <c r="TIH75" s="164"/>
      <c r="TII75" s="164"/>
      <c r="TIJ75" s="164"/>
      <c r="TIK75" s="164"/>
      <c r="TIL75" s="164"/>
      <c r="TIM75" s="164"/>
      <c r="TIN75" s="164"/>
      <c r="TIO75" s="164"/>
      <c r="TIP75" s="164"/>
      <c r="TIQ75" s="164"/>
      <c r="TIR75" s="164"/>
      <c r="TIS75" s="164"/>
      <c r="TIT75" s="164"/>
      <c r="TIU75" s="164"/>
      <c r="TIV75" s="164"/>
      <c r="TIW75" s="164"/>
      <c r="TIX75" s="164"/>
      <c r="TIY75" s="164"/>
      <c r="TIZ75" s="164"/>
      <c r="TJA75" s="164"/>
      <c r="TJB75" s="164"/>
      <c r="TJC75" s="164"/>
      <c r="TJD75" s="164"/>
      <c r="TJE75" s="164"/>
      <c r="TJF75" s="164"/>
      <c r="TJG75" s="164"/>
      <c r="TJH75" s="164"/>
      <c r="TJI75" s="164"/>
      <c r="TJJ75" s="164"/>
      <c r="TJK75" s="164"/>
      <c r="TJL75" s="164"/>
      <c r="TJM75" s="164"/>
      <c r="TJN75" s="164"/>
      <c r="TJO75" s="164"/>
      <c r="TJP75" s="164"/>
      <c r="TJQ75" s="164"/>
      <c r="TJR75" s="164"/>
      <c r="TJS75" s="164"/>
      <c r="TJT75" s="164"/>
      <c r="TJU75" s="164"/>
      <c r="TJV75" s="164"/>
      <c r="TJW75" s="164"/>
      <c r="TJX75" s="164"/>
      <c r="TJY75" s="164"/>
      <c r="TJZ75" s="164"/>
      <c r="TKA75" s="164"/>
      <c r="TKB75" s="164"/>
      <c r="TKC75" s="164"/>
      <c r="TKD75" s="164"/>
      <c r="TKE75" s="164"/>
      <c r="TKF75" s="164"/>
      <c r="TKG75" s="164"/>
      <c r="TKH75" s="164"/>
      <c r="TKI75" s="164"/>
      <c r="TKJ75" s="164"/>
      <c r="TKK75" s="164"/>
      <c r="TKL75" s="164"/>
      <c r="TKM75" s="164"/>
      <c r="TKN75" s="164"/>
      <c r="TKO75" s="164"/>
      <c r="TKP75" s="164"/>
      <c r="TKQ75" s="164"/>
      <c r="TKR75" s="164"/>
      <c r="TKS75" s="164"/>
      <c r="TKT75" s="164"/>
      <c r="TKU75" s="164"/>
      <c r="TKV75" s="164"/>
      <c r="TKW75" s="164"/>
      <c r="TKX75" s="164"/>
      <c r="TKY75" s="164"/>
      <c r="TKZ75" s="164"/>
      <c r="TLA75" s="164"/>
      <c r="TLB75" s="164"/>
      <c r="TLC75" s="164"/>
      <c r="TLD75" s="164"/>
      <c r="TLE75" s="164"/>
      <c r="TLF75" s="164"/>
      <c r="TLG75" s="164"/>
      <c r="TLH75" s="164"/>
      <c r="TLI75" s="164"/>
      <c r="TLJ75" s="164"/>
      <c r="TLK75" s="164"/>
      <c r="TLL75" s="164"/>
      <c r="TLM75" s="164"/>
      <c r="TLN75" s="164"/>
      <c r="TLO75" s="164"/>
      <c r="TLP75" s="164"/>
      <c r="TLQ75" s="164"/>
      <c r="TLR75" s="164"/>
      <c r="TLS75" s="164"/>
      <c r="TLT75" s="164"/>
      <c r="TLU75" s="164"/>
      <c r="TLV75" s="164"/>
      <c r="TLW75" s="164"/>
      <c r="TLX75" s="164"/>
      <c r="TLY75" s="164"/>
      <c r="TLZ75" s="164"/>
      <c r="TMA75" s="164"/>
      <c r="TMB75" s="164"/>
      <c r="TMC75" s="164"/>
      <c r="TMD75" s="164"/>
      <c r="TME75" s="164"/>
      <c r="TMF75" s="164"/>
      <c r="TMG75" s="164"/>
      <c r="TMH75" s="164"/>
      <c r="TMI75" s="164"/>
      <c r="TMJ75" s="164"/>
      <c r="TMK75" s="164"/>
      <c r="TML75" s="164"/>
      <c r="TMM75" s="164"/>
      <c r="TMN75" s="164"/>
      <c r="TMO75" s="164"/>
      <c r="TMP75" s="164"/>
      <c r="TMQ75" s="164"/>
      <c r="TMR75" s="164"/>
      <c r="TMS75" s="164"/>
      <c r="TMT75" s="164"/>
      <c r="TMU75" s="164"/>
      <c r="TMV75" s="164"/>
      <c r="TMW75" s="164"/>
      <c r="TMX75" s="164"/>
      <c r="TMY75" s="164"/>
      <c r="TMZ75" s="164"/>
      <c r="TNA75" s="164"/>
      <c r="TNB75" s="164"/>
      <c r="TNC75" s="164"/>
      <c r="TND75" s="164"/>
      <c r="TNE75" s="164"/>
      <c r="TNF75" s="164"/>
      <c r="TNG75" s="164"/>
      <c r="TNH75" s="164"/>
      <c r="TNI75" s="164"/>
      <c r="TNJ75" s="164"/>
      <c r="TNK75" s="164"/>
      <c r="TNL75" s="164"/>
      <c r="TNM75" s="164"/>
      <c r="TNN75" s="164"/>
      <c r="TNO75" s="164"/>
      <c r="TNP75" s="164"/>
      <c r="TNQ75" s="164"/>
      <c r="TNR75" s="164"/>
      <c r="TNS75" s="164"/>
      <c r="TNT75" s="164"/>
      <c r="TNU75" s="164"/>
      <c r="TNV75" s="164"/>
      <c r="TNW75" s="164"/>
      <c r="TNX75" s="164"/>
      <c r="TNY75" s="164"/>
      <c r="TNZ75" s="164"/>
      <c r="TOA75" s="164"/>
      <c r="TOB75" s="164"/>
      <c r="TOC75" s="164"/>
      <c r="TOD75" s="164"/>
      <c r="TOE75" s="164"/>
      <c r="TOF75" s="164"/>
      <c r="TOG75" s="164"/>
      <c r="TOH75" s="164"/>
      <c r="TOI75" s="164"/>
      <c r="TOJ75" s="164"/>
      <c r="TOK75" s="164"/>
      <c r="TOL75" s="164"/>
      <c r="TOM75" s="164"/>
      <c r="TON75" s="164"/>
      <c r="TOO75" s="164"/>
      <c r="TOP75" s="164"/>
      <c r="TOQ75" s="164"/>
      <c r="TOR75" s="164"/>
      <c r="TOS75" s="164"/>
      <c r="TOT75" s="164"/>
      <c r="TOU75" s="164"/>
      <c r="TOV75" s="164"/>
      <c r="TOW75" s="164"/>
      <c r="TOX75" s="164"/>
      <c r="TOY75" s="164"/>
      <c r="TOZ75" s="164"/>
      <c r="TPA75" s="164"/>
      <c r="TPB75" s="164"/>
      <c r="TPC75" s="164"/>
      <c r="TPD75" s="164"/>
      <c r="TPE75" s="164"/>
      <c r="TPF75" s="164"/>
      <c r="TPG75" s="164"/>
      <c r="TPH75" s="164"/>
      <c r="TPI75" s="164"/>
      <c r="TPJ75" s="164"/>
      <c r="TPK75" s="164"/>
      <c r="TPL75" s="164"/>
      <c r="TPM75" s="164"/>
      <c r="TPN75" s="164"/>
      <c r="TPO75" s="164"/>
      <c r="TPP75" s="164"/>
      <c r="TPQ75" s="164"/>
      <c r="TPR75" s="164"/>
      <c r="TPS75" s="164"/>
      <c r="TPT75" s="164"/>
      <c r="TPU75" s="164"/>
      <c r="TPV75" s="164"/>
      <c r="TPW75" s="164"/>
      <c r="TPX75" s="164"/>
      <c r="TPY75" s="164"/>
      <c r="TPZ75" s="164"/>
      <c r="TQA75" s="164"/>
      <c r="TQB75" s="164"/>
      <c r="TQC75" s="164"/>
      <c r="TQD75" s="164"/>
      <c r="TQE75" s="164"/>
      <c r="TQF75" s="164"/>
      <c r="TQG75" s="164"/>
      <c r="TQH75" s="164"/>
      <c r="TQI75" s="164"/>
      <c r="TQJ75" s="164"/>
      <c r="TQK75" s="164"/>
      <c r="TQL75" s="164"/>
      <c r="TQM75" s="164"/>
      <c r="TQN75" s="164"/>
      <c r="TQO75" s="164"/>
      <c r="TQP75" s="164"/>
      <c r="TQQ75" s="164"/>
      <c r="TQR75" s="164"/>
      <c r="TQS75" s="164"/>
      <c r="TQT75" s="164"/>
      <c r="TQU75" s="164"/>
      <c r="TQV75" s="164"/>
      <c r="TQW75" s="164"/>
      <c r="TQX75" s="164"/>
      <c r="TQY75" s="164"/>
      <c r="TQZ75" s="164"/>
      <c r="TRA75" s="164"/>
      <c r="TRB75" s="164"/>
      <c r="TRC75" s="164"/>
      <c r="TRD75" s="164"/>
      <c r="TRE75" s="164"/>
      <c r="TRF75" s="164"/>
      <c r="TRG75" s="164"/>
      <c r="TRH75" s="164"/>
      <c r="TRI75" s="164"/>
      <c r="TRJ75" s="164"/>
      <c r="TRK75" s="164"/>
      <c r="TRL75" s="164"/>
      <c r="TRM75" s="164"/>
      <c r="TRN75" s="164"/>
      <c r="TRO75" s="164"/>
      <c r="TRP75" s="164"/>
      <c r="TRQ75" s="164"/>
      <c r="TRR75" s="164"/>
      <c r="TRS75" s="164"/>
      <c r="TRT75" s="164"/>
      <c r="TRU75" s="164"/>
      <c r="TRV75" s="164"/>
      <c r="TRW75" s="164"/>
      <c r="TRX75" s="164"/>
      <c r="TRY75" s="164"/>
      <c r="TRZ75" s="164"/>
      <c r="TSA75" s="164"/>
      <c r="TSB75" s="164"/>
      <c r="TSC75" s="164"/>
      <c r="TSD75" s="164"/>
      <c r="TSE75" s="164"/>
      <c r="TSF75" s="164"/>
      <c r="TSG75" s="164"/>
      <c r="TSH75" s="164"/>
      <c r="TSI75" s="164"/>
      <c r="TSJ75" s="164"/>
      <c r="TSK75" s="164"/>
      <c r="TSL75" s="164"/>
      <c r="TSM75" s="164"/>
      <c r="TSN75" s="164"/>
      <c r="TSO75" s="164"/>
      <c r="TSP75" s="164"/>
      <c r="TSQ75" s="164"/>
      <c r="TSR75" s="164"/>
      <c r="TSS75" s="164"/>
      <c r="TST75" s="164"/>
      <c r="TSU75" s="164"/>
      <c r="TSV75" s="164"/>
      <c r="TSW75" s="164"/>
      <c r="TSX75" s="164"/>
      <c r="TSY75" s="164"/>
      <c r="TSZ75" s="164"/>
      <c r="TTA75" s="164"/>
      <c r="TTB75" s="164"/>
      <c r="TTC75" s="164"/>
      <c r="TTD75" s="164"/>
      <c r="TTE75" s="164"/>
      <c r="TTF75" s="164"/>
      <c r="TTG75" s="164"/>
      <c r="TTH75" s="164"/>
      <c r="TTI75" s="164"/>
      <c r="TTJ75" s="164"/>
      <c r="TTK75" s="164"/>
      <c r="TTL75" s="164"/>
      <c r="TTM75" s="164"/>
      <c r="TTN75" s="164"/>
      <c r="TTO75" s="164"/>
      <c r="TTP75" s="164"/>
      <c r="TTQ75" s="164"/>
      <c r="TTR75" s="164"/>
      <c r="TTS75" s="164"/>
      <c r="TTT75" s="164"/>
      <c r="TTU75" s="164"/>
      <c r="TTV75" s="164"/>
      <c r="TTW75" s="164"/>
      <c r="TTX75" s="164"/>
      <c r="TTY75" s="164"/>
      <c r="TTZ75" s="164"/>
      <c r="TUA75" s="164"/>
      <c r="TUB75" s="164"/>
      <c r="TUC75" s="164"/>
      <c r="TUD75" s="164"/>
      <c r="TUE75" s="164"/>
      <c r="TUF75" s="164"/>
      <c r="TUG75" s="164"/>
      <c r="TUH75" s="164"/>
      <c r="TUI75" s="164"/>
      <c r="TUJ75" s="164"/>
      <c r="TUK75" s="164"/>
      <c r="TUL75" s="164"/>
      <c r="TUM75" s="164"/>
      <c r="TUN75" s="164"/>
      <c r="TUO75" s="164"/>
      <c r="TUP75" s="164"/>
      <c r="TUQ75" s="164"/>
      <c r="TUR75" s="164"/>
      <c r="TUS75" s="164"/>
      <c r="TUT75" s="164"/>
      <c r="TUU75" s="164"/>
      <c r="TUV75" s="164"/>
      <c r="TUW75" s="164"/>
      <c r="TUX75" s="164"/>
      <c r="TUY75" s="164"/>
      <c r="TUZ75" s="164"/>
      <c r="TVA75" s="164"/>
      <c r="TVB75" s="164"/>
      <c r="TVC75" s="164"/>
      <c r="TVD75" s="164"/>
      <c r="TVE75" s="164"/>
      <c r="TVF75" s="164"/>
      <c r="TVG75" s="164"/>
      <c r="TVH75" s="164"/>
      <c r="TVI75" s="164"/>
      <c r="TVJ75" s="164"/>
      <c r="TVK75" s="164"/>
      <c r="TVL75" s="164"/>
      <c r="TVM75" s="164"/>
      <c r="TVN75" s="164"/>
      <c r="TVO75" s="164"/>
      <c r="TVP75" s="164"/>
      <c r="TVQ75" s="164"/>
      <c r="TVR75" s="164"/>
      <c r="TVS75" s="164"/>
      <c r="TVT75" s="164"/>
      <c r="TVU75" s="164"/>
      <c r="TVV75" s="164"/>
      <c r="TVW75" s="164"/>
      <c r="TVX75" s="164"/>
      <c r="TVY75" s="164"/>
      <c r="TVZ75" s="164"/>
      <c r="TWA75" s="164"/>
      <c r="TWB75" s="164"/>
      <c r="TWC75" s="164"/>
      <c r="TWD75" s="164"/>
      <c r="TWE75" s="164"/>
      <c r="TWF75" s="164"/>
      <c r="TWG75" s="164"/>
      <c r="TWH75" s="164"/>
      <c r="TWI75" s="164"/>
      <c r="TWJ75" s="164"/>
      <c r="TWK75" s="164"/>
      <c r="TWL75" s="164"/>
      <c r="TWM75" s="164"/>
      <c r="TWN75" s="164"/>
      <c r="TWO75" s="164"/>
      <c r="TWP75" s="164"/>
      <c r="TWQ75" s="164"/>
      <c r="TWR75" s="164"/>
      <c r="TWS75" s="164"/>
      <c r="TWT75" s="164"/>
      <c r="TWU75" s="164"/>
      <c r="TWV75" s="164"/>
      <c r="TWW75" s="164"/>
      <c r="TWX75" s="164"/>
      <c r="TWY75" s="164"/>
      <c r="TWZ75" s="164"/>
      <c r="TXA75" s="164"/>
      <c r="TXB75" s="164"/>
      <c r="TXC75" s="164"/>
      <c r="TXD75" s="164"/>
      <c r="TXE75" s="164"/>
      <c r="TXF75" s="164"/>
      <c r="TXG75" s="164"/>
      <c r="TXH75" s="164"/>
      <c r="TXI75" s="164"/>
      <c r="TXJ75" s="164"/>
      <c r="TXK75" s="164"/>
      <c r="TXL75" s="164"/>
      <c r="TXM75" s="164"/>
      <c r="TXN75" s="164"/>
      <c r="TXO75" s="164"/>
      <c r="TXP75" s="164"/>
      <c r="TXQ75" s="164"/>
      <c r="TXR75" s="164"/>
      <c r="TXS75" s="164"/>
      <c r="TXT75" s="164"/>
      <c r="TXU75" s="164"/>
      <c r="TXV75" s="164"/>
      <c r="TXW75" s="164"/>
      <c r="TXX75" s="164"/>
      <c r="TXY75" s="164"/>
      <c r="TXZ75" s="164"/>
      <c r="TYA75" s="164"/>
      <c r="TYB75" s="164"/>
      <c r="TYC75" s="164"/>
      <c r="TYD75" s="164"/>
      <c r="TYE75" s="164"/>
      <c r="TYF75" s="164"/>
      <c r="TYG75" s="164"/>
      <c r="TYH75" s="164"/>
      <c r="TYI75" s="164"/>
      <c r="TYJ75" s="164"/>
      <c r="TYK75" s="164"/>
      <c r="TYL75" s="164"/>
      <c r="TYM75" s="164"/>
      <c r="TYN75" s="164"/>
      <c r="TYO75" s="164"/>
      <c r="TYP75" s="164"/>
      <c r="TYQ75" s="164"/>
      <c r="TYR75" s="164"/>
      <c r="TYS75" s="164"/>
      <c r="TYT75" s="164"/>
      <c r="TYU75" s="164"/>
      <c r="TYV75" s="164"/>
      <c r="TYW75" s="164"/>
      <c r="TYX75" s="164"/>
      <c r="TYY75" s="164"/>
      <c r="TYZ75" s="164"/>
      <c r="TZA75" s="164"/>
      <c r="TZB75" s="164"/>
      <c r="TZC75" s="164"/>
      <c r="TZD75" s="164"/>
      <c r="TZE75" s="164"/>
      <c r="TZF75" s="164"/>
      <c r="TZG75" s="164"/>
      <c r="TZH75" s="164"/>
      <c r="TZI75" s="164"/>
      <c r="TZJ75" s="164"/>
      <c r="TZK75" s="164"/>
      <c r="TZL75" s="164"/>
      <c r="TZM75" s="164"/>
      <c r="TZN75" s="164"/>
      <c r="TZO75" s="164"/>
      <c r="TZP75" s="164"/>
      <c r="TZQ75" s="164"/>
      <c r="TZR75" s="164"/>
      <c r="TZS75" s="164"/>
      <c r="TZT75" s="164"/>
      <c r="TZU75" s="164"/>
      <c r="TZV75" s="164"/>
      <c r="TZW75" s="164"/>
      <c r="TZX75" s="164"/>
      <c r="TZY75" s="164"/>
      <c r="TZZ75" s="164"/>
      <c r="UAA75" s="164"/>
      <c r="UAB75" s="164"/>
      <c r="UAC75" s="164"/>
      <c r="UAD75" s="164"/>
      <c r="UAE75" s="164"/>
      <c r="UAF75" s="164"/>
      <c r="UAG75" s="164"/>
      <c r="UAH75" s="164"/>
      <c r="UAI75" s="164"/>
      <c r="UAJ75" s="164"/>
      <c r="UAK75" s="164"/>
      <c r="UAL75" s="164"/>
      <c r="UAM75" s="164"/>
      <c r="UAN75" s="164"/>
      <c r="UAO75" s="164"/>
      <c r="UAP75" s="164"/>
      <c r="UAQ75" s="164"/>
      <c r="UAR75" s="164"/>
      <c r="UAS75" s="164"/>
      <c r="UAT75" s="164"/>
      <c r="UAU75" s="164"/>
      <c r="UAV75" s="164"/>
      <c r="UAW75" s="164"/>
      <c r="UAX75" s="164"/>
      <c r="UAY75" s="164"/>
      <c r="UAZ75" s="164"/>
      <c r="UBA75" s="164"/>
      <c r="UBB75" s="164"/>
      <c r="UBC75" s="164"/>
      <c r="UBD75" s="164"/>
      <c r="UBE75" s="164"/>
      <c r="UBF75" s="164"/>
      <c r="UBG75" s="164"/>
      <c r="UBH75" s="164"/>
      <c r="UBI75" s="164"/>
      <c r="UBJ75" s="164"/>
      <c r="UBK75" s="164"/>
      <c r="UBL75" s="164"/>
      <c r="UBM75" s="164"/>
      <c r="UBN75" s="164"/>
      <c r="UBO75" s="164"/>
      <c r="UBP75" s="164"/>
      <c r="UBQ75" s="164"/>
      <c r="UBR75" s="164"/>
      <c r="UBS75" s="164"/>
      <c r="UBT75" s="164"/>
      <c r="UBU75" s="164"/>
      <c r="UBV75" s="164"/>
      <c r="UBW75" s="164"/>
      <c r="UBX75" s="164"/>
      <c r="UBY75" s="164"/>
      <c r="UBZ75" s="164"/>
      <c r="UCA75" s="164"/>
      <c r="UCB75" s="164"/>
      <c r="UCC75" s="164"/>
      <c r="UCD75" s="164"/>
      <c r="UCE75" s="164"/>
      <c r="UCF75" s="164"/>
      <c r="UCG75" s="164"/>
      <c r="UCH75" s="164"/>
      <c r="UCI75" s="164"/>
      <c r="UCJ75" s="164"/>
      <c r="UCK75" s="164"/>
      <c r="UCL75" s="164"/>
      <c r="UCM75" s="164"/>
      <c r="UCN75" s="164"/>
      <c r="UCO75" s="164"/>
      <c r="UCP75" s="164"/>
      <c r="UCQ75" s="164"/>
      <c r="UCR75" s="164"/>
      <c r="UCS75" s="164"/>
      <c r="UCT75" s="164"/>
      <c r="UCU75" s="164"/>
      <c r="UCV75" s="164"/>
      <c r="UCW75" s="164"/>
      <c r="UCX75" s="164"/>
      <c r="UCY75" s="164"/>
      <c r="UCZ75" s="164"/>
      <c r="UDA75" s="164"/>
      <c r="UDB75" s="164"/>
      <c r="UDC75" s="164"/>
      <c r="UDD75" s="164"/>
      <c r="UDE75" s="164"/>
      <c r="UDF75" s="164"/>
      <c r="UDG75" s="164"/>
      <c r="UDH75" s="164"/>
      <c r="UDI75" s="164"/>
      <c r="UDJ75" s="164"/>
      <c r="UDK75" s="164"/>
      <c r="UDL75" s="164"/>
      <c r="UDM75" s="164"/>
      <c r="UDN75" s="164"/>
      <c r="UDO75" s="164"/>
      <c r="UDP75" s="164"/>
      <c r="UDQ75" s="164"/>
      <c r="UDR75" s="164"/>
      <c r="UDS75" s="164"/>
      <c r="UDT75" s="164"/>
      <c r="UDU75" s="164"/>
      <c r="UDV75" s="164"/>
      <c r="UDW75" s="164"/>
      <c r="UDX75" s="164"/>
      <c r="UDY75" s="164"/>
      <c r="UDZ75" s="164"/>
      <c r="UEA75" s="164"/>
      <c r="UEB75" s="164"/>
      <c r="UEC75" s="164"/>
      <c r="UED75" s="164"/>
      <c r="UEE75" s="164"/>
      <c r="UEF75" s="164"/>
      <c r="UEG75" s="164"/>
      <c r="UEH75" s="164"/>
      <c r="UEI75" s="164"/>
      <c r="UEJ75" s="164"/>
      <c r="UEK75" s="164"/>
      <c r="UEL75" s="164"/>
      <c r="UEM75" s="164"/>
      <c r="UEN75" s="164"/>
      <c r="UEO75" s="164"/>
      <c r="UEP75" s="164"/>
      <c r="UEQ75" s="164"/>
      <c r="UER75" s="164"/>
      <c r="UES75" s="164"/>
      <c r="UET75" s="164"/>
      <c r="UEU75" s="164"/>
      <c r="UEV75" s="164"/>
      <c r="UEW75" s="164"/>
      <c r="UEX75" s="164"/>
      <c r="UEY75" s="164"/>
      <c r="UEZ75" s="164"/>
      <c r="UFA75" s="164"/>
      <c r="UFB75" s="164"/>
      <c r="UFC75" s="164"/>
      <c r="UFD75" s="164"/>
      <c r="UFE75" s="164"/>
      <c r="UFF75" s="164"/>
      <c r="UFG75" s="164"/>
      <c r="UFH75" s="164"/>
      <c r="UFI75" s="164"/>
      <c r="UFJ75" s="164"/>
      <c r="UFK75" s="164"/>
      <c r="UFL75" s="164"/>
      <c r="UFM75" s="164"/>
      <c r="UFN75" s="164"/>
      <c r="UFO75" s="164"/>
      <c r="UFP75" s="164"/>
      <c r="UFQ75" s="164"/>
      <c r="UFR75" s="164"/>
      <c r="UFS75" s="164"/>
      <c r="UFT75" s="164"/>
      <c r="UFU75" s="164"/>
      <c r="UFV75" s="164"/>
      <c r="UFW75" s="164"/>
      <c r="UFX75" s="164"/>
      <c r="UFY75" s="164"/>
      <c r="UFZ75" s="164"/>
      <c r="UGA75" s="164"/>
      <c r="UGB75" s="164"/>
      <c r="UGC75" s="164"/>
      <c r="UGD75" s="164"/>
      <c r="UGE75" s="164"/>
      <c r="UGF75" s="164"/>
      <c r="UGG75" s="164"/>
      <c r="UGH75" s="164"/>
      <c r="UGI75" s="164"/>
      <c r="UGJ75" s="164"/>
      <c r="UGK75" s="164"/>
      <c r="UGL75" s="164"/>
      <c r="UGM75" s="164"/>
      <c r="UGN75" s="164"/>
      <c r="UGO75" s="164"/>
      <c r="UGP75" s="164"/>
      <c r="UGQ75" s="164"/>
      <c r="UGR75" s="164"/>
      <c r="UGS75" s="164"/>
      <c r="UGT75" s="164"/>
      <c r="UGU75" s="164"/>
      <c r="UGV75" s="164"/>
      <c r="UGW75" s="164"/>
      <c r="UGX75" s="164"/>
      <c r="UGY75" s="164"/>
      <c r="UGZ75" s="164"/>
      <c r="UHA75" s="164"/>
      <c r="UHB75" s="164"/>
      <c r="UHC75" s="164"/>
      <c r="UHD75" s="164"/>
      <c r="UHE75" s="164"/>
      <c r="UHF75" s="164"/>
      <c r="UHG75" s="164"/>
      <c r="UHH75" s="164"/>
      <c r="UHI75" s="164"/>
      <c r="UHJ75" s="164"/>
      <c r="UHK75" s="164"/>
      <c r="UHL75" s="164"/>
      <c r="UHM75" s="164"/>
      <c r="UHN75" s="164"/>
      <c r="UHO75" s="164"/>
      <c r="UHP75" s="164"/>
      <c r="UHQ75" s="164"/>
      <c r="UHR75" s="164"/>
      <c r="UHS75" s="164"/>
      <c r="UHT75" s="164"/>
      <c r="UHU75" s="164"/>
      <c r="UHV75" s="164"/>
      <c r="UHW75" s="164"/>
      <c r="UHX75" s="164"/>
      <c r="UHY75" s="164"/>
      <c r="UHZ75" s="164"/>
      <c r="UIA75" s="164"/>
      <c r="UIB75" s="164"/>
      <c r="UIC75" s="164"/>
      <c r="UID75" s="164"/>
      <c r="UIE75" s="164"/>
      <c r="UIF75" s="164"/>
      <c r="UIG75" s="164"/>
      <c r="UIH75" s="164"/>
      <c r="UII75" s="164"/>
      <c r="UIJ75" s="164"/>
      <c r="UIK75" s="164"/>
      <c r="UIL75" s="164"/>
      <c r="UIM75" s="164"/>
      <c r="UIN75" s="164"/>
      <c r="UIO75" s="164"/>
      <c r="UIP75" s="164"/>
      <c r="UIQ75" s="164"/>
      <c r="UIR75" s="164"/>
      <c r="UIS75" s="164"/>
      <c r="UIT75" s="164"/>
      <c r="UIU75" s="164"/>
      <c r="UIV75" s="164"/>
      <c r="UIW75" s="164"/>
      <c r="UIX75" s="164"/>
      <c r="UIY75" s="164"/>
      <c r="UIZ75" s="164"/>
      <c r="UJA75" s="164"/>
      <c r="UJB75" s="164"/>
      <c r="UJC75" s="164"/>
      <c r="UJD75" s="164"/>
      <c r="UJE75" s="164"/>
      <c r="UJF75" s="164"/>
      <c r="UJG75" s="164"/>
      <c r="UJH75" s="164"/>
      <c r="UJI75" s="164"/>
      <c r="UJJ75" s="164"/>
      <c r="UJK75" s="164"/>
      <c r="UJL75" s="164"/>
      <c r="UJM75" s="164"/>
      <c r="UJN75" s="164"/>
      <c r="UJO75" s="164"/>
      <c r="UJP75" s="164"/>
      <c r="UJQ75" s="164"/>
      <c r="UJR75" s="164"/>
      <c r="UJS75" s="164"/>
      <c r="UJT75" s="164"/>
      <c r="UJU75" s="164"/>
      <c r="UJV75" s="164"/>
      <c r="UJW75" s="164"/>
      <c r="UJX75" s="164"/>
      <c r="UJY75" s="164"/>
      <c r="UJZ75" s="164"/>
      <c r="UKA75" s="164"/>
      <c r="UKB75" s="164"/>
      <c r="UKC75" s="164"/>
      <c r="UKD75" s="164"/>
      <c r="UKE75" s="164"/>
      <c r="UKF75" s="164"/>
      <c r="UKG75" s="164"/>
      <c r="UKH75" s="164"/>
      <c r="UKI75" s="164"/>
      <c r="UKJ75" s="164"/>
      <c r="UKK75" s="164"/>
      <c r="UKL75" s="164"/>
      <c r="UKM75" s="164"/>
      <c r="UKN75" s="164"/>
      <c r="UKO75" s="164"/>
      <c r="UKP75" s="164"/>
      <c r="UKQ75" s="164"/>
      <c r="UKR75" s="164"/>
      <c r="UKS75" s="164"/>
      <c r="UKT75" s="164"/>
      <c r="UKU75" s="164"/>
      <c r="UKV75" s="164"/>
      <c r="UKW75" s="164"/>
      <c r="UKX75" s="164"/>
      <c r="UKY75" s="164"/>
      <c r="UKZ75" s="164"/>
      <c r="ULA75" s="164"/>
      <c r="ULB75" s="164"/>
      <c r="ULC75" s="164"/>
      <c r="ULD75" s="164"/>
      <c r="ULE75" s="164"/>
      <c r="ULF75" s="164"/>
      <c r="ULG75" s="164"/>
      <c r="ULH75" s="164"/>
      <c r="ULI75" s="164"/>
      <c r="ULJ75" s="164"/>
      <c r="ULK75" s="164"/>
      <c r="ULL75" s="164"/>
      <c r="ULM75" s="164"/>
      <c r="ULN75" s="164"/>
      <c r="ULO75" s="164"/>
      <c r="ULP75" s="164"/>
      <c r="ULQ75" s="164"/>
      <c r="ULR75" s="164"/>
      <c r="ULS75" s="164"/>
      <c r="ULT75" s="164"/>
      <c r="ULU75" s="164"/>
      <c r="ULV75" s="164"/>
      <c r="ULW75" s="164"/>
      <c r="ULX75" s="164"/>
      <c r="ULY75" s="164"/>
      <c r="ULZ75" s="164"/>
      <c r="UMA75" s="164"/>
      <c r="UMB75" s="164"/>
      <c r="UMC75" s="164"/>
      <c r="UMD75" s="164"/>
      <c r="UME75" s="164"/>
      <c r="UMF75" s="164"/>
      <c r="UMG75" s="164"/>
      <c r="UMH75" s="164"/>
      <c r="UMI75" s="164"/>
      <c r="UMJ75" s="164"/>
      <c r="UMK75" s="164"/>
      <c r="UML75" s="164"/>
      <c r="UMM75" s="164"/>
      <c r="UMN75" s="164"/>
      <c r="UMO75" s="164"/>
      <c r="UMP75" s="164"/>
      <c r="UMQ75" s="164"/>
      <c r="UMR75" s="164"/>
      <c r="UMS75" s="164"/>
      <c r="UMT75" s="164"/>
      <c r="UMU75" s="164"/>
      <c r="UMV75" s="164"/>
      <c r="UMW75" s="164"/>
      <c r="UMX75" s="164"/>
      <c r="UMY75" s="164"/>
      <c r="UMZ75" s="164"/>
      <c r="UNA75" s="164"/>
      <c r="UNB75" s="164"/>
      <c r="UNC75" s="164"/>
      <c r="UND75" s="164"/>
      <c r="UNE75" s="164"/>
      <c r="UNF75" s="164"/>
      <c r="UNG75" s="164"/>
      <c r="UNH75" s="164"/>
      <c r="UNI75" s="164"/>
      <c r="UNJ75" s="164"/>
      <c r="UNK75" s="164"/>
      <c r="UNL75" s="164"/>
      <c r="UNM75" s="164"/>
      <c r="UNN75" s="164"/>
      <c r="UNO75" s="164"/>
      <c r="UNP75" s="164"/>
      <c r="UNQ75" s="164"/>
      <c r="UNR75" s="164"/>
      <c r="UNS75" s="164"/>
      <c r="UNT75" s="164"/>
      <c r="UNU75" s="164"/>
      <c r="UNV75" s="164"/>
      <c r="UNW75" s="164"/>
      <c r="UNX75" s="164"/>
      <c r="UNY75" s="164"/>
      <c r="UNZ75" s="164"/>
      <c r="UOA75" s="164"/>
      <c r="UOB75" s="164"/>
      <c r="UOC75" s="164"/>
      <c r="UOD75" s="164"/>
      <c r="UOE75" s="164"/>
      <c r="UOF75" s="164"/>
      <c r="UOG75" s="164"/>
      <c r="UOH75" s="164"/>
      <c r="UOI75" s="164"/>
      <c r="UOJ75" s="164"/>
      <c r="UOK75" s="164"/>
      <c r="UOL75" s="164"/>
      <c r="UOM75" s="164"/>
      <c r="UON75" s="164"/>
      <c r="UOO75" s="164"/>
      <c r="UOP75" s="164"/>
      <c r="UOQ75" s="164"/>
      <c r="UOR75" s="164"/>
      <c r="UOS75" s="164"/>
      <c r="UOT75" s="164"/>
      <c r="UOU75" s="164"/>
      <c r="UOV75" s="164"/>
      <c r="UOW75" s="164"/>
      <c r="UOX75" s="164"/>
      <c r="UOY75" s="164"/>
      <c r="UOZ75" s="164"/>
      <c r="UPA75" s="164"/>
      <c r="UPB75" s="164"/>
      <c r="UPC75" s="164"/>
      <c r="UPD75" s="164"/>
      <c r="UPE75" s="164"/>
      <c r="UPF75" s="164"/>
      <c r="UPG75" s="164"/>
      <c r="UPH75" s="164"/>
      <c r="UPI75" s="164"/>
      <c r="UPJ75" s="164"/>
      <c r="UPK75" s="164"/>
      <c r="UPL75" s="164"/>
      <c r="UPM75" s="164"/>
      <c r="UPN75" s="164"/>
      <c r="UPO75" s="164"/>
      <c r="UPP75" s="164"/>
      <c r="UPQ75" s="164"/>
      <c r="UPR75" s="164"/>
      <c r="UPS75" s="164"/>
      <c r="UPT75" s="164"/>
      <c r="UPU75" s="164"/>
      <c r="UPV75" s="164"/>
      <c r="UPW75" s="164"/>
      <c r="UPX75" s="164"/>
      <c r="UPY75" s="164"/>
      <c r="UPZ75" s="164"/>
      <c r="UQA75" s="164"/>
      <c r="UQB75" s="164"/>
      <c r="UQC75" s="164"/>
      <c r="UQD75" s="164"/>
      <c r="UQE75" s="164"/>
      <c r="UQF75" s="164"/>
      <c r="UQG75" s="164"/>
      <c r="UQH75" s="164"/>
      <c r="UQI75" s="164"/>
      <c r="UQJ75" s="164"/>
      <c r="UQK75" s="164"/>
      <c r="UQL75" s="164"/>
      <c r="UQM75" s="164"/>
      <c r="UQN75" s="164"/>
      <c r="UQO75" s="164"/>
      <c r="UQP75" s="164"/>
      <c r="UQQ75" s="164"/>
      <c r="UQR75" s="164"/>
      <c r="UQS75" s="164"/>
      <c r="UQT75" s="164"/>
      <c r="UQU75" s="164"/>
      <c r="UQV75" s="164"/>
      <c r="UQW75" s="164"/>
      <c r="UQX75" s="164"/>
      <c r="UQY75" s="164"/>
      <c r="UQZ75" s="164"/>
      <c r="URA75" s="164"/>
      <c r="URB75" s="164"/>
      <c r="URC75" s="164"/>
      <c r="URD75" s="164"/>
      <c r="URE75" s="164"/>
      <c r="URF75" s="164"/>
      <c r="URG75" s="164"/>
      <c r="URH75" s="164"/>
      <c r="URI75" s="164"/>
      <c r="URJ75" s="164"/>
      <c r="URK75" s="164"/>
      <c r="URL75" s="164"/>
      <c r="URM75" s="164"/>
      <c r="URN75" s="164"/>
      <c r="URO75" s="164"/>
      <c r="URP75" s="164"/>
      <c r="URQ75" s="164"/>
      <c r="URR75" s="164"/>
      <c r="URS75" s="164"/>
      <c r="URT75" s="164"/>
      <c r="URU75" s="164"/>
      <c r="URV75" s="164"/>
      <c r="URW75" s="164"/>
      <c r="URX75" s="164"/>
      <c r="URY75" s="164"/>
      <c r="URZ75" s="164"/>
      <c r="USA75" s="164"/>
      <c r="USB75" s="164"/>
      <c r="USC75" s="164"/>
      <c r="USD75" s="164"/>
      <c r="USE75" s="164"/>
      <c r="USF75" s="164"/>
      <c r="USG75" s="164"/>
      <c r="USH75" s="164"/>
      <c r="USI75" s="164"/>
      <c r="USJ75" s="164"/>
      <c r="USK75" s="164"/>
      <c r="USL75" s="164"/>
      <c r="USM75" s="164"/>
      <c r="USN75" s="164"/>
      <c r="USO75" s="164"/>
      <c r="USP75" s="164"/>
      <c r="USQ75" s="164"/>
      <c r="USR75" s="164"/>
      <c r="USS75" s="164"/>
      <c r="UST75" s="164"/>
      <c r="USU75" s="164"/>
      <c r="USV75" s="164"/>
      <c r="USW75" s="164"/>
      <c r="USX75" s="164"/>
      <c r="USY75" s="164"/>
      <c r="USZ75" s="164"/>
      <c r="UTA75" s="164"/>
      <c r="UTB75" s="164"/>
      <c r="UTC75" s="164"/>
      <c r="UTD75" s="164"/>
      <c r="UTE75" s="164"/>
      <c r="UTF75" s="164"/>
      <c r="UTG75" s="164"/>
      <c r="UTH75" s="164"/>
      <c r="UTI75" s="164"/>
      <c r="UTJ75" s="164"/>
      <c r="UTK75" s="164"/>
      <c r="UTL75" s="164"/>
      <c r="UTM75" s="164"/>
      <c r="UTN75" s="164"/>
      <c r="UTO75" s="164"/>
      <c r="UTP75" s="164"/>
      <c r="UTQ75" s="164"/>
      <c r="UTR75" s="164"/>
      <c r="UTS75" s="164"/>
      <c r="UTT75" s="164"/>
      <c r="UTU75" s="164"/>
      <c r="UTV75" s="164"/>
      <c r="UTW75" s="164"/>
      <c r="UTX75" s="164"/>
      <c r="UTY75" s="164"/>
      <c r="UTZ75" s="164"/>
      <c r="UUA75" s="164"/>
      <c r="UUB75" s="164"/>
      <c r="UUC75" s="164"/>
      <c r="UUD75" s="164"/>
      <c r="UUE75" s="164"/>
      <c r="UUF75" s="164"/>
      <c r="UUG75" s="164"/>
      <c r="UUH75" s="164"/>
      <c r="UUI75" s="164"/>
      <c r="UUJ75" s="164"/>
      <c r="UUK75" s="164"/>
      <c r="UUL75" s="164"/>
      <c r="UUM75" s="164"/>
      <c r="UUN75" s="164"/>
      <c r="UUO75" s="164"/>
      <c r="UUP75" s="164"/>
      <c r="UUQ75" s="164"/>
      <c r="UUR75" s="164"/>
      <c r="UUS75" s="164"/>
      <c r="UUT75" s="164"/>
      <c r="UUU75" s="164"/>
      <c r="UUV75" s="164"/>
      <c r="UUW75" s="164"/>
      <c r="UUX75" s="164"/>
      <c r="UUY75" s="164"/>
      <c r="UUZ75" s="164"/>
      <c r="UVA75" s="164"/>
      <c r="UVB75" s="164"/>
      <c r="UVC75" s="164"/>
      <c r="UVD75" s="164"/>
      <c r="UVE75" s="164"/>
      <c r="UVF75" s="164"/>
      <c r="UVG75" s="164"/>
      <c r="UVH75" s="164"/>
      <c r="UVI75" s="164"/>
      <c r="UVJ75" s="164"/>
      <c r="UVK75" s="164"/>
      <c r="UVL75" s="164"/>
      <c r="UVM75" s="164"/>
      <c r="UVN75" s="164"/>
      <c r="UVO75" s="164"/>
      <c r="UVP75" s="164"/>
      <c r="UVQ75" s="164"/>
      <c r="UVR75" s="164"/>
      <c r="UVS75" s="164"/>
      <c r="UVT75" s="164"/>
      <c r="UVU75" s="164"/>
      <c r="UVV75" s="164"/>
      <c r="UVW75" s="164"/>
      <c r="UVX75" s="164"/>
      <c r="UVY75" s="164"/>
      <c r="UVZ75" s="164"/>
      <c r="UWA75" s="164"/>
      <c r="UWB75" s="164"/>
      <c r="UWC75" s="164"/>
      <c r="UWD75" s="164"/>
      <c r="UWE75" s="164"/>
      <c r="UWF75" s="164"/>
      <c r="UWG75" s="164"/>
      <c r="UWH75" s="164"/>
      <c r="UWI75" s="164"/>
      <c r="UWJ75" s="164"/>
      <c r="UWK75" s="164"/>
      <c r="UWL75" s="164"/>
      <c r="UWM75" s="164"/>
      <c r="UWN75" s="164"/>
      <c r="UWO75" s="164"/>
      <c r="UWP75" s="164"/>
      <c r="UWQ75" s="164"/>
      <c r="UWR75" s="164"/>
      <c r="UWS75" s="164"/>
      <c r="UWT75" s="164"/>
      <c r="UWU75" s="164"/>
      <c r="UWV75" s="164"/>
      <c r="UWW75" s="164"/>
      <c r="UWX75" s="164"/>
      <c r="UWY75" s="164"/>
      <c r="UWZ75" s="164"/>
      <c r="UXA75" s="164"/>
      <c r="UXB75" s="164"/>
      <c r="UXC75" s="164"/>
      <c r="UXD75" s="164"/>
      <c r="UXE75" s="164"/>
      <c r="UXF75" s="164"/>
      <c r="UXG75" s="164"/>
      <c r="UXH75" s="164"/>
      <c r="UXI75" s="164"/>
      <c r="UXJ75" s="164"/>
      <c r="UXK75" s="164"/>
      <c r="UXL75" s="164"/>
      <c r="UXM75" s="164"/>
      <c r="UXN75" s="164"/>
      <c r="UXO75" s="164"/>
      <c r="UXP75" s="164"/>
      <c r="UXQ75" s="164"/>
      <c r="UXR75" s="164"/>
      <c r="UXS75" s="164"/>
      <c r="UXT75" s="164"/>
      <c r="UXU75" s="164"/>
      <c r="UXV75" s="164"/>
      <c r="UXW75" s="164"/>
      <c r="UXX75" s="164"/>
      <c r="UXY75" s="164"/>
      <c r="UXZ75" s="164"/>
      <c r="UYA75" s="164"/>
      <c r="UYB75" s="164"/>
      <c r="UYC75" s="164"/>
      <c r="UYD75" s="164"/>
      <c r="UYE75" s="164"/>
      <c r="UYF75" s="164"/>
      <c r="UYG75" s="164"/>
      <c r="UYH75" s="164"/>
      <c r="UYI75" s="164"/>
      <c r="UYJ75" s="164"/>
      <c r="UYK75" s="164"/>
      <c r="UYL75" s="164"/>
      <c r="UYM75" s="164"/>
      <c r="UYN75" s="164"/>
      <c r="UYO75" s="164"/>
      <c r="UYP75" s="164"/>
      <c r="UYQ75" s="164"/>
      <c r="UYR75" s="164"/>
      <c r="UYS75" s="164"/>
      <c r="UYT75" s="164"/>
      <c r="UYU75" s="164"/>
      <c r="UYV75" s="164"/>
      <c r="UYW75" s="164"/>
      <c r="UYX75" s="164"/>
      <c r="UYY75" s="164"/>
      <c r="UYZ75" s="164"/>
      <c r="UZA75" s="164"/>
      <c r="UZB75" s="164"/>
      <c r="UZC75" s="164"/>
      <c r="UZD75" s="164"/>
      <c r="UZE75" s="164"/>
      <c r="UZF75" s="164"/>
      <c r="UZG75" s="164"/>
      <c r="UZH75" s="164"/>
      <c r="UZI75" s="164"/>
      <c r="UZJ75" s="164"/>
      <c r="UZK75" s="164"/>
      <c r="UZL75" s="164"/>
      <c r="UZM75" s="164"/>
      <c r="UZN75" s="164"/>
      <c r="UZO75" s="164"/>
      <c r="UZP75" s="164"/>
      <c r="UZQ75" s="164"/>
      <c r="UZR75" s="164"/>
      <c r="UZS75" s="164"/>
      <c r="UZT75" s="164"/>
      <c r="UZU75" s="164"/>
      <c r="UZV75" s="164"/>
      <c r="UZW75" s="164"/>
      <c r="UZX75" s="164"/>
      <c r="UZY75" s="164"/>
      <c r="UZZ75" s="164"/>
      <c r="VAA75" s="164"/>
      <c r="VAB75" s="164"/>
      <c r="VAC75" s="164"/>
      <c r="VAD75" s="164"/>
      <c r="VAE75" s="164"/>
      <c r="VAF75" s="164"/>
      <c r="VAG75" s="164"/>
      <c r="VAH75" s="164"/>
      <c r="VAI75" s="164"/>
      <c r="VAJ75" s="164"/>
      <c r="VAK75" s="164"/>
      <c r="VAL75" s="164"/>
      <c r="VAM75" s="164"/>
      <c r="VAN75" s="164"/>
      <c r="VAO75" s="164"/>
      <c r="VAP75" s="164"/>
      <c r="VAQ75" s="164"/>
      <c r="VAR75" s="164"/>
      <c r="VAS75" s="164"/>
      <c r="VAT75" s="164"/>
      <c r="VAU75" s="164"/>
      <c r="VAV75" s="164"/>
      <c r="VAW75" s="164"/>
      <c r="VAX75" s="164"/>
      <c r="VAY75" s="164"/>
      <c r="VAZ75" s="164"/>
      <c r="VBA75" s="164"/>
      <c r="VBB75" s="164"/>
      <c r="VBC75" s="164"/>
      <c r="VBD75" s="164"/>
      <c r="VBE75" s="164"/>
      <c r="VBF75" s="164"/>
      <c r="VBG75" s="164"/>
      <c r="VBH75" s="164"/>
      <c r="VBI75" s="164"/>
      <c r="VBJ75" s="164"/>
      <c r="VBK75" s="164"/>
      <c r="VBL75" s="164"/>
      <c r="VBM75" s="164"/>
      <c r="VBN75" s="164"/>
      <c r="VBO75" s="164"/>
      <c r="VBP75" s="164"/>
      <c r="VBQ75" s="164"/>
      <c r="VBR75" s="164"/>
      <c r="VBS75" s="164"/>
      <c r="VBT75" s="164"/>
      <c r="VBU75" s="164"/>
      <c r="VBV75" s="164"/>
      <c r="VBW75" s="164"/>
      <c r="VBX75" s="164"/>
      <c r="VBY75" s="164"/>
      <c r="VBZ75" s="164"/>
      <c r="VCA75" s="164"/>
      <c r="VCB75" s="164"/>
      <c r="VCC75" s="164"/>
      <c r="VCD75" s="164"/>
      <c r="VCE75" s="164"/>
      <c r="VCF75" s="164"/>
      <c r="VCG75" s="164"/>
      <c r="VCH75" s="164"/>
      <c r="VCI75" s="164"/>
      <c r="VCJ75" s="164"/>
      <c r="VCK75" s="164"/>
      <c r="VCL75" s="164"/>
      <c r="VCM75" s="164"/>
      <c r="VCN75" s="164"/>
      <c r="VCO75" s="164"/>
      <c r="VCP75" s="164"/>
      <c r="VCQ75" s="164"/>
      <c r="VCR75" s="164"/>
      <c r="VCS75" s="164"/>
      <c r="VCT75" s="164"/>
      <c r="VCU75" s="164"/>
      <c r="VCV75" s="164"/>
      <c r="VCW75" s="164"/>
      <c r="VCX75" s="164"/>
      <c r="VCY75" s="164"/>
      <c r="VCZ75" s="164"/>
      <c r="VDA75" s="164"/>
      <c r="VDB75" s="164"/>
      <c r="VDC75" s="164"/>
      <c r="VDD75" s="164"/>
      <c r="VDE75" s="164"/>
      <c r="VDF75" s="164"/>
      <c r="VDG75" s="164"/>
      <c r="VDH75" s="164"/>
      <c r="VDI75" s="164"/>
      <c r="VDJ75" s="164"/>
      <c r="VDK75" s="164"/>
      <c r="VDL75" s="164"/>
      <c r="VDM75" s="164"/>
      <c r="VDN75" s="164"/>
      <c r="VDO75" s="164"/>
      <c r="VDP75" s="164"/>
      <c r="VDQ75" s="164"/>
      <c r="VDR75" s="164"/>
      <c r="VDS75" s="164"/>
      <c r="VDT75" s="164"/>
      <c r="VDU75" s="164"/>
      <c r="VDV75" s="164"/>
      <c r="VDW75" s="164"/>
      <c r="VDX75" s="164"/>
      <c r="VDY75" s="164"/>
      <c r="VDZ75" s="164"/>
      <c r="VEA75" s="164"/>
      <c r="VEB75" s="164"/>
      <c r="VEC75" s="164"/>
      <c r="VED75" s="164"/>
      <c r="VEE75" s="164"/>
      <c r="VEF75" s="164"/>
      <c r="VEG75" s="164"/>
      <c r="VEH75" s="164"/>
      <c r="VEI75" s="164"/>
      <c r="VEJ75" s="164"/>
      <c r="VEK75" s="164"/>
      <c r="VEL75" s="164"/>
      <c r="VEM75" s="164"/>
      <c r="VEN75" s="164"/>
      <c r="VEO75" s="164"/>
      <c r="VEP75" s="164"/>
      <c r="VEQ75" s="164"/>
      <c r="VER75" s="164"/>
      <c r="VES75" s="164"/>
      <c r="VET75" s="164"/>
      <c r="VEU75" s="164"/>
      <c r="VEV75" s="164"/>
      <c r="VEW75" s="164"/>
      <c r="VEX75" s="164"/>
      <c r="VEY75" s="164"/>
      <c r="VEZ75" s="164"/>
      <c r="VFA75" s="164"/>
      <c r="VFB75" s="164"/>
      <c r="VFC75" s="164"/>
      <c r="VFD75" s="164"/>
      <c r="VFE75" s="164"/>
      <c r="VFF75" s="164"/>
      <c r="VFG75" s="164"/>
      <c r="VFH75" s="164"/>
      <c r="VFI75" s="164"/>
      <c r="VFJ75" s="164"/>
      <c r="VFK75" s="164"/>
      <c r="VFL75" s="164"/>
      <c r="VFM75" s="164"/>
      <c r="VFN75" s="164"/>
      <c r="VFO75" s="164"/>
      <c r="VFP75" s="164"/>
      <c r="VFQ75" s="164"/>
      <c r="VFR75" s="164"/>
      <c r="VFS75" s="164"/>
      <c r="VFT75" s="164"/>
      <c r="VFU75" s="164"/>
      <c r="VFV75" s="164"/>
      <c r="VFW75" s="164"/>
      <c r="VFX75" s="164"/>
      <c r="VFY75" s="164"/>
      <c r="VFZ75" s="164"/>
      <c r="VGA75" s="164"/>
      <c r="VGB75" s="164"/>
      <c r="VGC75" s="164"/>
      <c r="VGD75" s="164"/>
      <c r="VGE75" s="164"/>
      <c r="VGF75" s="164"/>
      <c r="VGG75" s="164"/>
      <c r="VGH75" s="164"/>
      <c r="VGI75" s="164"/>
      <c r="VGJ75" s="164"/>
      <c r="VGK75" s="164"/>
      <c r="VGL75" s="164"/>
      <c r="VGM75" s="164"/>
      <c r="VGN75" s="164"/>
      <c r="VGO75" s="164"/>
      <c r="VGP75" s="164"/>
      <c r="VGQ75" s="164"/>
      <c r="VGR75" s="164"/>
      <c r="VGS75" s="164"/>
      <c r="VGT75" s="164"/>
      <c r="VGU75" s="164"/>
      <c r="VGV75" s="164"/>
      <c r="VGW75" s="164"/>
      <c r="VGX75" s="164"/>
      <c r="VGY75" s="164"/>
      <c r="VGZ75" s="164"/>
      <c r="VHA75" s="164"/>
      <c r="VHB75" s="164"/>
      <c r="VHC75" s="164"/>
      <c r="VHD75" s="164"/>
      <c r="VHE75" s="164"/>
      <c r="VHF75" s="164"/>
      <c r="VHG75" s="164"/>
      <c r="VHH75" s="164"/>
      <c r="VHI75" s="164"/>
      <c r="VHJ75" s="164"/>
      <c r="VHK75" s="164"/>
      <c r="VHL75" s="164"/>
      <c r="VHM75" s="164"/>
      <c r="VHN75" s="164"/>
      <c r="VHO75" s="164"/>
      <c r="VHP75" s="164"/>
      <c r="VHQ75" s="164"/>
      <c r="VHR75" s="164"/>
      <c r="VHS75" s="164"/>
      <c r="VHT75" s="164"/>
      <c r="VHU75" s="164"/>
      <c r="VHV75" s="164"/>
      <c r="VHW75" s="164"/>
      <c r="VHX75" s="164"/>
      <c r="VHY75" s="164"/>
      <c r="VHZ75" s="164"/>
      <c r="VIA75" s="164"/>
      <c r="VIB75" s="164"/>
      <c r="VIC75" s="164"/>
      <c r="VID75" s="164"/>
      <c r="VIE75" s="164"/>
      <c r="VIF75" s="164"/>
      <c r="VIG75" s="164"/>
      <c r="VIH75" s="164"/>
      <c r="VII75" s="164"/>
      <c r="VIJ75" s="164"/>
      <c r="VIK75" s="164"/>
      <c r="VIL75" s="164"/>
      <c r="VIM75" s="164"/>
      <c r="VIN75" s="164"/>
      <c r="VIO75" s="164"/>
      <c r="VIP75" s="164"/>
      <c r="VIQ75" s="164"/>
      <c r="VIR75" s="164"/>
      <c r="VIS75" s="164"/>
      <c r="VIT75" s="164"/>
      <c r="VIU75" s="164"/>
      <c r="VIV75" s="164"/>
      <c r="VIW75" s="164"/>
      <c r="VIX75" s="164"/>
      <c r="VIY75" s="164"/>
      <c r="VIZ75" s="164"/>
      <c r="VJA75" s="164"/>
      <c r="VJB75" s="164"/>
      <c r="VJC75" s="164"/>
      <c r="VJD75" s="164"/>
      <c r="VJE75" s="164"/>
      <c r="VJF75" s="164"/>
      <c r="VJG75" s="164"/>
      <c r="VJH75" s="164"/>
      <c r="VJI75" s="164"/>
      <c r="VJJ75" s="164"/>
      <c r="VJK75" s="164"/>
      <c r="VJL75" s="164"/>
      <c r="VJM75" s="164"/>
      <c r="VJN75" s="164"/>
      <c r="VJO75" s="164"/>
      <c r="VJP75" s="164"/>
      <c r="VJQ75" s="164"/>
      <c r="VJR75" s="164"/>
      <c r="VJS75" s="164"/>
      <c r="VJT75" s="164"/>
      <c r="VJU75" s="164"/>
      <c r="VJV75" s="164"/>
      <c r="VJW75" s="164"/>
      <c r="VJX75" s="164"/>
      <c r="VJY75" s="164"/>
      <c r="VJZ75" s="164"/>
      <c r="VKA75" s="164"/>
      <c r="VKB75" s="164"/>
      <c r="VKC75" s="164"/>
      <c r="VKD75" s="164"/>
      <c r="VKE75" s="164"/>
      <c r="VKF75" s="164"/>
      <c r="VKG75" s="164"/>
      <c r="VKH75" s="164"/>
      <c r="VKI75" s="164"/>
      <c r="VKJ75" s="164"/>
      <c r="VKK75" s="164"/>
      <c r="VKL75" s="164"/>
      <c r="VKM75" s="164"/>
      <c r="VKN75" s="164"/>
      <c r="VKO75" s="164"/>
      <c r="VKP75" s="164"/>
      <c r="VKQ75" s="164"/>
      <c r="VKR75" s="164"/>
      <c r="VKS75" s="164"/>
      <c r="VKT75" s="164"/>
      <c r="VKU75" s="164"/>
      <c r="VKV75" s="164"/>
      <c r="VKW75" s="164"/>
      <c r="VKX75" s="164"/>
      <c r="VKY75" s="164"/>
      <c r="VKZ75" s="164"/>
      <c r="VLA75" s="164"/>
      <c r="VLB75" s="164"/>
      <c r="VLC75" s="164"/>
      <c r="VLD75" s="164"/>
      <c r="VLE75" s="164"/>
      <c r="VLF75" s="164"/>
      <c r="VLG75" s="164"/>
      <c r="VLH75" s="164"/>
      <c r="VLI75" s="164"/>
      <c r="VLJ75" s="164"/>
      <c r="VLK75" s="164"/>
      <c r="VLL75" s="164"/>
      <c r="VLM75" s="164"/>
      <c r="VLN75" s="164"/>
      <c r="VLO75" s="164"/>
      <c r="VLP75" s="164"/>
      <c r="VLQ75" s="164"/>
      <c r="VLR75" s="164"/>
      <c r="VLS75" s="164"/>
      <c r="VLT75" s="164"/>
      <c r="VLU75" s="164"/>
      <c r="VLV75" s="164"/>
      <c r="VLW75" s="164"/>
      <c r="VLX75" s="164"/>
      <c r="VLY75" s="164"/>
      <c r="VLZ75" s="164"/>
      <c r="VMA75" s="164"/>
      <c r="VMB75" s="164"/>
      <c r="VMC75" s="164"/>
      <c r="VMD75" s="164"/>
      <c r="VME75" s="164"/>
      <c r="VMF75" s="164"/>
      <c r="VMG75" s="164"/>
      <c r="VMH75" s="164"/>
      <c r="VMI75" s="164"/>
      <c r="VMJ75" s="164"/>
      <c r="VMK75" s="164"/>
      <c r="VML75" s="164"/>
      <c r="VMM75" s="164"/>
      <c r="VMN75" s="164"/>
      <c r="VMO75" s="164"/>
      <c r="VMP75" s="164"/>
      <c r="VMQ75" s="164"/>
      <c r="VMR75" s="164"/>
      <c r="VMS75" s="164"/>
      <c r="VMT75" s="164"/>
      <c r="VMU75" s="164"/>
      <c r="VMV75" s="164"/>
      <c r="VMW75" s="164"/>
      <c r="VMX75" s="164"/>
      <c r="VMY75" s="164"/>
      <c r="VMZ75" s="164"/>
      <c r="VNA75" s="164"/>
      <c r="VNB75" s="164"/>
      <c r="VNC75" s="164"/>
      <c r="VND75" s="164"/>
      <c r="VNE75" s="164"/>
      <c r="VNF75" s="164"/>
      <c r="VNG75" s="164"/>
      <c r="VNH75" s="164"/>
      <c r="VNI75" s="164"/>
      <c r="VNJ75" s="164"/>
      <c r="VNK75" s="164"/>
      <c r="VNL75" s="164"/>
      <c r="VNM75" s="164"/>
      <c r="VNN75" s="164"/>
      <c r="VNO75" s="164"/>
      <c r="VNP75" s="164"/>
      <c r="VNQ75" s="164"/>
      <c r="VNR75" s="164"/>
      <c r="VNS75" s="164"/>
      <c r="VNT75" s="164"/>
      <c r="VNU75" s="164"/>
      <c r="VNV75" s="164"/>
      <c r="VNW75" s="164"/>
      <c r="VNX75" s="164"/>
      <c r="VNY75" s="164"/>
      <c r="VNZ75" s="164"/>
      <c r="VOA75" s="164"/>
      <c r="VOB75" s="164"/>
      <c r="VOC75" s="164"/>
      <c r="VOD75" s="164"/>
      <c r="VOE75" s="164"/>
      <c r="VOF75" s="164"/>
      <c r="VOG75" s="164"/>
      <c r="VOH75" s="164"/>
      <c r="VOI75" s="164"/>
      <c r="VOJ75" s="164"/>
      <c r="VOK75" s="164"/>
      <c r="VOL75" s="164"/>
      <c r="VOM75" s="164"/>
      <c r="VON75" s="164"/>
      <c r="VOO75" s="164"/>
      <c r="VOP75" s="164"/>
      <c r="VOQ75" s="164"/>
      <c r="VOR75" s="164"/>
      <c r="VOS75" s="164"/>
      <c r="VOT75" s="164"/>
      <c r="VOU75" s="164"/>
      <c r="VOV75" s="164"/>
      <c r="VOW75" s="164"/>
      <c r="VOX75" s="164"/>
      <c r="VOY75" s="164"/>
      <c r="VOZ75" s="164"/>
      <c r="VPA75" s="164"/>
      <c r="VPB75" s="164"/>
      <c r="VPC75" s="164"/>
      <c r="VPD75" s="164"/>
      <c r="VPE75" s="164"/>
      <c r="VPF75" s="164"/>
      <c r="VPG75" s="164"/>
      <c r="VPH75" s="164"/>
      <c r="VPI75" s="164"/>
      <c r="VPJ75" s="164"/>
      <c r="VPK75" s="164"/>
      <c r="VPL75" s="164"/>
      <c r="VPM75" s="164"/>
      <c r="VPN75" s="164"/>
      <c r="VPO75" s="164"/>
      <c r="VPP75" s="164"/>
      <c r="VPQ75" s="164"/>
      <c r="VPR75" s="164"/>
      <c r="VPS75" s="164"/>
      <c r="VPT75" s="164"/>
      <c r="VPU75" s="164"/>
      <c r="VPV75" s="164"/>
      <c r="VPW75" s="164"/>
      <c r="VPX75" s="164"/>
      <c r="VPY75" s="164"/>
      <c r="VPZ75" s="164"/>
      <c r="VQA75" s="164"/>
      <c r="VQB75" s="164"/>
      <c r="VQC75" s="164"/>
      <c r="VQD75" s="164"/>
      <c r="VQE75" s="164"/>
      <c r="VQF75" s="164"/>
      <c r="VQG75" s="164"/>
      <c r="VQH75" s="164"/>
      <c r="VQI75" s="164"/>
      <c r="VQJ75" s="164"/>
      <c r="VQK75" s="164"/>
      <c r="VQL75" s="164"/>
      <c r="VQM75" s="164"/>
      <c r="VQN75" s="164"/>
      <c r="VQO75" s="164"/>
      <c r="VQP75" s="164"/>
      <c r="VQQ75" s="164"/>
      <c r="VQR75" s="164"/>
      <c r="VQS75" s="164"/>
      <c r="VQT75" s="164"/>
      <c r="VQU75" s="164"/>
      <c r="VQV75" s="164"/>
      <c r="VQW75" s="164"/>
      <c r="VQX75" s="164"/>
      <c r="VQY75" s="164"/>
      <c r="VQZ75" s="164"/>
      <c r="VRA75" s="164"/>
      <c r="VRB75" s="164"/>
      <c r="VRC75" s="164"/>
      <c r="VRD75" s="164"/>
      <c r="VRE75" s="164"/>
      <c r="VRF75" s="164"/>
      <c r="VRG75" s="164"/>
      <c r="VRH75" s="164"/>
      <c r="VRI75" s="164"/>
      <c r="VRJ75" s="164"/>
      <c r="VRK75" s="164"/>
      <c r="VRL75" s="164"/>
      <c r="VRM75" s="164"/>
      <c r="VRN75" s="164"/>
      <c r="VRO75" s="164"/>
      <c r="VRP75" s="164"/>
      <c r="VRQ75" s="164"/>
      <c r="VRR75" s="164"/>
      <c r="VRS75" s="164"/>
      <c r="VRT75" s="164"/>
      <c r="VRU75" s="164"/>
      <c r="VRV75" s="164"/>
      <c r="VRW75" s="164"/>
      <c r="VRX75" s="164"/>
      <c r="VRY75" s="164"/>
      <c r="VRZ75" s="164"/>
      <c r="VSA75" s="164"/>
      <c r="VSB75" s="164"/>
      <c r="VSC75" s="164"/>
      <c r="VSD75" s="164"/>
      <c r="VSE75" s="164"/>
      <c r="VSF75" s="164"/>
      <c r="VSG75" s="164"/>
      <c r="VSH75" s="164"/>
      <c r="VSI75" s="164"/>
      <c r="VSJ75" s="164"/>
      <c r="VSK75" s="164"/>
      <c r="VSL75" s="164"/>
      <c r="VSM75" s="164"/>
      <c r="VSN75" s="164"/>
      <c r="VSO75" s="164"/>
      <c r="VSP75" s="164"/>
      <c r="VSQ75" s="164"/>
      <c r="VSR75" s="164"/>
      <c r="VSS75" s="164"/>
      <c r="VST75" s="164"/>
      <c r="VSU75" s="164"/>
      <c r="VSV75" s="164"/>
      <c r="VSW75" s="164"/>
      <c r="VSX75" s="164"/>
      <c r="VSY75" s="164"/>
      <c r="VSZ75" s="164"/>
      <c r="VTA75" s="164"/>
      <c r="VTB75" s="164"/>
      <c r="VTC75" s="164"/>
      <c r="VTD75" s="164"/>
      <c r="VTE75" s="164"/>
      <c r="VTF75" s="164"/>
      <c r="VTG75" s="164"/>
      <c r="VTH75" s="164"/>
      <c r="VTI75" s="164"/>
      <c r="VTJ75" s="164"/>
      <c r="VTK75" s="164"/>
      <c r="VTL75" s="164"/>
      <c r="VTM75" s="164"/>
      <c r="VTN75" s="164"/>
      <c r="VTO75" s="164"/>
      <c r="VTP75" s="164"/>
      <c r="VTQ75" s="164"/>
      <c r="VTR75" s="164"/>
      <c r="VTS75" s="164"/>
      <c r="VTT75" s="164"/>
      <c r="VTU75" s="164"/>
      <c r="VTV75" s="164"/>
      <c r="VTW75" s="164"/>
      <c r="VTX75" s="164"/>
      <c r="VTY75" s="164"/>
      <c r="VTZ75" s="164"/>
      <c r="VUA75" s="164"/>
      <c r="VUB75" s="164"/>
      <c r="VUC75" s="164"/>
      <c r="VUD75" s="164"/>
      <c r="VUE75" s="164"/>
      <c r="VUF75" s="164"/>
      <c r="VUG75" s="164"/>
      <c r="VUH75" s="164"/>
      <c r="VUI75" s="164"/>
      <c r="VUJ75" s="164"/>
      <c r="VUK75" s="164"/>
      <c r="VUL75" s="164"/>
      <c r="VUM75" s="164"/>
      <c r="VUN75" s="164"/>
      <c r="VUO75" s="164"/>
      <c r="VUP75" s="164"/>
      <c r="VUQ75" s="164"/>
      <c r="VUR75" s="164"/>
      <c r="VUS75" s="164"/>
      <c r="VUT75" s="164"/>
      <c r="VUU75" s="164"/>
      <c r="VUV75" s="164"/>
      <c r="VUW75" s="164"/>
      <c r="VUX75" s="164"/>
      <c r="VUY75" s="164"/>
      <c r="VUZ75" s="164"/>
      <c r="VVA75" s="164"/>
      <c r="VVB75" s="164"/>
      <c r="VVC75" s="164"/>
      <c r="VVD75" s="164"/>
      <c r="VVE75" s="164"/>
      <c r="VVF75" s="164"/>
      <c r="VVG75" s="164"/>
      <c r="VVH75" s="164"/>
      <c r="VVI75" s="164"/>
      <c r="VVJ75" s="164"/>
      <c r="VVK75" s="164"/>
      <c r="VVL75" s="164"/>
      <c r="VVM75" s="164"/>
      <c r="VVN75" s="164"/>
      <c r="VVO75" s="164"/>
      <c r="VVP75" s="164"/>
      <c r="VVQ75" s="164"/>
      <c r="VVR75" s="164"/>
      <c r="VVS75" s="164"/>
      <c r="VVT75" s="164"/>
      <c r="VVU75" s="164"/>
      <c r="VVV75" s="164"/>
      <c r="VVW75" s="164"/>
      <c r="VVX75" s="164"/>
      <c r="VVY75" s="164"/>
      <c r="VVZ75" s="164"/>
      <c r="VWA75" s="164"/>
      <c r="VWB75" s="164"/>
      <c r="VWC75" s="164"/>
      <c r="VWD75" s="164"/>
      <c r="VWE75" s="164"/>
      <c r="VWF75" s="164"/>
      <c r="VWG75" s="164"/>
      <c r="VWH75" s="164"/>
      <c r="VWI75" s="164"/>
      <c r="VWJ75" s="164"/>
      <c r="VWK75" s="164"/>
      <c r="VWL75" s="164"/>
      <c r="VWM75" s="164"/>
      <c r="VWN75" s="164"/>
      <c r="VWO75" s="164"/>
      <c r="VWP75" s="164"/>
      <c r="VWQ75" s="164"/>
      <c r="VWR75" s="164"/>
      <c r="VWS75" s="164"/>
      <c r="VWT75" s="164"/>
      <c r="VWU75" s="164"/>
      <c r="VWV75" s="164"/>
      <c r="VWW75" s="164"/>
      <c r="VWX75" s="164"/>
      <c r="VWY75" s="164"/>
      <c r="VWZ75" s="164"/>
      <c r="VXA75" s="164"/>
      <c r="VXB75" s="164"/>
      <c r="VXC75" s="164"/>
      <c r="VXD75" s="164"/>
      <c r="VXE75" s="164"/>
      <c r="VXF75" s="164"/>
      <c r="VXG75" s="164"/>
      <c r="VXH75" s="164"/>
      <c r="VXI75" s="164"/>
      <c r="VXJ75" s="164"/>
      <c r="VXK75" s="164"/>
      <c r="VXL75" s="164"/>
      <c r="VXM75" s="164"/>
      <c r="VXN75" s="164"/>
      <c r="VXO75" s="164"/>
      <c r="VXP75" s="164"/>
      <c r="VXQ75" s="164"/>
      <c r="VXR75" s="164"/>
      <c r="VXS75" s="164"/>
      <c r="VXT75" s="164"/>
      <c r="VXU75" s="164"/>
      <c r="VXV75" s="164"/>
      <c r="VXW75" s="164"/>
      <c r="VXX75" s="164"/>
      <c r="VXY75" s="164"/>
      <c r="VXZ75" s="164"/>
      <c r="VYA75" s="164"/>
      <c r="VYB75" s="164"/>
      <c r="VYC75" s="164"/>
      <c r="VYD75" s="164"/>
      <c r="VYE75" s="164"/>
      <c r="VYF75" s="164"/>
      <c r="VYG75" s="164"/>
      <c r="VYH75" s="164"/>
      <c r="VYI75" s="164"/>
      <c r="VYJ75" s="164"/>
      <c r="VYK75" s="164"/>
      <c r="VYL75" s="164"/>
      <c r="VYM75" s="164"/>
      <c r="VYN75" s="164"/>
      <c r="VYO75" s="164"/>
      <c r="VYP75" s="164"/>
      <c r="VYQ75" s="164"/>
      <c r="VYR75" s="164"/>
      <c r="VYS75" s="164"/>
      <c r="VYT75" s="164"/>
      <c r="VYU75" s="164"/>
      <c r="VYV75" s="164"/>
      <c r="VYW75" s="164"/>
      <c r="VYX75" s="164"/>
      <c r="VYY75" s="164"/>
      <c r="VYZ75" s="164"/>
      <c r="VZA75" s="164"/>
      <c r="VZB75" s="164"/>
      <c r="VZC75" s="164"/>
      <c r="VZD75" s="164"/>
      <c r="VZE75" s="164"/>
      <c r="VZF75" s="164"/>
      <c r="VZG75" s="164"/>
      <c r="VZH75" s="164"/>
      <c r="VZI75" s="164"/>
      <c r="VZJ75" s="164"/>
      <c r="VZK75" s="164"/>
      <c r="VZL75" s="164"/>
      <c r="VZM75" s="164"/>
      <c r="VZN75" s="164"/>
      <c r="VZO75" s="164"/>
      <c r="VZP75" s="164"/>
      <c r="VZQ75" s="164"/>
      <c r="VZR75" s="164"/>
      <c r="VZS75" s="164"/>
      <c r="VZT75" s="164"/>
      <c r="VZU75" s="164"/>
      <c r="VZV75" s="164"/>
      <c r="VZW75" s="164"/>
      <c r="VZX75" s="164"/>
      <c r="VZY75" s="164"/>
      <c r="VZZ75" s="164"/>
      <c r="WAA75" s="164"/>
      <c r="WAB75" s="164"/>
      <c r="WAC75" s="164"/>
      <c r="WAD75" s="164"/>
      <c r="WAE75" s="164"/>
      <c r="WAF75" s="164"/>
      <c r="WAG75" s="164"/>
      <c r="WAH75" s="164"/>
      <c r="WAI75" s="164"/>
      <c r="WAJ75" s="164"/>
      <c r="WAK75" s="164"/>
      <c r="WAL75" s="164"/>
      <c r="WAM75" s="164"/>
      <c r="WAN75" s="164"/>
      <c r="WAO75" s="164"/>
      <c r="WAP75" s="164"/>
      <c r="WAQ75" s="164"/>
      <c r="WAR75" s="164"/>
      <c r="WAS75" s="164"/>
      <c r="WAT75" s="164"/>
      <c r="WAU75" s="164"/>
      <c r="WAV75" s="164"/>
      <c r="WAW75" s="164"/>
      <c r="WAX75" s="164"/>
      <c r="WAY75" s="164"/>
      <c r="WAZ75" s="164"/>
      <c r="WBA75" s="164"/>
      <c r="WBB75" s="164"/>
      <c r="WBC75" s="164"/>
      <c r="WBD75" s="164"/>
      <c r="WBE75" s="164"/>
      <c r="WBF75" s="164"/>
      <c r="WBG75" s="164"/>
      <c r="WBH75" s="164"/>
      <c r="WBI75" s="164"/>
      <c r="WBJ75" s="164"/>
      <c r="WBK75" s="164"/>
      <c r="WBL75" s="164"/>
      <c r="WBM75" s="164"/>
      <c r="WBN75" s="164"/>
      <c r="WBO75" s="164"/>
      <c r="WBP75" s="164"/>
      <c r="WBQ75" s="164"/>
      <c r="WBR75" s="164"/>
      <c r="WBS75" s="164"/>
      <c r="WBT75" s="164"/>
      <c r="WBU75" s="164"/>
      <c r="WBV75" s="164"/>
      <c r="WBW75" s="164"/>
      <c r="WBX75" s="164"/>
      <c r="WBY75" s="164"/>
      <c r="WBZ75" s="164"/>
      <c r="WCA75" s="164"/>
      <c r="WCB75" s="164"/>
      <c r="WCC75" s="164"/>
      <c r="WCD75" s="164"/>
      <c r="WCE75" s="164"/>
      <c r="WCF75" s="164"/>
      <c r="WCG75" s="164"/>
      <c r="WCH75" s="164"/>
      <c r="WCI75" s="164"/>
      <c r="WCJ75" s="164"/>
      <c r="WCK75" s="164"/>
      <c r="WCL75" s="164"/>
      <c r="WCM75" s="164"/>
      <c r="WCN75" s="164"/>
      <c r="WCO75" s="164"/>
      <c r="WCP75" s="164"/>
      <c r="WCQ75" s="164"/>
      <c r="WCR75" s="164"/>
      <c r="WCS75" s="164"/>
      <c r="WCT75" s="164"/>
      <c r="WCU75" s="164"/>
      <c r="WCV75" s="164"/>
      <c r="WCW75" s="164"/>
      <c r="WCX75" s="164"/>
      <c r="WCY75" s="164"/>
      <c r="WCZ75" s="164"/>
      <c r="WDA75" s="164"/>
      <c r="WDB75" s="164"/>
      <c r="WDC75" s="164"/>
      <c r="WDD75" s="164"/>
      <c r="WDE75" s="164"/>
      <c r="WDF75" s="164"/>
      <c r="WDG75" s="164"/>
      <c r="WDH75" s="164"/>
      <c r="WDI75" s="164"/>
      <c r="WDJ75" s="164"/>
      <c r="WDK75" s="164"/>
      <c r="WDL75" s="164"/>
      <c r="WDM75" s="164"/>
      <c r="WDN75" s="164"/>
      <c r="WDO75" s="164"/>
      <c r="WDP75" s="164"/>
      <c r="WDQ75" s="164"/>
      <c r="WDR75" s="164"/>
      <c r="WDS75" s="164"/>
      <c r="WDT75" s="164"/>
      <c r="WDU75" s="164"/>
      <c r="WDV75" s="164"/>
      <c r="WDW75" s="164"/>
      <c r="WDX75" s="164"/>
      <c r="WDY75" s="164"/>
      <c r="WDZ75" s="164"/>
      <c r="WEA75" s="164"/>
      <c r="WEB75" s="164"/>
      <c r="WEC75" s="164"/>
      <c r="WED75" s="164"/>
      <c r="WEE75" s="164"/>
      <c r="WEF75" s="164"/>
      <c r="WEG75" s="164"/>
      <c r="WEH75" s="164"/>
      <c r="WEI75" s="164"/>
      <c r="WEJ75" s="164"/>
      <c r="WEK75" s="164"/>
      <c r="WEL75" s="164"/>
      <c r="WEM75" s="164"/>
      <c r="WEN75" s="164"/>
      <c r="WEO75" s="164"/>
      <c r="WEP75" s="164"/>
      <c r="WEQ75" s="164"/>
      <c r="WER75" s="164"/>
      <c r="WES75" s="164"/>
      <c r="WET75" s="164"/>
      <c r="WEU75" s="164"/>
      <c r="WEV75" s="164"/>
      <c r="WEW75" s="164"/>
      <c r="WEX75" s="164"/>
      <c r="WEY75" s="164"/>
      <c r="WEZ75" s="164"/>
      <c r="WFA75" s="164"/>
      <c r="WFB75" s="164"/>
      <c r="WFC75" s="164"/>
      <c r="WFD75" s="164"/>
      <c r="WFE75" s="164"/>
      <c r="WFF75" s="164"/>
      <c r="WFG75" s="164"/>
      <c r="WFH75" s="164"/>
      <c r="WFI75" s="164"/>
      <c r="WFJ75" s="164"/>
      <c r="WFK75" s="164"/>
      <c r="WFL75" s="164"/>
      <c r="WFM75" s="164"/>
      <c r="WFN75" s="164"/>
      <c r="WFO75" s="164"/>
      <c r="WFP75" s="164"/>
      <c r="WFQ75" s="164"/>
      <c r="WFR75" s="164"/>
      <c r="WFS75" s="164"/>
      <c r="WFT75" s="164"/>
      <c r="WFU75" s="164"/>
      <c r="WFV75" s="164"/>
      <c r="WFW75" s="164"/>
      <c r="WFX75" s="164"/>
      <c r="WFY75" s="164"/>
      <c r="WFZ75" s="164"/>
      <c r="WGA75" s="164"/>
      <c r="WGB75" s="164"/>
      <c r="WGC75" s="164"/>
      <c r="WGD75" s="164"/>
      <c r="WGE75" s="164"/>
      <c r="WGF75" s="164"/>
      <c r="WGG75" s="164"/>
      <c r="WGH75" s="164"/>
      <c r="WGI75" s="164"/>
      <c r="WGJ75" s="164"/>
      <c r="WGK75" s="164"/>
      <c r="WGL75" s="164"/>
      <c r="WGM75" s="164"/>
      <c r="WGN75" s="164"/>
      <c r="WGO75" s="164"/>
      <c r="WGP75" s="164"/>
      <c r="WGQ75" s="164"/>
      <c r="WGR75" s="164"/>
      <c r="WGS75" s="164"/>
      <c r="WGT75" s="164"/>
      <c r="WGU75" s="164"/>
      <c r="WGV75" s="164"/>
      <c r="WGW75" s="164"/>
      <c r="WGX75" s="164"/>
      <c r="WGY75" s="164"/>
      <c r="WGZ75" s="164"/>
      <c r="WHA75" s="164"/>
      <c r="WHB75" s="164"/>
      <c r="WHC75" s="164"/>
      <c r="WHD75" s="164"/>
      <c r="WHE75" s="164"/>
      <c r="WHF75" s="164"/>
      <c r="WHG75" s="164"/>
      <c r="WHH75" s="164"/>
      <c r="WHI75" s="164"/>
      <c r="WHJ75" s="164"/>
      <c r="WHK75" s="164"/>
      <c r="WHL75" s="164"/>
      <c r="WHM75" s="164"/>
      <c r="WHN75" s="164"/>
      <c r="WHO75" s="164"/>
      <c r="WHP75" s="164"/>
      <c r="WHQ75" s="164"/>
      <c r="WHR75" s="164"/>
      <c r="WHS75" s="164"/>
      <c r="WHT75" s="164"/>
      <c r="WHU75" s="164"/>
      <c r="WHV75" s="164"/>
      <c r="WHW75" s="164"/>
      <c r="WHX75" s="164"/>
      <c r="WHY75" s="164"/>
      <c r="WHZ75" s="164"/>
      <c r="WIA75" s="164"/>
      <c r="WIB75" s="164"/>
      <c r="WIC75" s="164"/>
      <c r="WID75" s="164"/>
      <c r="WIE75" s="164"/>
      <c r="WIF75" s="164"/>
      <c r="WIG75" s="164"/>
      <c r="WIH75" s="164"/>
      <c r="WII75" s="164"/>
      <c r="WIJ75" s="164"/>
      <c r="WIK75" s="164"/>
      <c r="WIL75" s="164"/>
      <c r="WIM75" s="164"/>
      <c r="WIN75" s="164"/>
      <c r="WIO75" s="164"/>
      <c r="WIP75" s="164"/>
      <c r="WIQ75" s="164"/>
      <c r="WIR75" s="164"/>
      <c r="WIS75" s="164"/>
      <c r="WIT75" s="164"/>
      <c r="WIU75" s="164"/>
      <c r="WIV75" s="164"/>
      <c r="WIW75" s="164"/>
      <c r="WIX75" s="164"/>
      <c r="WIY75" s="164"/>
      <c r="WIZ75" s="164"/>
      <c r="WJA75" s="164"/>
      <c r="WJB75" s="164"/>
      <c r="WJC75" s="164"/>
      <c r="WJD75" s="164"/>
      <c r="WJE75" s="164"/>
      <c r="WJF75" s="164"/>
      <c r="WJG75" s="164"/>
      <c r="WJH75" s="164"/>
      <c r="WJI75" s="164"/>
      <c r="WJJ75" s="164"/>
      <c r="WJK75" s="164"/>
      <c r="WJL75" s="164"/>
      <c r="WJM75" s="164"/>
      <c r="WJN75" s="164"/>
      <c r="WJO75" s="164"/>
      <c r="WJP75" s="164"/>
      <c r="WJQ75" s="164"/>
      <c r="WJR75" s="164"/>
      <c r="WJS75" s="164"/>
      <c r="WJT75" s="164"/>
      <c r="WJU75" s="164"/>
      <c r="WJV75" s="164"/>
      <c r="WJW75" s="164"/>
      <c r="WJX75" s="164"/>
      <c r="WJY75" s="164"/>
      <c r="WJZ75" s="164"/>
      <c r="WKA75" s="164"/>
      <c r="WKB75" s="164"/>
      <c r="WKC75" s="164"/>
      <c r="WKD75" s="164"/>
      <c r="WKE75" s="164"/>
      <c r="WKF75" s="164"/>
      <c r="WKG75" s="164"/>
      <c r="WKH75" s="164"/>
      <c r="WKI75" s="164"/>
      <c r="WKJ75" s="164"/>
      <c r="WKK75" s="164"/>
      <c r="WKL75" s="164"/>
      <c r="WKM75" s="164"/>
      <c r="WKN75" s="164"/>
      <c r="WKO75" s="164"/>
      <c r="WKP75" s="164"/>
      <c r="WKQ75" s="164"/>
      <c r="WKR75" s="164"/>
      <c r="WKS75" s="164"/>
      <c r="WKT75" s="164"/>
      <c r="WKU75" s="164"/>
      <c r="WKV75" s="164"/>
      <c r="WKW75" s="164"/>
      <c r="WKX75" s="164"/>
      <c r="WKY75" s="164"/>
      <c r="WKZ75" s="164"/>
      <c r="WLA75" s="164"/>
      <c r="WLB75" s="164"/>
      <c r="WLC75" s="164"/>
      <c r="WLD75" s="164"/>
      <c r="WLE75" s="164"/>
      <c r="WLF75" s="164"/>
      <c r="WLG75" s="164"/>
      <c r="WLH75" s="164"/>
      <c r="WLI75" s="164"/>
      <c r="WLJ75" s="164"/>
      <c r="WLK75" s="164"/>
      <c r="WLL75" s="164"/>
      <c r="WLM75" s="164"/>
      <c r="WLN75" s="164"/>
      <c r="WLO75" s="164"/>
      <c r="WLP75" s="164"/>
      <c r="WLQ75" s="164"/>
      <c r="WLR75" s="164"/>
      <c r="WLS75" s="164"/>
      <c r="WLT75" s="164"/>
      <c r="WLU75" s="164"/>
      <c r="WLV75" s="164"/>
      <c r="WLW75" s="164"/>
      <c r="WLX75" s="164"/>
      <c r="WLY75" s="164"/>
      <c r="WLZ75" s="164"/>
      <c r="WMA75" s="164"/>
      <c r="WMB75" s="164"/>
      <c r="WMC75" s="164"/>
      <c r="WMD75" s="164"/>
      <c r="WME75" s="164"/>
      <c r="WMF75" s="164"/>
      <c r="WMG75" s="164"/>
      <c r="WMH75" s="164"/>
      <c r="WMI75" s="164"/>
      <c r="WMJ75" s="164"/>
      <c r="WMK75" s="164"/>
      <c r="WML75" s="164"/>
      <c r="WMM75" s="164"/>
      <c r="WMN75" s="164"/>
      <c r="WMO75" s="164"/>
      <c r="WMP75" s="164"/>
      <c r="WMQ75" s="164"/>
      <c r="WMR75" s="164"/>
      <c r="WMS75" s="164"/>
      <c r="WMT75" s="164"/>
      <c r="WMU75" s="164"/>
      <c r="WMV75" s="164"/>
      <c r="WMW75" s="164"/>
      <c r="WMX75" s="164"/>
      <c r="WMY75" s="164"/>
      <c r="WMZ75" s="164"/>
      <c r="WNA75" s="164"/>
      <c r="WNB75" s="164"/>
      <c r="WNC75" s="164"/>
      <c r="WND75" s="164"/>
      <c r="WNE75" s="164"/>
      <c r="WNF75" s="164"/>
      <c r="WNG75" s="164"/>
      <c r="WNH75" s="164"/>
      <c r="WNI75" s="164"/>
      <c r="WNJ75" s="164"/>
      <c r="WNK75" s="164"/>
      <c r="WNL75" s="164"/>
      <c r="WNM75" s="164"/>
      <c r="WNN75" s="164"/>
      <c r="WNO75" s="164"/>
      <c r="WNP75" s="164"/>
      <c r="WNQ75" s="164"/>
      <c r="WNR75" s="164"/>
      <c r="WNS75" s="164"/>
      <c r="WNT75" s="164"/>
      <c r="WNU75" s="164"/>
      <c r="WNV75" s="164"/>
      <c r="WNW75" s="164"/>
      <c r="WNX75" s="164"/>
      <c r="WNY75" s="164"/>
      <c r="WNZ75" s="164"/>
      <c r="WOA75" s="164"/>
      <c r="WOB75" s="164"/>
      <c r="WOC75" s="164"/>
      <c r="WOD75" s="164"/>
      <c r="WOE75" s="164"/>
      <c r="WOF75" s="164"/>
      <c r="WOG75" s="164"/>
      <c r="WOH75" s="164"/>
      <c r="WOI75" s="164"/>
      <c r="WOJ75" s="164"/>
      <c r="WOK75" s="164"/>
      <c r="WOL75" s="164"/>
      <c r="WOM75" s="164"/>
      <c r="WON75" s="164"/>
      <c r="WOO75" s="164"/>
      <c r="WOP75" s="164"/>
      <c r="WOQ75" s="164"/>
      <c r="WOR75" s="164"/>
      <c r="WOS75" s="164"/>
      <c r="WOT75" s="164"/>
      <c r="WOU75" s="164"/>
      <c r="WOV75" s="164"/>
      <c r="WOW75" s="164"/>
      <c r="WOX75" s="164"/>
      <c r="WOY75" s="164"/>
      <c r="WOZ75" s="164"/>
      <c r="WPA75" s="164"/>
      <c r="WPB75" s="164"/>
      <c r="WPC75" s="164"/>
      <c r="WPD75" s="164"/>
      <c r="WPE75" s="164"/>
      <c r="WPF75" s="164"/>
      <c r="WPG75" s="164"/>
      <c r="WPH75" s="164"/>
      <c r="WPI75" s="164"/>
      <c r="WPJ75" s="164"/>
      <c r="WPK75" s="164"/>
      <c r="WPL75" s="164"/>
      <c r="WPM75" s="164"/>
      <c r="WPN75" s="164"/>
      <c r="WPO75" s="164"/>
      <c r="WPP75" s="164"/>
      <c r="WPQ75" s="164"/>
      <c r="WPR75" s="164"/>
      <c r="WPS75" s="164"/>
      <c r="WPT75" s="164"/>
      <c r="WPU75" s="164"/>
      <c r="WPV75" s="164"/>
      <c r="WPW75" s="164"/>
      <c r="WPX75" s="164"/>
      <c r="WPY75" s="164"/>
      <c r="WPZ75" s="164"/>
      <c r="WQA75" s="164"/>
      <c r="WQB75" s="164"/>
      <c r="WQC75" s="164"/>
      <c r="WQD75" s="164"/>
      <c r="WQE75" s="164"/>
      <c r="WQF75" s="164"/>
      <c r="WQG75" s="164"/>
      <c r="WQH75" s="164"/>
      <c r="WQI75" s="164"/>
      <c r="WQJ75" s="164"/>
      <c r="WQK75" s="164"/>
      <c r="WQL75" s="164"/>
      <c r="WQM75" s="164"/>
      <c r="WQN75" s="164"/>
      <c r="WQO75" s="164"/>
      <c r="WQP75" s="164"/>
      <c r="WQQ75" s="164"/>
      <c r="WQR75" s="164"/>
      <c r="WQS75" s="164"/>
      <c r="WQT75" s="164"/>
      <c r="WQU75" s="164"/>
      <c r="WQV75" s="164"/>
      <c r="WQW75" s="164"/>
      <c r="WQX75" s="164"/>
      <c r="WQY75" s="164"/>
      <c r="WQZ75" s="164"/>
      <c r="WRA75" s="164"/>
      <c r="WRB75" s="164"/>
      <c r="WRC75" s="164"/>
      <c r="WRD75" s="164"/>
      <c r="WRE75" s="164"/>
      <c r="WRF75" s="164"/>
      <c r="WRG75" s="164"/>
      <c r="WRH75" s="164"/>
      <c r="WRI75" s="164"/>
      <c r="WRJ75" s="164"/>
      <c r="WRK75" s="164"/>
      <c r="WRL75" s="164"/>
      <c r="WRM75" s="164"/>
      <c r="WRN75" s="164"/>
      <c r="WRO75" s="164"/>
      <c r="WRP75" s="164"/>
      <c r="WRQ75" s="164"/>
      <c r="WRR75" s="164"/>
      <c r="WRS75" s="164"/>
      <c r="WRT75" s="164"/>
      <c r="WRU75" s="164"/>
    </row>
    <row r="76" spans="1:16037" s="126" customFormat="1" ht="120.75" hidden="1" customHeight="1" x14ac:dyDescent="0.2">
      <c r="A76" s="126">
        <v>3</v>
      </c>
      <c r="C76" s="149">
        <v>2021</v>
      </c>
      <c r="D76" s="145">
        <f>+Tabla2[[#This Row],[Fecha de Postulación]]</f>
        <v>44428</v>
      </c>
      <c r="E76" s="146" t="s">
        <v>118</v>
      </c>
      <c r="F76" s="146" t="s">
        <v>286</v>
      </c>
      <c r="G76" s="154" t="str">
        <f>'Perfiles '!D56</f>
        <v>16-Rayentué</v>
      </c>
      <c r="H76" s="147" t="s">
        <v>283</v>
      </c>
      <c r="I76" s="146" t="s">
        <v>277</v>
      </c>
      <c r="J76" s="160" t="s">
        <v>139</v>
      </c>
      <c r="K76" s="146" t="str">
        <f>'Perfiles '!H56</f>
        <v>INIA</v>
      </c>
      <c r="L76" s="146" t="s">
        <v>240</v>
      </c>
      <c r="M76" s="146">
        <v>395</v>
      </c>
      <c r="N76" s="150">
        <v>44428</v>
      </c>
      <c r="O76" s="152">
        <v>149985876</v>
      </c>
      <c r="P76" s="152">
        <v>6000000</v>
      </c>
      <c r="Q76" s="152">
        <v>9588000</v>
      </c>
      <c r="R76" s="152">
        <v>750000</v>
      </c>
      <c r="S76" s="156">
        <v>122918128</v>
      </c>
      <c r="T76" s="152">
        <f>SUM(O76:S76)</f>
        <v>289242004</v>
      </c>
      <c r="U76" s="152">
        <v>10498010</v>
      </c>
      <c r="V76" s="146">
        <v>0</v>
      </c>
      <c r="W76" s="149">
        <v>36</v>
      </c>
      <c r="X76" s="150">
        <v>44448</v>
      </c>
      <c r="Y76" s="146" t="s">
        <v>288</v>
      </c>
      <c r="Z76" s="150" t="s">
        <v>66</v>
      </c>
      <c r="AA76" s="146" t="s">
        <v>66</v>
      </c>
      <c r="AB76" s="146" t="s">
        <v>294</v>
      </c>
      <c r="AC76" s="146" t="s">
        <v>291</v>
      </c>
      <c r="AD76" s="146"/>
      <c r="AE76" s="153">
        <f>O76</f>
        <v>149985876</v>
      </c>
      <c r="AF76" s="153">
        <f>P76</f>
        <v>6000000</v>
      </c>
      <c r="AG76" s="153">
        <f>R76+S76</f>
        <v>123668128</v>
      </c>
      <c r="AH76" s="153">
        <v>0</v>
      </c>
      <c r="AI76" s="153">
        <f>T76</f>
        <v>289242004</v>
      </c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  <c r="DQ76" s="164"/>
      <c r="DR76" s="164"/>
      <c r="DS76" s="164"/>
      <c r="DT76" s="164"/>
      <c r="DU76" s="164"/>
      <c r="DV76" s="164"/>
      <c r="DW76" s="164"/>
      <c r="DX76" s="164"/>
      <c r="DY76" s="164"/>
      <c r="DZ76" s="164"/>
      <c r="EA76" s="164"/>
      <c r="EB76" s="164"/>
      <c r="EC76" s="164"/>
      <c r="ED76" s="164"/>
      <c r="EE76" s="164"/>
      <c r="EF76" s="164"/>
      <c r="EG76" s="164"/>
      <c r="EH76" s="164"/>
      <c r="EI76" s="164"/>
      <c r="EJ76" s="164"/>
      <c r="EK76" s="164"/>
      <c r="EL76" s="164"/>
      <c r="EM76" s="164"/>
      <c r="EN76" s="164"/>
      <c r="EO76" s="164"/>
      <c r="EP76" s="164"/>
      <c r="EQ76" s="164"/>
      <c r="ER76" s="164"/>
      <c r="ES76" s="164"/>
      <c r="ET76" s="164"/>
      <c r="EU76" s="164"/>
      <c r="EV76" s="164"/>
      <c r="EW76" s="164"/>
      <c r="EX76" s="164"/>
      <c r="EY76" s="164"/>
      <c r="EZ76" s="164"/>
      <c r="FA76" s="164"/>
      <c r="FB76" s="164"/>
      <c r="FC76" s="164"/>
      <c r="FD76" s="164"/>
      <c r="FE76" s="164"/>
      <c r="FF76" s="164"/>
      <c r="FG76" s="164"/>
      <c r="FH76" s="164"/>
      <c r="FI76" s="164"/>
      <c r="FJ76" s="164"/>
      <c r="FK76" s="164"/>
      <c r="FL76" s="164"/>
      <c r="FM76" s="164"/>
      <c r="FN76" s="164"/>
      <c r="FO76" s="164"/>
      <c r="FP76" s="164"/>
      <c r="FQ76" s="164"/>
      <c r="FR76" s="164"/>
      <c r="FS76" s="164"/>
      <c r="FT76" s="164"/>
      <c r="FU76" s="164"/>
      <c r="FV76" s="164"/>
      <c r="FW76" s="164"/>
      <c r="FX76" s="164"/>
      <c r="FY76" s="164"/>
      <c r="FZ76" s="164"/>
      <c r="GA76" s="164"/>
      <c r="GB76" s="164"/>
      <c r="GC76" s="164"/>
      <c r="GD76" s="164"/>
      <c r="GE76" s="164"/>
      <c r="GF76" s="164"/>
      <c r="GG76" s="164"/>
      <c r="GH76" s="164"/>
      <c r="GI76" s="164"/>
      <c r="GJ76" s="164"/>
      <c r="GK76" s="164"/>
      <c r="GL76" s="164"/>
      <c r="GM76" s="164"/>
      <c r="GN76" s="164"/>
      <c r="GO76" s="164"/>
      <c r="GP76" s="164"/>
      <c r="GQ76" s="164"/>
      <c r="GR76" s="164"/>
      <c r="GS76" s="164"/>
      <c r="GT76" s="164"/>
      <c r="GU76" s="164"/>
      <c r="GV76" s="164"/>
      <c r="GW76" s="164"/>
      <c r="GX76" s="164"/>
      <c r="GY76" s="164"/>
      <c r="GZ76" s="164"/>
      <c r="HA76" s="164"/>
      <c r="HB76" s="164"/>
      <c r="HC76" s="164"/>
      <c r="HD76" s="164"/>
      <c r="HE76" s="164"/>
      <c r="HF76" s="164"/>
      <c r="HG76" s="164"/>
      <c r="HH76" s="164"/>
      <c r="HI76" s="164"/>
      <c r="HJ76" s="164"/>
      <c r="HK76" s="164"/>
      <c r="HL76" s="164"/>
      <c r="HM76" s="164"/>
      <c r="HN76" s="164"/>
      <c r="HO76" s="164"/>
      <c r="HP76" s="164"/>
      <c r="HQ76" s="164"/>
      <c r="HR76" s="164"/>
      <c r="HS76" s="164"/>
      <c r="HT76" s="164"/>
      <c r="HU76" s="164"/>
      <c r="HV76" s="164"/>
      <c r="HW76" s="164"/>
      <c r="HX76" s="164"/>
      <c r="HY76" s="164"/>
      <c r="HZ76" s="164"/>
      <c r="IA76" s="164"/>
      <c r="IB76" s="164"/>
      <c r="IC76" s="164"/>
      <c r="ID76" s="164"/>
      <c r="IE76" s="164"/>
      <c r="IF76" s="164"/>
      <c r="IG76" s="164"/>
      <c r="IH76" s="164"/>
      <c r="II76" s="164"/>
      <c r="IJ76" s="164"/>
      <c r="IK76" s="164"/>
      <c r="IL76" s="164"/>
      <c r="IM76" s="164"/>
      <c r="IN76" s="164"/>
      <c r="IO76" s="164"/>
      <c r="IP76" s="164"/>
      <c r="IQ76" s="164"/>
      <c r="IR76" s="164"/>
      <c r="IS76" s="164"/>
      <c r="IT76" s="164"/>
      <c r="IU76" s="164"/>
      <c r="IV76" s="164"/>
      <c r="IW76" s="164"/>
      <c r="IX76" s="164"/>
      <c r="IY76" s="164"/>
      <c r="IZ76" s="164"/>
      <c r="JA76" s="164"/>
      <c r="JB76" s="164"/>
      <c r="JC76" s="164"/>
      <c r="JD76" s="164"/>
      <c r="JE76" s="164"/>
      <c r="JF76" s="164"/>
      <c r="JG76" s="164"/>
      <c r="JH76" s="164"/>
      <c r="JI76" s="164"/>
      <c r="JJ76" s="164"/>
      <c r="JK76" s="164"/>
      <c r="JL76" s="164"/>
      <c r="JM76" s="164"/>
      <c r="JN76" s="164"/>
      <c r="JO76" s="164"/>
      <c r="JP76" s="164"/>
      <c r="JQ76" s="164"/>
      <c r="JR76" s="164"/>
      <c r="JS76" s="164"/>
      <c r="JT76" s="164"/>
      <c r="JU76" s="164"/>
      <c r="JV76" s="164"/>
      <c r="JW76" s="164"/>
      <c r="JX76" s="164"/>
      <c r="JY76" s="164"/>
      <c r="JZ76" s="164"/>
      <c r="KA76" s="164"/>
      <c r="KB76" s="164"/>
      <c r="KC76" s="164"/>
      <c r="KD76" s="164"/>
      <c r="KE76" s="164"/>
      <c r="KF76" s="164"/>
      <c r="KG76" s="164"/>
      <c r="KH76" s="164"/>
      <c r="KI76" s="164"/>
      <c r="KJ76" s="164"/>
      <c r="KK76" s="164"/>
      <c r="KL76" s="164"/>
      <c r="KM76" s="164"/>
      <c r="KN76" s="164"/>
      <c r="KO76" s="164"/>
      <c r="KP76" s="164"/>
      <c r="KQ76" s="164"/>
      <c r="KR76" s="164"/>
      <c r="KS76" s="164"/>
      <c r="KT76" s="164"/>
      <c r="KU76" s="164"/>
      <c r="KV76" s="164"/>
      <c r="KW76" s="164"/>
      <c r="KX76" s="164"/>
      <c r="KY76" s="164"/>
      <c r="KZ76" s="164"/>
      <c r="LA76" s="164"/>
      <c r="LB76" s="164"/>
      <c r="LC76" s="164"/>
      <c r="LD76" s="164"/>
      <c r="LE76" s="164"/>
      <c r="LF76" s="164"/>
      <c r="LG76" s="164"/>
      <c r="LH76" s="164"/>
      <c r="LI76" s="164"/>
      <c r="LJ76" s="164"/>
      <c r="LK76" s="164"/>
      <c r="LL76" s="164"/>
      <c r="LM76" s="164"/>
      <c r="LN76" s="164"/>
      <c r="LO76" s="164"/>
      <c r="LP76" s="164"/>
      <c r="LQ76" s="164"/>
      <c r="LR76" s="164"/>
      <c r="LS76" s="164"/>
      <c r="LT76" s="164"/>
      <c r="LU76" s="164"/>
      <c r="LV76" s="164"/>
      <c r="LW76" s="164"/>
      <c r="LX76" s="164"/>
      <c r="LY76" s="164"/>
      <c r="LZ76" s="164"/>
      <c r="MA76" s="164"/>
      <c r="MB76" s="164"/>
      <c r="MC76" s="164"/>
      <c r="MD76" s="164"/>
      <c r="ME76" s="164"/>
      <c r="MF76" s="164"/>
      <c r="MG76" s="164"/>
      <c r="MH76" s="164"/>
      <c r="MI76" s="164"/>
      <c r="MJ76" s="164"/>
      <c r="MK76" s="164"/>
      <c r="ML76" s="164"/>
      <c r="MM76" s="164"/>
      <c r="MN76" s="164"/>
      <c r="MO76" s="164"/>
      <c r="MP76" s="164"/>
      <c r="MQ76" s="164"/>
      <c r="MR76" s="164"/>
      <c r="MS76" s="164"/>
      <c r="MT76" s="164"/>
      <c r="MU76" s="164"/>
      <c r="MV76" s="164"/>
      <c r="MW76" s="164"/>
      <c r="MX76" s="164"/>
      <c r="MY76" s="164"/>
      <c r="MZ76" s="164"/>
      <c r="NA76" s="164"/>
      <c r="NB76" s="164"/>
      <c r="NC76" s="164"/>
      <c r="ND76" s="164"/>
      <c r="NE76" s="164"/>
      <c r="NF76" s="164"/>
      <c r="NG76" s="164"/>
      <c r="NH76" s="164"/>
      <c r="NI76" s="164"/>
      <c r="NJ76" s="164"/>
      <c r="NK76" s="164"/>
      <c r="NL76" s="164"/>
      <c r="NM76" s="164"/>
      <c r="NN76" s="164"/>
      <c r="NO76" s="164"/>
      <c r="NP76" s="164"/>
      <c r="NQ76" s="164"/>
      <c r="NR76" s="164"/>
      <c r="NS76" s="164"/>
      <c r="NT76" s="164"/>
      <c r="NU76" s="164"/>
      <c r="NV76" s="164"/>
      <c r="NW76" s="164"/>
      <c r="NX76" s="164"/>
      <c r="NY76" s="164"/>
      <c r="NZ76" s="164"/>
      <c r="OA76" s="164"/>
      <c r="OB76" s="164"/>
      <c r="OC76" s="164"/>
      <c r="OD76" s="164"/>
      <c r="OE76" s="164"/>
      <c r="OF76" s="164"/>
      <c r="OG76" s="164"/>
      <c r="OH76" s="164"/>
      <c r="OI76" s="164"/>
      <c r="OJ76" s="164"/>
      <c r="OK76" s="164"/>
      <c r="OL76" s="164"/>
      <c r="OM76" s="164"/>
      <c r="ON76" s="164"/>
      <c r="OO76" s="164"/>
      <c r="OP76" s="164"/>
      <c r="OQ76" s="164"/>
      <c r="OR76" s="164"/>
      <c r="OS76" s="164"/>
      <c r="OT76" s="164"/>
      <c r="OU76" s="164"/>
      <c r="OV76" s="164"/>
      <c r="OW76" s="164"/>
      <c r="OX76" s="164"/>
      <c r="OY76" s="164"/>
      <c r="OZ76" s="164"/>
      <c r="PA76" s="164"/>
      <c r="PB76" s="164"/>
      <c r="PC76" s="164"/>
      <c r="PD76" s="164"/>
      <c r="PE76" s="164"/>
      <c r="PF76" s="164"/>
      <c r="PG76" s="164"/>
      <c r="PH76" s="164"/>
      <c r="PI76" s="164"/>
      <c r="PJ76" s="164"/>
      <c r="PK76" s="164"/>
      <c r="PL76" s="164"/>
      <c r="PM76" s="164"/>
      <c r="PN76" s="164"/>
      <c r="PO76" s="164"/>
      <c r="PP76" s="164"/>
      <c r="PQ76" s="164"/>
      <c r="PR76" s="164"/>
      <c r="PS76" s="164"/>
      <c r="PT76" s="164"/>
      <c r="PU76" s="164"/>
      <c r="PV76" s="164"/>
      <c r="PW76" s="164"/>
      <c r="PX76" s="164"/>
      <c r="PY76" s="164"/>
      <c r="PZ76" s="164"/>
      <c r="QA76" s="164"/>
      <c r="QB76" s="164"/>
      <c r="QC76" s="164"/>
      <c r="QD76" s="164"/>
      <c r="QE76" s="164"/>
      <c r="QF76" s="164"/>
      <c r="QG76" s="164"/>
      <c r="QH76" s="164"/>
      <c r="QI76" s="164"/>
      <c r="QJ76" s="164"/>
      <c r="QK76" s="164"/>
      <c r="QL76" s="164"/>
      <c r="QM76" s="164"/>
      <c r="QN76" s="164"/>
      <c r="QO76" s="164"/>
      <c r="QP76" s="164"/>
      <c r="QQ76" s="164"/>
      <c r="QR76" s="164"/>
      <c r="QS76" s="164"/>
      <c r="QT76" s="164"/>
      <c r="QU76" s="164"/>
      <c r="QV76" s="164"/>
      <c r="QW76" s="164"/>
      <c r="QX76" s="164"/>
      <c r="QY76" s="164"/>
      <c r="QZ76" s="164"/>
      <c r="RA76" s="164"/>
      <c r="RB76" s="164"/>
      <c r="RC76" s="164"/>
      <c r="RD76" s="164"/>
      <c r="RE76" s="164"/>
      <c r="RF76" s="164"/>
      <c r="RG76" s="164"/>
      <c r="RH76" s="164"/>
      <c r="RI76" s="164"/>
      <c r="RJ76" s="164"/>
      <c r="RK76" s="164"/>
      <c r="RL76" s="164"/>
      <c r="RM76" s="164"/>
      <c r="RN76" s="164"/>
      <c r="RO76" s="164"/>
      <c r="RP76" s="164"/>
      <c r="RQ76" s="164"/>
      <c r="RR76" s="164"/>
      <c r="RS76" s="164"/>
      <c r="RT76" s="164"/>
      <c r="RU76" s="164"/>
      <c r="RV76" s="164"/>
      <c r="RW76" s="164"/>
      <c r="RX76" s="164"/>
      <c r="RY76" s="164"/>
      <c r="RZ76" s="164"/>
      <c r="SA76" s="164"/>
      <c r="SB76" s="164"/>
      <c r="SC76" s="164"/>
      <c r="SD76" s="164"/>
      <c r="SE76" s="164"/>
      <c r="SF76" s="164"/>
      <c r="SG76" s="164"/>
      <c r="SH76" s="164"/>
      <c r="SI76" s="164"/>
      <c r="SJ76" s="164"/>
      <c r="SK76" s="164"/>
      <c r="SL76" s="164"/>
      <c r="SM76" s="164"/>
      <c r="SN76" s="164"/>
      <c r="SO76" s="164"/>
      <c r="SP76" s="164"/>
      <c r="SQ76" s="164"/>
      <c r="SR76" s="164"/>
      <c r="SS76" s="164"/>
      <c r="ST76" s="164"/>
      <c r="SU76" s="164"/>
      <c r="SV76" s="164"/>
      <c r="SW76" s="164"/>
      <c r="SX76" s="164"/>
      <c r="SY76" s="164"/>
      <c r="SZ76" s="164"/>
      <c r="TA76" s="164"/>
      <c r="TB76" s="164"/>
      <c r="TC76" s="164"/>
      <c r="TD76" s="164"/>
      <c r="TE76" s="164"/>
      <c r="TF76" s="164"/>
      <c r="TG76" s="164"/>
      <c r="TH76" s="164"/>
      <c r="TI76" s="164"/>
      <c r="TJ76" s="164"/>
      <c r="TK76" s="164"/>
      <c r="TL76" s="164"/>
      <c r="TM76" s="164"/>
      <c r="TN76" s="164"/>
      <c r="TO76" s="164"/>
      <c r="TP76" s="164"/>
      <c r="TQ76" s="164"/>
      <c r="TR76" s="164"/>
      <c r="TS76" s="164"/>
      <c r="TT76" s="164"/>
      <c r="TU76" s="164"/>
      <c r="TV76" s="164"/>
      <c r="TW76" s="164"/>
      <c r="TX76" s="164"/>
      <c r="TY76" s="164"/>
      <c r="TZ76" s="164"/>
      <c r="UA76" s="164"/>
      <c r="UB76" s="164"/>
      <c r="UC76" s="164"/>
      <c r="UD76" s="164"/>
      <c r="UE76" s="164"/>
      <c r="UF76" s="164"/>
      <c r="UG76" s="164"/>
      <c r="UH76" s="164"/>
      <c r="UI76" s="164"/>
      <c r="UJ76" s="164"/>
      <c r="UK76" s="164"/>
      <c r="UL76" s="164"/>
      <c r="UM76" s="164"/>
      <c r="UN76" s="164"/>
      <c r="UO76" s="164"/>
      <c r="UP76" s="164"/>
      <c r="UQ76" s="164"/>
      <c r="UR76" s="164"/>
      <c r="US76" s="164"/>
      <c r="UT76" s="164"/>
      <c r="UU76" s="164"/>
      <c r="UV76" s="164"/>
      <c r="UW76" s="164"/>
      <c r="UX76" s="164"/>
      <c r="UY76" s="164"/>
      <c r="UZ76" s="164"/>
      <c r="VA76" s="164"/>
      <c r="VB76" s="164"/>
      <c r="VC76" s="164"/>
      <c r="VD76" s="164"/>
      <c r="VE76" s="164"/>
      <c r="VF76" s="164"/>
      <c r="VG76" s="164"/>
      <c r="VH76" s="164"/>
      <c r="VI76" s="164"/>
      <c r="VJ76" s="164"/>
      <c r="VK76" s="164"/>
      <c r="VL76" s="164"/>
      <c r="VM76" s="164"/>
      <c r="VN76" s="164"/>
      <c r="VO76" s="164"/>
      <c r="VP76" s="164"/>
      <c r="VQ76" s="164"/>
      <c r="VR76" s="164"/>
      <c r="VS76" s="164"/>
      <c r="VT76" s="164"/>
      <c r="VU76" s="164"/>
      <c r="VV76" s="164"/>
      <c r="VW76" s="164"/>
      <c r="VX76" s="164"/>
      <c r="VY76" s="164"/>
      <c r="VZ76" s="164"/>
      <c r="WA76" s="164"/>
      <c r="WB76" s="164"/>
      <c r="WC76" s="164"/>
      <c r="WD76" s="164"/>
      <c r="WE76" s="164"/>
      <c r="WF76" s="164"/>
      <c r="WG76" s="164"/>
      <c r="WH76" s="164"/>
      <c r="WI76" s="164"/>
      <c r="WJ76" s="164"/>
      <c r="WK76" s="164"/>
      <c r="WL76" s="164"/>
      <c r="WM76" s="164"/>
      <c r="WN76" s="164"/>
      <c r="WO76" s="164"/>
      <c r="WP76" s="164"/>
      <c r="WQ76" s="164"/>
      <c r="WR76" s="164"/>
      <c r="WS76" s="164"/>
      <c r="WT76" s="164"/>
      <c r="WU76" s="164"/>
      <c r="WV76" s="164"/>
      <c r="WW76" s="164"/>
      <c r="WX76" s="164"/>
      <c r="WY76" s="164"/>
      <c r="WZ76" s="164"/>
      <c r="XA76" s="164"/>
      <c r="XB76" s="164"/>
      <c r="XC76" s="164"/>
      <c r="XD76" s="164"/>
      <c r="XE76" s="164"/>
      <c r="XF76" s="164"/>
      <c r="XG76" s="164"/>
      <c r="XH76" s="164"/>
      <c r="XI76" s="164"/>
      <c r="XJ76" s="164"/>
      <c r="XK76" s="164"/>
      <c r="XL76" s="164"/>
      <c r="XM76" s="164"/>
      <c r="XN76" s="164"/>
      <c r="XO76" s="164"/>
      <c r="XP76" s="164"/>
      <c r="XQ76" s="164"/>
      <c r="XR76" s="164"/>
      <c r="XS76" s="164"/>
      <c r="XT76" s="164"/>
      <c r="XU76" s="164"/>
      <c r="XV76" s="164"/>
      <c r="XW76" s="164"/>
      <c r="XX76" s="164"/>
      <c r="XY76" s="164"/>
      <c r="XZ76" s="164"/>
      <c r="YA76" s="164"/>
      <c r="YB76" s="164"/>
      <c r="YC76" s="164"/>
      <c r="YD76" s="164"/>
      <c r="YE76" s="164"/>
      <c r="YF76" s="164"/>
      <c r="YG76" s="164"/>
      <c r="YH76" s="164"/>
      <c r="YI76" s="164"/>
      <c r="YJ76" s="164"/>
      <c r="YK76" s="164"/>
      <c r="YL76" s="164"/>
      <c r="YM76" s="164"/>
      <c r="YN76" s="164"/>
      <c r="YO76" s="164"/>
      <c r="YP76" s="164"/>
      <c r="YQ76" s="164"/>
      <c r="YR76" s="164"/>
      <c r="YS76" s="164"/>
      <c r="YT76" s="164"/>
      <c r="YU76" s="164"/>
      <c r="YV76" s="164"/>
      <c r="YW76" s="164"/>
      <c r="YX76" s="164"/>
      <c r="YY76" s="164"/>
      <c r="YZ76" s="164"/>
      <c r="ZA76" s="164"/>
      <c r="ZB76" s="164"/>
      <c r="ZC76" s="164"/>
      <c r="ZD76" s="164"/>
      <c r="ZE76" s="164"/>
      <c r="ZF76" s="164"/>
      <c r="ZG76" s="164"/>
      <c r="ZH76" s="164"/>
      <c r="ZI76" s="164"/>
      <c r="ZJ76" s="164"/>
      <c r="ZK76" s="164"/>
      <c r="ZL76" s="164"/>
      <c r="ZM76" s="164"/>
      <c r="ZN76" s="164"/>
      <c r="ZO76" s="164"/>
      <c r="ZP76" s="164"/>
      <c r="ZQ76" s="164"/>
      <c r="ZR76" s="164"/>
      <c r="ZS76" s="164"/>
      <c r="ZT76" s="164"/>
      <c r="ZU76" s="164"/>
      <c r="ZV76" s="164"/>
      <c r="ZW76" s="164"/>
      <c r="ZX76" s="164"/>
      <c r="ZY76" s="164"/>
      <c r="ZZ76" s="164"/>
      <c r="AAA76" s="164"/>
      <c r="AAB76" s="164"/>
      <c r="AAC76" s="164"/>
      <c r="AAD76" s="164"/>
      <c r="AAE76" s="164"/>
      <c r="AAF76" s="164"/>
      <c r="AAG76" s="164"/>
      <c r="AAH76" s="164"/>
      <c r="AAI76" s="164"/>
      <c r="AAJ76" s="164"/>
      <c r="AAK76" s="164"/>
      <c r="AAL76" s="164"/>
      <c r="AAM76" s="164"/>
      <c r="AAN76" s="164"/>
      <c r="AAO76" s="164"/>
      <c r="AAP76" s="164"/>
      <c r="AAQ76" s="164"/>
      <c r="AAR76" s="164"/>
      <c r="AAS76" s="164"/>
      <c r="AAT76" s="164"/>
      <c r="AAU76" s="164"/>
      <c r="AAV76" s="164"/>
      <c r="AAW76" s="164"/>
      <c r="AAX76" s="164"/>
      <c r="AAY76" s="164"/>
      <c r="AAZ76" s="164"/>
      <c r="ABA76" s="164"/>
      <c r="ABB76" s="164"/>
      <c r="ABC76" s="164"/>
      <c r="ABD76" s="164"/>
      <c r="ABE76" s="164"/>
      <c r="ABF76" s="164"/>
      <c r="ABG76" s="164"/>
      <c r="ABH76" s="164"/>
      <c r="ABI76" s="164"/>
      <c r="ABJ76" s="164"/>
      <c r="ABK76" s="164"/>
      <c r="ABL76" s="164"/>
      <c r="ABM76" s="164"/>
      <c r="ABN76" s="164"/>
      <c r="ABO76" s="164"/>
      <c r="ABP76" s="164"/>
      <c r="ABQ76" s="164"/>
      <c r="ABR76" s="164"/>
      <c r="ABS76" s="164"/>
      <c r="ABT76" s="164"/>
      <c r="ABU76" s="164"/>
      <c r="ABV76" s="164"/>
      <c r="ABW76" s="164"/>
      <c r="ABX76" s="164"/>
      <c r="ABY76" s="164"/>
      <c r="ABZ76" s="164"/>
      <c r="ACA76" s="164"/>
      <c r="ACB76" s="164"/>
      <c r="ACC76" s="164"/>
      <c r="ACD76" s="164"/>
      <c r="ACE76" s="164"/>
      <c r="ACF76" s="164"/>
      <c r="ACG76" s="164"/>
      <c r="ACH76" s="164"/>
      <c r="ACI76" s="164"/>
      <c r="ACJ76" s="164"/>
      <c r="ACK76" s="164"/>
      <c r="ACL76" s="164"/>
      <c r="ACM76" s="164"/>
      <c r="ACN76" s="164"/>
      <c r="ACO76" s="164"/>
      <c r="ACP76" s="164"/>
      <c r="ACQ76" s="164"/>
      <c r="ACR76" s="164"/>
      <c r="ACS76" s="164"/>
      <c r="ACT76" s="164"/>
      <c r="ACU76" s="164"/>
      <c r="ACV76" s="164"/>
      <c r="ACW76" s="164"/>
      <c r="ACX76" s="164"/>
      <c r="ACY76" s="164"/>
      <c r="ACZ76" s="164"/>
      <c r="ADA76" s="164"/>
      <c r="ADB76" s="164"/>
      <c r="ADC76" s="164"/>
      <c r="ADD76" s="164"/>
      <c r="ADE76" s="164"/>
      <c r="ADF76" s="164"/>
      <c r="ADG76" s="164"/>
      <c r="ADH76" s="164"/>
      <c r="ADI76" s="164"/>
      <c r="ADJ76" s="164"/>
      <c r="ADK76" s="164"/>
      <c r="ADL76" s="164"/>
      <c r="ADM76" s="164"/>
      <c r="ADN76" s="164"/>
      <c r="ADO76" s="164"/>
      <c r="ADP76" s="164"/>
      <c r="ADQ76" s="164"/>
      <c r="ADR76" s="164"/>
      <c r="ADS76" s="164"/>
      <c r="ADT76" s="164"/>
      <c r="ADU76" s="164"/>
      <c r="ADV76" s="164"/>
      <c r="ADW76" s="164"/>
      <c r="ADX76" s="164"/>
      <c r="ADY76" s="164"/>
      <c r="ADZ76" s="164"/>
      <c r="AEA76" s="164"/>
      <c r="AEB76" s="164"/>
      <c r="AEC76" s="164"/>
      <c r="AED76" s="164"/>
      <c r="AEE76" s="164"/>
      <c r="AEF76" s="164"/>
      <c r="AEG76" s="164"/>
      <c r="AEH76" s="164"/>
      <c r="AEI76" s="164"/>
      <c r="AEJ76" s="164"/>
      <c r="AEK76" s="164"/>
      <c r="AEL76" s="164"/>
      <c r="AEM76" s="164"/>
      <c r="AEN76" s="164"/>
      <c r="AEO76" s="164"/>
      <c r="AEP76" s="164"/>
      <c r="AEQ76" s="164"/>
      <c r="AER76" s="164"/>
      <c r="AES76" s="164"/>
      <c r="AET76" s="164"/>
      <c r="AEU76" s="164"/>
      <c r="AEV76" s="164"/>
      <c r="AEW76" s="164"/>
      <c r="AEX76" s="164"/>
      <c r="AEY76" s="164"/>
      <c r="AEZ76" s="164"/>
      <c r="AFA76" s="164"/>
      <c r="AFB76" s="164"/>
      <c r="AFC76" s="164"/>
      <c r="AFD76" s="164"/>
      <c r="AFE76" s="164"/>
      <c r="AFF76" s="164"/>
      <c r="AFG76" s="164"/>
      <c r="AFH76" s="164"/>
      <c r="AFI76" s="164"/>
      <c r="AFJ76" s="164"/>
      <c r="AFK76" s="164"/>
      <c r="AFL76" s="164"/>
      <c r="AFM76" s="164"/>
      <c r="AFN76" s="164"/>
      <c r="AFO76" s="164"/>
      <c r="AFP76" s="164"/>
      <c r="AFQ76" s="164"/>
      <c r="AFR76" s="164"/>
      <c r="AFS76" s="164"/>
      <c r="AFT76" s="164"/>
      <c r="AFU76" s="164"/>
      <c r="AFV76" s="164"/>
      <c r="AFW76" s="164"/>
      <c r="AFX76" s="164"/>
      <c r="AFY76" s="164"/>
      <c r="AFZ76" s="164"/>
      <c r="AGA76" s="164"/>
      <c r="AGB76" s="164"/>
      <c r="AGC76" s="164"/>
      <c r="AGD76" s="164"/>
      <c r="AGE76" s="164"/>
      <c r="AGF76" s="164"/>
      <c r="AGG76" s="164"/>
      <c r="AGH76" s="164"/>
      <c r="AGI76" s="164"/>
      <c r="AGJ76" s="164"/>
      <c r="AGK76" s="164"/>
      <c r="AGL76" s="164"/>
      <c r="AGM76" s="164"/>
      <c r="AGN76" s="164"/>
      <c r="AGO76" s="164"/>
      <c r="AGP76" s="164"/>
      <c r="AGQ76" s="164"/>
      <c r="AGR76" s="164"/>
      <c r="AGS76" s="164"/>
      <c r="AGT76" s="164"/>
      <c r="AGU76" s="164"/>
      <c r="AGV76" s="164"/>
      <c r="AGW76" s="164"/>
      <c r="AGX76" s="164"/>
      <c r="AGY76" s="164"/>
      <c r="AGZ76" s="164"/>
      <c r="AHA76" s="164"/>
      <c r="AHB76" s="164"/>
      <c r="AHC76" s="164"/>
      <c r="AHD76" s="164"/>
      <c r="AHE76" s="164"/>
      <c r="AHF76" s="164"/>
      <c r="AHG76" s="164"/>
      <c r="AHH76" s="164"/>
      <c r="AHI76" s="164"/>
      <c r="AHJ76" s="164"/>
      <c r="AHK76" s="164"/>
      <c r="AHL76" s="164"/>
      <c r="AHM76" s="164"/>
      <c r="AHN76" s="164"/>
      <c r="AHO76" s="164"/>
      <c r="AHP76" s="164"/>
      <c r="AHQ76" s="164"/>
      <c r="AHR76" s="164"/>
      <c r="AHS76" s="164"/>
      <c r="AHT76" s="164"/>
      <c r="AHU76" s="164"/>
      <c r="AHV76" s="164"/>
      <c r="AHW76" s="164"/>
      <c r="AHX76" s="164"/>
      <c r="AHY76" s="164"/>
      <c r="AHZ76" s="164"/>
      <c r="AIA76" s="164"/>
      <c r="AIB76" s="164"/>
      <c r="AIC76" s="164"/>
      <c r="AID76" s="164"/>
      <c r="AIE76" s="164"/>
      <c r="AIF76" s="164"/>
      <c r="AIG76" s="164"/>
      <c r="AIH76" s="164"/>
      <c r="AII76" s="164"/>
      <c r="AIJ76" s="164"/>
      <c r="AIK76" s="164"/>
      <c r="AIL76" s="164"/>
      <c r="AIM76" s="164"/>
      <c r="AIN76" s="164"/>
      <c r="AIO76" s="164"/>
      <c r="AIP76" s="164"/>
      <c r="AIQ76" s="164"/>
      <c r="AIR76" s="164"/>
      <c r="AIS76" s="164"/>
      <c r="AIT76" s="164"/>
      <c r="AIU76" s="164"/>
      <c r="AIV76" s="164"/>
      <c r="AIW76" s="164"/>
      <c r="AIX76" s="164"/>
      <c r="AIY76" s="164"/>
      <c r="AIZ76" s="164"/>
      <c r="AJA76" s="164"/>
      <c r="AJB76" s="164"/>
      <c r="AJC76" s="164"/>
      <c r="AJD76" s="164"/>
      <c r="AJE76" s="164"/>
      <c r="AJF76" s="164"/>
      <c r="AJG76" s="164"/>
      <c r="AJH76" s="164"/>
      <c r="AJI76" s="164"/>
      <c r="AJJ76" s="164"/>
      <c r="AJK76" s="164"/>
      <c r="AJL76" s="164"/>
      <c r="AJM76" s="164"/>
      <c r="AJN76" s="164"/>
      <c r="AJO76" s="164"/>
      <c r="AJP76" s="164"/>
      <c r="AJQ76" s="164"/>
      <c r="AJR76" s="164"/>
      <c r="AJS76" s="164"/>
      <c r="AJT76" s="164"/>
      <c r="AJU76" s="164"/>
      <c r="AJV76" s="164"/>
      <c r="AJW76" s="164"/>
      <c r="AJX76" s="164"/>
      <c r="AJY76" s="164"/>
      <c r="AJZ76" s="164"/>
      <c r="AKA76" s="164"/>
      <c r="AKB76" s="164"/>
      <c r="AKC76" s="164"/>
      <c r="AKD76" s="164"/>
      <c r="AKE76" s="164"/>
      <c r="AKF76" s="164"/>
      <c r="AKG76" s="164"/>
      <c r="AKH76" s="164"/>
      <c r="AKI76" s="164"/>
      <c r="AKJ76" s="164"/>
      <c r="AKK76" s="164"/>
      <c r="AKL76" s="164"/>
      <c r="AKM76" s="164"/>
      <c r="AKN76" s="164"/>
      <c r="AKO76" s="164"/>
      <c r="AKP76" s="164"/>
      <c r="AKQ76" s="164"/>
      <c r="AKR76" s="164"/>
      <c r="AKS76" s="164"/>
      <c r="AKT76" s="164"/>
      <c r="AKU76" s="164"/>
      <c r="AKV76" s="164"/>
      <c r="AKW76" s="164"/>
      <c r="AKX76" s="164"/>
      <c r="AKY76" s="164"/>
      <c r="AKZ76" s="164"/>
      <c r="ALA76" s="164"/>
      <c r="ALB76" s="164"/>
      <c r="ALC76" s="164"/>
      <c r="ALD76" s="164"/>
      <c r="ALE76" s="164"/>
      <c r="ALF76" s="164"/>
      <c r="ALG76" s="164"/>
      <c r="ALH76" s="164"/>
      <c r="ALI76" s="164"/>
      <c r="ALJ76" s="164"/>
      <c r="ALK76" s="164"/>
      <c r="ALL76" s="164"/>
      <c r="ALM76" s="164"/>
      <c r="ALN76" s="164"/>
      <c r="ALO76" s="164"/>
      <c r="ALP76" s="164"/>
      <c r="ALQ76" s="164"/>
      <c r="ALR76" s="164"/>
      <c r="ALS76" s="164"/>
      <c r="ALT76" s="164"/>
      <c r="ALU76" s="164"/>
      <c r="ALV76" s="164"/>
      <c r="ALW76" s="164"/>
      <c r="ALX76" s="164"/>
      <c r="ALY76" s="164"/>
      <c r="ALZ76" s="164"/>
      <c r="AMA76" s="164"/>
      <c r="AMB76" s="164"/>
      <c r="AMC76" s="164"/>
      <c r="AMD76" s="164"/>
      <c r="AME76" s="164"/>
      <c r="AMF76" s="164"/>
      <c r="AMG76" s="164"/>
      <c r="AMH76" s="164"/>
      <c r="AMI76" s="164"/>
      <c r="AMJ76" s="164"/>
      <c r="AMK76" s="164"/>
      <c r="AML76" s="164"/>
      <c r="AMM76" s="164"/>
      <c r="AMN76" s="164"/>
      <c r="AMO76" s="164"/>
      <c r="AMP76" s="164"/>
      <c r="AMQ76" s="164"/>
      <c r="AMR76" s="164"/>
      <c r="AMS76" s="164"/>
      <c r="AMT76" s="164"/>
      <c r="AMU76" s="164"/>
      <c r="AMV76" s="164"/>
      <c r="AMW76" s="164"/>
      <c r="AMX76" s="164"/>
      <c r="AMY76" s="164"/>
      <c r="AMZ76" s="164"/>
      <c r="ANA76" s="164"/>
      <c r="ANB76" s="164"/>
      <c r="ANC76" s="164"/>
      <c r="AND76" s="164"/>
      <c r="ANE76" s="164"/>
      <c r="ANF76" s="164"/>
      <c r="ANG76" s="164"/>
      <c r="ANH76" s="164"/>
      <c r="ANI76" s="164"/>
      <c r="ANJ76" s="164"/>
      <c r="ANK76" s="164"/>
      <c r="ANL76" s="164"/>
      <c r="ANM76" s="164"/>
      <c r="ANN76" s="164"/>
      <c r="ANO76" s="164"/>
      <c r="ANP76" s="164"/>
      <c r="ANQ76" s="164"/>
      <c r="ANR76" s="164"/>
      <c r="ANS76" s="164"/>
      <c r="ANT76" s="164"/>
      <c r="ANU76" s="164"/>
      <c r="ANV76" s="164"/>
      <c r="ANW76" s="164"/>
      <c r="ANX76" s="164"/>
      <c r="ANY76" s="164"/>
      <c r="ANZ76" s="164"/>
      <c r="AOA76" s="164"/>
      <c r="AOB76" s="164"/>
      <c r="AOC76" s="164"/>
      <c r="AOD76" s="164"/>
      <c r="AOE76" s="164"/>
      <c r="AOF76" s="164"/>
      <c r="AOG76" s="164"/>
      <c r="AOH76" s="164"/>
      <c r="AOI76" s="164"/>
      <c r="AOJ76" s="164"/>
      <c r="AOK76" s="164"/>
      <c r="AOL76" s="164"/>
      <c r="AOM76" s="164"/>
      <c r="AON76" s="164"/>
      <c r="AOO76" s="164"/>
      <c r="AOP76" s="164"/>
      <c r="AOQ76" s="164"/>
      <c r="AOR76" s="164"/>
      <c r="AOS76" s="164"/>
      <c r="AOT76" s="164"/>
      <c r="AOU76" s="164"/>
      <c r="AOV76" s="164"/>
      <c r="AOW76" s="164"/>
      <c r="AOX76" s="164"/>
      <c r="AOY76" s="164"/>
      <c r="AOZ76" s="164"/>
      <c r="APA76" s="164"/>
      <c r="APB76" s="164"/>
      <c r="APC76" s="164"/>
      <c r="APD76" s="164"/>
      <c r="APE76" s="164"/>
      <c r="APF76" s="164"/>
      <c r="APG76" s="164"/>
      <c r="APH76" s="164"/>
      <c r="API76" s="164"/>
      <c r="APJ76" s="164"/>
      <c r="APK76" s="164"/>
      <c r="APL76" s="164"/>
      <c r="APM76" s="164"/>
      <c r="APN76" s="164"/>
      <c r="APO76" s="164"/>
      <c r="APP76" s="164"/>
      <c r="APQ76" s="164"/>
      <c r="APR76" s="164"/>
      <c r="APS76" s="164"/>
      <c r="APT76" s="164"/>
      <c r="APU76" s="164"/>
      <c r="APV76" s="164"/>
      <c r="APW76" s="164"/>
      <c r="APX76" s="164"/>
      <c r="APY76" s="164"/>
      <c r="APZ76" s="164"/>
      <c r="AQA76" s="164"/>
      <c r="AQB76" s="164"/>
      <c r="AQC76" s="164"/>
      <c r="AQD76" s="164"/>
      <c r="AQE76" s="164"/>
      <c r="AQF76" s="164"/>
      <c r="AQG76" s="164"/>
      <c r="AQH76" s="164"/>
      <c r="AQI76" s="164"/>
      <c r="AQJ76" s="164"/>
      <c r="AQK76" s="164"/>
      <c r="AQL76" s="164"/>
      <c r="AQM76" s="164"/>
      <c r="AQN76" s="164"/>
      <c r="AQO76" s="164"/>
      <c r="AQP76" s="164"/>
      <c r="AQQ76" s="164"/>
      <c r="AQR76" s="164"/>
      <c r="AQS76" s="164"/>
      <c r="AQT76" s="164"/>
      <c r="AQU76" s="164"/>
      <c r="AQV76" s="164"/>
      <c r="AQW76" s="164"/>
      <c r="AQX76" s="164"/>
      <c r="AQY76" s="164"/>
      <c r="AQZ76" s="164"/>
      <c r="ARA76" s="164"/>
      <c r="ARB76" s="164"/>
      <c r="ARC76" s="164"/>
      <c r="ARD76" s="164"/>
      <c r="ARE76" s="164"/>
      <c r="ARF76" s="164"/>
      <c r="ARG76" s="164"/>
      <c r="ARH76" s="164"/>
      <c r="ARI76" s="164"/>
      <c r="ARJ76" s="164"/>
      <c r="ARK76" s="164"/>
      <c r="ARL76" s="164"/>
      <c r="ARM76" s="164"/>
      <c r="ARN76" s="164"/>
      <c r="ARO76" s="164"/>
      <c r="ARP76" s="164"/>
      <c r="ARQ76" s="164"/>
      <c r="ARR76" s="164"/>
      <c r="ARS76" s="164"/>
      <c r="ART76" s="164"/>
      <c r="ARU76" s="164"/>
      <c r="ARV76" s="164"/>
      <c r="ARW76" s="164"/>
      <c r="ARX76" s="164"/>
      <c r="ARY76" s="164"/>
      <c r="ARZ76" s="164"/>
      <c r="ASA76" s="164"/>
      <c r="ASB76" s="164"/>
      <c r="ASC76" s="164"/>
      <c r="ASD76" s="164"/>
      <c r="ASE76" s="164"/>
      <c r="ASF76" s="164"/>
      <c r="ASG76" s="164"/>
      <c r="ASH76" s="164"/>
      <c r="ASI76" s="164"/>
      <c r="ASJ76" s="164"/>
      <c r="ASK76" s="164"/>
      <c r="ASL76" s="164"/>
      <c r="ASM76" s="164"/>
      <c r="ASN76" s="164"/>
      <c r="ASO76" s="164"/>
      <c r="ASP76" s="164"/>
      <c r="ASQ76" s="164"/>
      <c r="ASR76" s="164"/>
      <c r="ASS76" s="164"/>
      <c r="AST76" s="164"/>
      <c r="ASU76" s="164"/>
      <c r="ASV76" s="164"/>
      <c r="ASW76" s="164"/>
      <c r="ASX76" s="164"/>
      <c r="ASY76" s="164"/>
      <c r="ASZ76" s="164"/>
      <c r="ATA76" s="164"/>
      <c r="ATB76" s="164"/>
      <c r="ATC76" s="164"/>
      <c r="ATD76" s="164"/>
      <c r="ATE76" s="164"/>
      <c r="ATF76" s="164"/>
      <c r="ATG76" s="164"/>
      <c r="ATH76" s="164"/>
      <c r="ATI76" s="164"/>
      <c r="ATJ76" s="164"/>
      <c r="ATK76" s="164"/>
      <c r="ATL76" s="164"/>
      <c r="ATM76" s="164"/>
      <c r="ATN76" s="164"/>
      <c r="ATO76" s="164"/>
      <c r="ATP76" s="164"/>
      <c r="ATQ76" s="164"/>
      <c r="ATR76" s="164"/>
      <c r="ATS76" s="164"/>
      <c r="ATT76" s="164"/>
      <c r="ATU76" s="164"/>
      <c r="ATV76" s="164"/>
      <c r="ATW76" s="164"/>
      <c r="ATX76" s="164"/>
      <c r="ATY76" s="164"/>
      <c r="ATZ76" s="164"/>
      <c r="AUA76" s="164"/>
      <c r="AUB76" s="164"/>
      <c r="AUC76" s="164"/>
      <c r="AUD76" s="164"/>
      <c r="AUE76" s="164"/>
      <c r="AUF76" s="164"/>
      <c r="AUG76" s="164"/>
      <c r="AUH76" s="164"/>
      <c r="AUI76" s="164"/>
      <c r="AUJ76" s="164"/>
      <c r="AUK76" s="164"/>
      <c r="AUL76" s="164"/>
      <c r="AUM76" s="164"/>
      <c r="AUN76" s="164"/>
      <c r="AUO76" s="164"/>
      <c r="AUP76" s="164"/>
      <c r="AUQ76" s="164"/>
      <c r="AUR76" s="164"/>
      <c r="AUS76" s="164"/>
      <c r="AUT76" s="164"/>
      <c r="AUU76" s="164"/>
      <c r="AUV76" s="164"/>
      <c r="AUW76" s="164"/>
      <c r="AUX76" s="164"/>
      <c r="AUY76" s="164"/>
      <c r="AUZ76" s="164"/>
      <c r="AVA76" s="164"/>
      <c r="AVB76" s="164"/>
      <c r="AVC76" s="164"/>
      <c r="AVD76" s="164"/>
      <c r="AVE76" s="164"/>
      <c r="AVF76" s="164"/>
      <c r="AVG76" s="164"/>
      <c r="AVH76" s="164"/>
      <c r="AVI76" s="164"/>
      <c r="AVJ76" s="164"/>
      <c r="AVK76" s="164"/>
      <c r="AVL76" s="164"/>
      <c r="AVM76" s="164"/>
      <c r="AVN76" s="164"/>
      <c r="AVO76" s="164"/>
      <c r="AVP76" s="164"/>
      <c r="AVQ76" s="164"/>
      <c r="AVR76" s="164"/>
      <c r="AVS76" s="164"/>
      <c r="AVT76" s="164"/>
      <c r="AVU76" s="164"/>
      <c r="AVV76" s="164"/>
      <c r="AVW76" s="164"/>
      <c r="AVX76" s="164"/>
      <c r="AVY76" s="164"/>
      <c r="AVZ76" s="164"/>
      <c r="AWA76" s="164"/>
      <c r="AWB76" s="164"/>
      <c r="AWC76" s="164"/>
      <c r="AWD76" s="164"/>
      <c r="AWE76" s="164"/>
      <c r="AWF76" s="164"/>
      <c r="AWG76" s="164"/>
      <c r="AWH76" s="164"/>
      <c r="AWI76" s="164"/>
      <c r="AWJ76" s="164"/>
      <c r="AWK76" s="164"/>
      <c r="AWL76" s="164"/>
      <c r="AWM76" s="164"/>
      <c r="AWN76" s="164"/>
      <c r="AWO76" s="164"/>
      <c r="AWP76" s="164"/>
      <c r="AWQ76" s="164"/>
      <c r="AWR76" s="164"/>
      <c r="AWS76" s="164"/>
      <c r="AWT76" s="164"/>
      <c r="AWU76" s="164"/>
      <c r="AWV76" s="164"/>
      <c r="AWW76" s="164"/>
      <c r="AWX76" s="164"/>
      <c r="AWY76" s="164"/>
      <c r="AWZ76" s="164"/>
      <c r="AXA76" s="164"/>
      <c r="AXB76" s="164"/>
      <c r="AXC76" s="164"/>
      <c r="AXD76" s="164"/>
      <c r="AXE76" s="164"/>
      <c r="AXF76" s="164"/>
      <c r="AXG76" s="164"/>
      <c r="AXH76" s="164"/>
      <c r="AXI76" s="164"/>
      <c r="AXJ76" s="164"/>
      <c r="AXK76" s="164"/>
      <c r="AXL76" s="164"/>
      <c r="AXM76" s="164"/>
      <c r="AXN76" s="164"/>
      <c r="AXO76" s="164"/>
      <c r="AXP76" s="164"/>
      <c r="AXQ76" s="164"/>
      <c r="AXR76" s="164"/>
      <c r="AXS76" s="164"/>
      <c r="AXT76" s="164"/>
      <c r="AXU76" s="164"/>
      <c r="AXV76" s="164"/>
      <c r="AXW76" s="164"/>
      <c r="AXX76" s="164"/>
      <c r="AXY76" s="164"/>
      <c r="AXZ76" s="164"/>
      <c r="AYA76" s="164"/>
      <c r="AYB76" s="164"/>
      <c r="AYC76" s="164"/>
      <c r="AYD76" s="164"/>
      <c r="AYE76" s="164"/>
      <c r="AYF76" s="164"/>
      <c r="AYG76" s="164"/>
      <c r="AYH76" s="164"/>
      <c r="AYI76" s="164"/>
      <c r="AYJ76" s="164"/>
      <c r="AYK76" s="164"/>
      <c r="AYL76" s="164"/>
      <c r="AYM76" s="164"/>
      <c r="AYN76" s="164"/>
      <c r="AYO76" s="164"/>
      <c r="AYP76" s="164"/>
      <c r="AYQ76" s="164"/>
      <c r="AYR76" s="164"/>
      <c r="AYS76" s="164"/>
      <c r="AYT76" s="164"/>
      <c r="AYU76" s="164"/>
      <c r="AYV76" s="164"/>
      <c r="AYW76" s="164"/>
      <c r="AYX76" s="164"/>
      <c r="AYY76" s="164"/>
      <c r="AYZ76" s="164"/>
      <c r="AZA76" s="164"/>
      <c r="AZB76" s="164"/>
      <c r="AZC76" s="164"/>
      <c r="AZD76" s="164"/>
      <c r="AZE76" s="164"/>
      <c r="AZF76" s="164"/>
      <c r="AZG76" s="164"/>
      <c r="AZH76" s="164"/>
      <c r="AZI76" s="164"/>
      <c r="AZJ76" s="164"/>
      <c r="AZK76" s="164"/>
      <c r="AZL76" s="164"/>
      <c r="AZM76" s="164"/>
      <c r="AZN76" s="164"/>
      <c r="AZO76" s="164"/>
      <c r="AZP76" s="164"/>
      <c r="AZQ76" s="164"/>
      <c r="AZR76" s="164"/>
      <c r="AZS76" s="164"/>
      <c r="AZT76" s="164"/>
      <c r="AZU76" s="164"/>
      <c r="AZV76" s="164"/>
      <c r="AZW76" s="164"/>
      <c r="AZX76" s="164"/>
      <c r="AZY76" s="164"/>
      <c r="AZZ76" s="164"/>
      <c r="BAA76" s="164"/>
      <c r="BAB76" s="164"/>
      <c r="BAC76" s="164"/>
      <c r="BAD76" s="164"/>
      <c r="BAE76" s="164"/>
      <c r="BAF76" s="164"/>
      <c r="BAG76" s="164"/>
      <c r="BAH76" s="164"/>
      <c r="BAI76" s="164"/>
      <c r="BAJ76" s="164"/>
      <c r="BAK76" s="164"/>
      <c r="BAL76" s="164"/>
      <c r="BAM76" s="164"/>
      <c r="BAN76" s="164"/>
      <c r="BAO76" s="164"/>
      <c r="BAP76" s="164"/>
      <c r="BAQ76" s="164"/>
      <c r="BAR76" s="164"/>
      <c r="BAS76" s="164"/>
      <c r="BAT76" s="164"/>
      <c r="BAU76" s="164"/>
      <c r="BAV76" s="164"/>
      <c r="BAW76" s="164"/>
      <c r="BAX76" s="164"/>
      <c r="BAY76" s="164"/>
      <c r="BAZ76" s="164"/>
      <c r="BBA76" s="164"/>
      <c r="BBB76" s="164"/>
      <c r="BBC76" s="164"/>
      <c r="BBD76" s="164"/>
      <c r="BBE76" s="164"/>
      <c r="BBF76" s="164"/>
      <c r="BBG76" s="164"/>
      <c r="BBH76" s="164"/>
      <c r="BBI76" s="164"/>
      <c r="BBJ76" s="164"/>
      <c r="BBK76" s="164"/>
      <c r="BBL76" s="164"/>
      <c r="BBM76" s="164"/>
      <c r="BBN76" s="164"/>
      <c r="BBO76" s="164"/>
      <c r="BBP76" s="164"/>
      <c r="BBQ76" s="164"/>
      <c r="BBR76" s="164"/>
      <c r="BBS76" s="164"/>
      <c r="BBT76" s="164"/>
      <c r="BBU76" s="164"/>
      <c r="BBV76" s="164"/>
      <c r="BBW76" s="164"/>
      <c r="BBX76" s="164"/>
      <c r="BBY76" s="164"/>
      <c r="BBZ76" s="164"/>
      <c r="BCA76" s="164"/>
      <c r="BCB76" s="164"/>
      <c r="BCC76" s="164"/>
      <c r="BCD76" s="164"/>
      <c r="BCE76" s="164"/>
      <c r="BCF76" s="164"/>
      <c r="BCG76" s="164"/>
      <c r="BCH76" s="164"/>
      <c r="BCI76" s="164"/>
      <c r="BCJ76" s="164"/>
      <c r="BCK76" s="164"/>
      <c r="BCL76" s="164"/>
      <c r="BCM76" s="164"/>
      <c r="BCN76" s="164"/>
      <c r="BCO76" s="164"/>
      <c r="BCP76" s="164"/>
      <c r="BCQ76" s="164"/>
      <c r="BCR76" s="164"/>
      <c r="BCS76" s="164"/>
      <c r="BCT76" s="164"/>
      <c r="BCU76" s="164"/>
      <c r="BCV76" s="164"/>
      <c r="BCW76" s="164"/>
      <c r="BCX76" s="164"/>
      <c r="BCY76" s="164"/>
      <c r="BCZ76" s="164"/>
      <c r="BDA76" s="164"/>
      <c r="BDB76" s="164"/>
      <c r="BDC76" s="164"/>
      <c r="BDD76" s="164"/>
      <c r="BDE76" s="164"/>
      <c r="BDF76" s="164"/>
      <c r="BDG76" s="164"/>
      <c r="BDH76" s="164"/>
      <c r="BDI76" s="164"/>
      <c r="BDJ76" s="164"/>
      <c r="BDK76" s="164"/>
      <c r="BDL76" s="164"/>
      <c r="BDM76" s="164"/>
      <c r="BDN76" s="164"/>
      <c r="BDO76" s="164"/>
      <c r="BDP76" s="164"/>
      <c r="BDQ76" s="164"/>
      <c r="BDR76" s="164"/>
      <c r="BDS76" s="164"/>
      <c r="BDT76" s="164"/>
      <c r="BDU76" s="164"/>
      <c r="BDV76" s="164"/>
      <c r="BDW76" s="164"/>
      <c r="BDX76" s="164"/>
      <c r="BDY76" s="164"/>
      <c r="BDZ76" s="164"/>
      <c r="BEA76" s="164"/>
      <c r="BEB76" s="164"/>
      <c r="BEC76" s="164"/>
      <c r="BED76" s="164"/>
      <c r="BEE76" s="164"/>
      <c r="BEF76" s="164"/>
      <c r="BEG76" s="164"/>
      <c r="BEH76" s="164"/>
      <c r="BEI76" s="164"/>
      <c r="BEJ76" s="164"/>
      <c r="BEK76" s="164"/>
      <c r="BEL76" s="164"/>
      <c r="BEM76" s="164"/>
      <c r="BEN76" s="164"/>
      <c r="BEO76" s="164"/>
      <c r="BEP76" s="164"/>
      <c r="BEQ76" s="164"/>
      <c r="BER76" s="164"/>
      <c r="BES76" s="164"/>
      <c r="BET76" s="164"/>
      <c r="BEU76" s="164"/>
      <c r="BEV76" s="164"/>
      <c r="BEW76" s="164"/>
      <c r="BEX76" s="164"/>
      <c r="BEY76" s="164"/>
      <c r="BEZ76" s="164"/>
      <c r="BFA76" s="164"/>
      <c r="BFB76" s="164"/>
      <c r="BFC76" s="164"/>
      <c r="BFD76" s="164"/>
      <c r="BFE76" s="164"/>
      <c r="BFF76" s="164"/>
      <c r="BFG76" s="164"/>
      <c r="BFH76" s="164"/>
      <c r="BFI76" s="164"/>
      <c r="BFJ76" s="164"/>
      <c r="BFK76" s="164"/>
      <c r="BFL76" s="164"/>
      <c r="BFM76" s="164"/>
      <c r="BFN76" s="164"/>
      <c r="BFO76" s="164"/>
      <c r="BFP76" s="164"/>
      <c r="BFQ76" s="164"/>
      <c r="BFR76" s="164"/>
      <c r="BFS76" s="164"/>
      <c r="BFT76" s="164"/>
      <c r="BFU76" s="164"/>
      <c r="BFV76" s="164"/>
      <c r="BFW76" s="164"/>
      <c r="BFX76" s="164"/>
      <c r="BFY76" s="164"/>
      <c r="BFZ76" s="164"/>
      <c r="BGA76" s="164"/>
      <c r="BGB76" s="164"/>
      <c r="BGC76" s="164"/>
      <c r="BGD76" s="164"/>
      <c r="BGE76" s="164"/>
      <c r="BGF76" s="164"/>
      <c r="BGG76" s="164"/>
      <c r="BGH76" s="164"/>
      <c r="BGI76" s="164"/>
      <c r="BGJ76" s="164"/>
      <c r="BGK76" s="164"/>
      <c r="BGL76" s="164"/>
      <c r="BGM76" s="164"/>
      <c r="BGN76" s="164"/>
      <c r="BGO76" s="164"/>
      <c r="BGP76" s="164"/>
      <c r="BGQ76" s="164"/>
      <c r="BGR76" s="164"/>
      <c r="BGS76" s="164"/>
      <c r="BGT76" s="164"/>
      <c r="BGU76" s="164"/>
      <c r="BGV76" s="164"/>
      <c r="BGW76" s="164"/>
      <c r="BGX76" s="164"/>
      <c r="BGY76" s="164"/>
      <c r="BGZ76" s="164"/>
      <c r="BHA76" s="164"/>
      <c r="BHB76" s="164"/>
      <c r="BHC76" s="164"/>
      <c r="BHD76" s="164"/>
      <c r="BHE76" s="164"/>
      <c r="BHF76" s="164"/>
      <c r="BHG76" s="164"/>
      <c r="BHH76" s="164"/>
      <c r="BHI76" s="164"/>
      <c r="BHJ76" s="164"/>
      <c r="BHK76" s="164"/>
      <c r="BHL76" s="164"/>
      <c r="BHM76" s="164"/>
      <c r="BHN76" s="164"/>
      <c r="BHO76" s="164"/>
      <c r="BHP76" s="164"/>
      <c r="BHQ76" s="164"/>
      <c r="BHR76" s="164"/>
      <c r="BHS76" s="164"/>
      <c r="BHT76" s="164"/>
      <c r="BHU76" s="164"/>
      <c r="BHV76" s="164"/>
      <c r="BHW76" s="164"/>
      <c r="BHX76" s="164"/>
      <c r="BHY76" s="164"/>
      <c r="BHZ76" s="164"/>
      <c r="BIA76" s="164"/>
      <c r="BIB76" s="164"/>
      <c r="BIC76" s="164"/>
      <c r="BID76" s="164"/>
      <c r="BIE76" s="164"/>
      <c r="BIF76" s="164"/>
      <c r="BIG76" s="164"/>
      <c r="BIH76" s="164"/>
      <c r="BII76" s="164"/>
      <c r="BIJ76" s="164"/>
      <c r="BIK76" s="164"/>
      <c r="BIL76" s="164"/>
      <c r="BIM76" s="164"/>
      <c r="BIN76" s="164"/>
      <c r="BIO76" s="164"/>
      <c r="BIP76" s="164"/>
      <c r="BIQ76" s="164"/>
      <c r="BIR76" s="164"/>
      <c r="BIS76" s="164"/>
      <c r="BIT76" s="164"/>
      <c r="BIU76" s="164"/>
      <c r="BIV76" s="164"/>
      <c r="BIW76" s="164"/>
      <c r="BIX76" s="164"/>
      <c r="BIY76" s="164"/>
      <c r="BIZ76" s="164"/>
      <c r="BJA76" s="164"/>
      <c r="BJB76" s="164"/>
      <c r="BJC76" s="164"/>
      <c r="BJD76" s="164"/>
      <c r="BJE76" s="164"/>
      <c r="BJF76" s="164"/>
      <c r="BJG76" s="164"/>
      <c r="BJH76" s="164"/>
      <c r="BJI76" s="164"/>
      <c r="BJJ76" s="164"/>
      <c r="BJK76" s="164"/>
      <c r="BJL76" s="164"/>
      <c r="BJM76" s="164"/>
      <c r="BJN76" s="164"/>
      <c r="BJO76" s="164"/>
      <c r="BJP76" s="164"/>
      <c r="BJQ76" s="164"/>
      <c r="BJR76" s="164"/>
      <c r="BJS76" s="164"/>
      <c r="BJT76" s="164"/>
      <c r="BJU76" s="164"/>
      <c r="BJV76" s="164"/>
      <c r="BJW76" s="164"/>
      <c r="BJX76" s="164"/>
      <c r="BJY76" s="164"/>
      <c r="BJZ76" s="164"/>
      <c r="BKA76" s="164"/>
      <c r="BKB76" s="164"/>
      <c r="BKC76" s="164"/>
      <c r="BKD76" s="164"/>
      <c r="BKE76" s="164"/>
      <c r="BKF76" s="164"/>
      <c r="BKG76" s="164"/>
      <c r="BKH76" s="164"/>
      <c r="BKI76" s="164"/>
      <c r="BKJ76" s="164"/>
      <c r="BKK76" s="164"/>
      <c r="BKL76" s="164"/>
      <c r="BKM76" s="164"/>
      <c r="BKN76" s="164"/>
      <c r="BKO76" s="164"/>
      <c r="BKP76" s="164"/>
      <c r="BKQ76" s="164"/>
      <c r="BKR76" s="164"/>
      <c r="BKS76" s="164"/>
      <c r="BKT76" s="164"/>
      <c r="BKU76" s="164"/>
      <c r="BKV76" s="164"/>
      <c r="BKW76" s="164"/>
      <c r="BKX76" s="164"/>
      <c r="BKY76" s="164"/>
      <c r="BKZ76" s="164"/>
      <c r="BLA76" s="164"/>
      <c r="BLB76" s="164"/>
      <c r="BLC76" s="164"/>
      <c r="BLD76" s="164"/>
      <c r="BLE76" s="164"/>
      <c r="BLF76" s="164"/>
      <c r="BLG76" s="164"/>
      <c r="BLH76" s="164"/>
      <c r="BLI76" s="164"/>
      <c r="BLJ76" s="164"/>
      <c r="BLK76" s="164"/>
      <c r="BLL76" s="164"/>
      <c r="BLM76" s="164"/>
      <c r="BLN76" s="164"/>
      <c r="BLO76" s="164"/>
      <c r="BLP76" s="164"/>
      <c r="BLQ76" s="164"/>
      <c r="BLR76" s="164"/>
      <c r="BLS76" s="164"/>
      <c r="BLT76" s="164"/>
      <c r="BLU76" s="164"/>
      <c r="BLV76" s="164"/>
      <c r="BLW76" s="164"/>
      <c r="BLX76" s="164"/>
      <c r="BLY76" s="164"/>
      <c r="BLZ76" s="164"/>
      <c r="BMA76" s="164"/>
      <c r="BMB76" s="164"/>
      <c r="BMC76" s="164"/>
      <c r="BMD76" s="164"/>
      <c r="BME76" s="164"/>
      <c r="BMF76" s="164"/>
      <c r="BMG76" s="164"/>
      <c r="BMH76" s="164"/>
      <c r="BMI76" s="164"/>
      <c r="BMJ76" s="164"/>
      <c r="BMK76" s="164"/>
      <c r="BML76" s="164"/>
      <c r="BMM76" s="164"/>
      <c r="BMN76" s="164"/>
      <c r="BMO76" s="164"/>
      <c r="BMP76" s="164"/>
      <c r="BMQ76" s="164"/>
      <c r="BMR76" s="164"/>
      <c r="BMS76" s="164"/>
      <c r="BMT76" s="164"/>
      <c r="BMU76" s="164"/>
      <c r="BMV76" s="164"/>
      <c r="BMW76" s="164"/>
      <c r="BMX76" s="164"/>
      <c r="BMY76" s="164"/>
      <c r="BMZ76" s="164"/>
      <c r="BNA76" s="164"/>
      <c r="BNB76" s="164"/>
      <c r="BNC76" s="164"/>
      <c r="BND76" s="164"/>
      <c r="BNE76" s="164"/>
      <c r="BNF76" s="164"/>
      <c r="BNG76" s="164"/>
      <c r="BNH76" s="164"/>
      <c r="BNI76" s="164"/>
      <c r="BNJ76" s="164"/>
      <c r="BNK76" s="164"/>
      <c r="BNL76" s="164"/>
      <c r="BNM76" s="164"/>
      <c r="BNN76" s="164"/>
      <c r="BNO76" s="164"/>
      <c r="BNP76" s="164"/>
      <c r="BNQ76" s="164"/>
      <c r="BNR76" s="164"/>
      <c r="BNS76" s="164"/>
      <c r="BNT76" s="164"/>
      <c r="BNU76" s="164"/>
      <c r="BNV76" s="164"/>
      <c r="BNW76" s="164"/>
      <c r="BNX76" s="164"/>
      <c r="BNY76" s="164"/>
      <c r="BNZ76" s="164"/>
      <c r="BOA76" s="164"/>
      <c r="BOB76" s="164"/>
      <c r="BOC76" s="164"/>
      <c r="BOD76" s="164"/>
      <c r="BOE76" s="164"/>
      <c r="BOF76" s="164"/>
      <c r="BOG76" s="164"/>
      <c r="BOH76" s="164"/>
      <c r="BOI76" s="164"/>
      <c r="BOJ76" s="164"/>
      <c r="BOK76" s="164"/>
      <c r="BOL76" s="164"/>
      <c r="BOM76" s="164"/>
      <c r="BON76" s="164"/>
      <c r="BOO76" s="164"/>
      <c r="BOP76" s="164"/>
      <c r="BOQ76" s="164"/>
      <c r="BOR76" s="164"/>
      <c r="BOS76" s="164"/>
      <c r="BOT76" s="164"/>
      <c r="BOU76" s="164"/>
      <c r="BOV76" s="164"/>
      <c r="BOW76" s="164"/>
      <c r="BOX76" s="164"/>
      <c r="BOY76" s="164"/>
      <c r="BOZ76" s="164"/>
      <c r="BPA76" s="164"/>
      <c r="BPB76" s="164"/>
      <c r="BPC76" s="164"/>
      <c r="BPD76" s="164"/>
      <c r="BPE76" s="164"/>
      <c r="BPF76" s="164"/>
      <c r="BPG76" s="164"/>
      <c r="BPH76" s="164"/>
      <c r="BPI76" s="164"/>
      <c r="BPJ76" s="164"/>
      <c r="BPK76" s="164"/>
      <c r="BPL76" s="164"/>
      <c r="BPM76" s="164"/>
      <c r="BPN76" s="164"/>
      <c r="BPO76" s="164"/>
      <c r="BPP76" s="164"/>
      <c r="BPQ76" s="164"/>
      <c r="BPR76" s="164"/>
      <c r="BPS76" s="164"/>
      <c r="BPT76" s="164"/>
      <c r="BPU76" s="164"/>
      <c r="BPV76" s="164"/>
      <c r="BPW76" s="164"/>
      <c r="BPX76" s="164"/>
      <c r="BPY76" s="164"/>
      <c r="BPZ76" s="164"/>
      <c r="BQA76" s="164"/>
      <c r="BQB76" s="164"/>
      <c r="BQC76" s="164"/>
      <c r="BQD76" s="164"/>
      <c r="BQE76" s="164"/>
      <c r="BQF76" s="164"/>
      <c r="BQG76" s="164"/>
      <c r="BQH76" s="164"/>
      <c r="BQI76" s="164"/>
      <c r="BQJ76" s="164"/>
      <c r="BQK76" s="164"/>
      <c r="BQL76" s="164"/>
      <c r="BQM76" s="164"/>
      <c r="BQN76" s="164"/>
      <c r="BQO76" s="164"/>
      <c r="BQP76" s="164"/>
      <c r="BQQ76" s="164"/>
      <c r="BQR76" s="164"/>
      <c r="BQS76" s="164"/>
      <c r="BQT76" s="164"/>
      <c r="BQU76" s="164"/>
      <c r="BQV76" s="164"/>
      <c r="BQW76" s="164"/>
      <c r="BQX76" s="164"/>
      <c r="BQY76" s="164"/>
      <c r="BQZ76" s="164"/>
      <c r="BRA76" s="164"/>
      <c r="BRB76" s="164"/>
      <c r="BRC76" s="164"/>
      <c r="BRD76" s="164"/>
      <c r="BRE76" s="164"/>
      <c r="BRF76" s="164"/>
      <c r="BRG76" s="164"/>
      <c r="BRH76" s="164"/>
      <c r="BRI76" s="164"/>
      <c r="BRJ76" s="164"/>
      <c r="BRK76" s="164"/>
      <c r="BRL76" s="164"/>
      <c r="BRM76" s="164"/>
      <c r="BRN76" s="164"/>
      <c r="BRO76" s="164"/>
      <c r="BRP76" s="164"/>
      <c r="BRQ76" s="164"/>
      <c r="BRR76" s="164"/>
      <c r="BRS76" s="164"/>
      <c r="BRT76" s="164"/>
      <c r="BRU76" s="164"/>
      <c r="BRV76" s="164"/>
      <c r="BRW76" s="164"/>
      <c r="BRX76" s="164"/>
      <c r="BRY76" s="164"/>
      <c r="BRZ76" s="164"/>
      <c r="BSA76" s="164"/>
      <c r="BSB76" s="164"/>
      <c r="BSC76" s="164"/>
      <c r="BSD76" s="164"/>
      <c r="BSE76" s="164"/>
      <c r="BSF76" s="164"/>
      <c r="BSG76" s="164"/>
      <c r="BSH76" s="164"/>
      <c r="BSI76" s="164"/>
      <c r="BSJ76" s="164"/>
      <c r="BSK76" s="164"/>
      <c r="BSL76" s="164"/>
      <c r="BSM76" s="164"/>
      <c r="BSN76" s="164"/>
      <c r="BSO76" s="164"/>
      <c r="BSP76" s="164"/>
      <c r="BSQ76" s="164"/>
      <c r="BSR76" s="164"/>
      <c r="BSS76" s="164"/>
      <c r="BST76" s="164"/>
      <c r="BSU76" s="164"/>
      <c r="BSV76" s="164"/>
      <c r="BSW76" s="164"/>
      <c r="BSX76" s="164"/>
      <c r="BSY76" s="164"/>
      <c r="BSZ76" s="164"/>
      <c r="BTA76" s="164"/>
      <c r="BTB76" s="164"/>
      <c r="BTC76" s="164"/>
      <c r="BTD76" s="164"/>
      <c r="BTE76" s="164"/>
      <c r="BTF76" s="164"/>
      <c r="BTG76" s="164"/>
      <c r="BTH76" s="164"/>
      <c r="BTI76" s="164"/>
      <c r="BTJ76" s="164"/>
      <c r="BTK76" s="164"/>
      <c r="BTL76" s="164"/>
      <c r="BTM76" s="164"/>
      <c r="BTN76" s="164"/>
      <c r="BTO76" s="164"/>
      <c r="BTP76" s="164"/>
      <c r="BTQ76" s="164"/>
      <c r="BTR76" s="164"/>
      <c r="BTS76" s="164"/>
      <c r="BTT76" s="164"/>
      <c r="BTU76" s="164"/>
      <c r="BTV76" s="164"/>
      <c r="BTW76" s="164"/>
      <c r="BTX76" s="164"/>
      <c r="BTY76" s="164"/>
      <c r="BTZ76" s="164"/>
      <c r="BUA76" s="164"/>
      <c r="BUB76" s="164"/>
      <c r="BUC76" s="164"/>
      <c r="BUD76" s="164"/>
      <c r="BUE76" s="164"/>
      <c r="BUF76" s="164"/>
      <c r="BUG76" s="164"/>
      <c r="BUH76" s="164"/>
      <c r="BUI76" s="164"/>
      <c r="BUJ76" s="164"/>
      <c r="BUK76" s="164"/>
      <c r="BUL76" s="164"/>
      <c r="BUM76" s="164"/>
      <c r="BUN76" s="164"/>
      <c r="BUO76" s="164"/>
      <c r="BUP76" s="164"/>
      <c r="BUQ76" s="164"/>
      <c r="BUR76" s="164"/>
      <c r="BUS76" s="164"/>
      <c r="BUT76" s="164"/>
      <c r="BUU76" s="164"/>
      <c r="BUV76" s="164"/>
      <c r="BUW76" s="164"/>
      <c r="BUX76" s="164"/>
      <c r="BUY76" s="164"/>
      <c r="BUZ76" s="164"/>
      <c r="BVA76" s="164"/>
      <c r="BVB76" s="164"/>
      <c r="BVC76" s="164"/>
      <c r="BVD76" s="164"/>
      <c r="BVE76" s="164"/>
      <c r="BVF76" s="164"/>
      <c r="BVG76" s="164"/>
      <c r="BVH76" s="164"/>
      <c r="BVI76" s="164"/>
      <c r="BVJ76" s="164"/>
      <c r="BVK76" s="164"/>
      <c r="BVL76" s="164"/>
      <c r="BVM76" s="164"/>
      <c r="BVN76" s="164"/>
      <c r="BVO76" s="164"/>
      <c r="BVP76" s="164"/>
      <c r="BVQ76" s="164"/>
      <c r="BVR76" s="164"/>
      <c r="BVS76" s="164"/>
      <c r="BVT76" s="164"/>
      <c r="BVU76" s="164"/>
      <c r="BVV76" s="164"/>
      <c r="BVW76" s="164"/>
      <c r="BVX76" s="164"/>
      <c r="BVY76" s="164"/>
      <c r="BVZ76" s="164"/>
      <c r="BWA76" s="164"/>
      <c r="BWB76" s="164"/>
      <c r="BWC76" s="164"/>
      <c r="BWD76" s="164"/>
      <c r="BWE76" s="164"/>
      <c r="BWF76" s="164"/>
      <c r="BWG76" s="164"/>
      <c r="BWH76" s="164"/>
      <c r="BWI76" s="164"/>
      <c r="BWJ76" s="164"/>
      <c r="BWK76" s="164"/>
      <c r="BWL76" s="164"/>
      <c r="BWM76" s="164"/>
      <c r="BWN76" s="164"/>
      <c r="BWO76" s="164"/>
      <c r="BWP76" s="164"/>
      <c r="BWQ76" s="164"/>
      <c r="BWR76" s="164"/>
      <c r="BWS76" s="164"/>
      <c r="BWT76" s="164"/>
      <c r="BWU76" s="164"/>
      <c r="BWV76" s="164"/>
      <c r="BWW76" s="164"/>
      <c r="BWX76" s="164"/>
      <c r="BWY76" s="164"/>
      <c r="BWZ76" s="164"/>
      <c r="BXA76" s="164"/>
      <c r="BXB76" s="164"/>
      <c r="BXC76" s="164"/>
      <c r="BXD76" s="164"/>
      <c r="BXE76" s="164"/>
      <c r="BXF76" s="164"/>
      <c r="BXG76" s="164"/>
      <c r="BXH76" s="164"/>
      <c r="BXI76" s="164"/>
      <c r="BXJ76" s="164"/>
      <c r="BXK76" s="164"/>
      <c r="BXL76" s="164"/>
      <c r="BXM76" s="164"/>
      <c r="BXN76" s="164"/>
      <c r="BXO76" s="164"/>
      <c r="BXP76" s="164"/>
      <c r="BXQ76" s="164"/>
      <c r="BXR76" s="164"/>
      <c r="BXS76" s="164"/>
      <c r="BXT76" s="164"/>
      <c r="BXU76" s="164"/>
      <c r="BXV76" s="164"/>
      <c r="BXW76" s="164"/>
      <c r="BXX76" s="164"/>
      <c r="BXY76" s="164"/>
      <c r="BXZ76" s="164"/>
      <c r="BYA76" s="164"/>
      <c r="BYB76" s="164"/>
      <c r="BYC76" s="164"/>
      <c r="BYD76" s="164"/>
      <c r="BYE76" s="164"/>
      <c r="BYF76" s="164"/>
      <c r="BYG76" s="164"/>
      <c r="BYH76" s="164"/>
      <c r="BYI76" s="164"/>
      <c r="BYJ76" s="164"/>
      <c r="BYK76" s="164"/>
      <c r="BYL76" s="164"/>
      <c r="BYM76" s="164"/>
      <c r="BYN76" s="164"/>
      <c r="BYO76" s="164"/>
      <c r="BYP76" s="164"/>
      <c r="BYQ76" s="164"/>
      <c r="BYR76" s="164"/>
      <c r="BYS76" s="164"/>
      <c r="BYT76" s="164"/>
      <c r="BYU76" s="164"/>
      <c r="BYV76" s="164"/>
      <c r="BYW76" s="164"/>
      <c r="BYX76" s="164"/>
      <c r="BYY76" s="164"/>
      <c r="BYZ76" s="164"/>
      <c r="BZA76" s="164"/>
      <c r="BZB76" s="164"/>
      <c r="BZC76" s="164"/>
      <c r="BZD76" s="164"/>
      <c r="BZE76" s="164"/>
      <c r="BZF76" s="164"/>
      <c r="BZG76" s="164"/>
      <c r="BZH76" s="164"/>
      <c r="BZI76" s="164"/>
      <c r="BZJ76" s="164"/>
      <c r="BZK76" s="164"/>
      <c r="BZL76" s="164"/>
      <c r="BZM76" s="164"/>
      <c r="BZN76" s="164"/>
      <c r="BZO76" s="164"/>
      <c r="BZP76" s="164"/>
      <c r="BZQ76" s="164"/>
      <c r="BZR76" s="164"/>
      <c r="BZS76" s="164"/>
      <c r="BZT76" s="164"/>
      <c r="BZU76" s="164"/>
      <c r="BZV76" s="164"/>
      <c r="BZW76" s="164"/>
      <c r="BZX76" s="164"/>
      <c r="BZY76" s="164"/>
      <c r="BZZ76" s="164"/>
      <c r="CAA76" s="164"/>
      <c r="CAB76" s="164"/>
      <c r="CAC76" s="164"/>
      <c r="CAD76" s="164"/>
      <c r="CAE76" s="164"/>
      <c r="CAF76" s="164"/>
      <c r="CAG76" s="164"/>
      <c r="CAH76" s="164"/>
      <c r="CAI76" s="164"/>
      <c r="CAJ76" s="164"/>
      <c r="CAK76" s="164"/>
      <c r="CAL76" s="164"/>
      <c r="CAM76" s="164"/>
      <c r="CAN76" s="164"/>
      <c r="CAO76" s="164"/>
      <c r="CAP76" s="164"/>
      <c r="CAQ76" s="164"/>
      <c r="CAR76" s="164"/>
      <c r="CAS76" s="164"/>
      <c r="CAT76" s="164"/>
      <c r="CAU76" s="164"/>
      <c r="CAV76" s="164"/>
      <c r="CAW76" s="164"/>
      <c r="CAX76" s="164"/>
      <c r="CAY76" s="164"/>
      <c r="CAZ76" s="164"/>
      <c r="CBA76" s="164"/>
      <c r="CBB76" s="164"/>
      <c r="CBC76" s="164"/>
      <c r="CBD76" s="164"/>
      <c r="CBE76" s="164"/>
      <c r="CBF76" s="164"/>
      <c r="CBG76" s="164"/>
      <c r="CBH76" s="164"/>
      <c r="CBI76" s="164"/>
      <c r="CBJ76" s="164"/>
      <c r="CBK76" s="164"/>
      <c r="CBL76" s="164"/>
      <c r="CBM76" s="164"/>
      <c r="CBN76" s="164"/>
      <c r="CBO76" s="164"/>
      <c r="CBP76" s="164"/>
      <c r="CBQ76" s="164"/>
      <c r="CBR76" s="164"/>
      <c r="CBS76" s="164"/>
      <c r="CBT76" s="164"/>
      <c r="CBU76" s="164"/>
      <c r="CBV76" s="164"/>
      <c r="CBW76" s="164"/>
      <c r="CBX76" s="164"/>
      <c r="CBY76" s="164"/>
      <c r="CBZ76" s="164"/>
      <c r="CCA76" s="164"/>
      <c r="CCB76" s="164"/>
      <c r="CCC76" s="164"/>
      <c r="CCD76" s="164"/>
      <c r="CCE76" s="164"/>
      <c r="CCF76" s="164"/>
      <c r="CCG76" s="164"/>
      <c r="CCH76" s="164"/>
      <c r="CCI76" s="164"/>
      <c r="CCJ76" s="164"/>
      <c r="CCK76" s="164"/>
      <c r="CCL76" s="164"/>
      <c r="CCM76" s="164"/>
      <c r="CCN76" s="164"/>
      <c r="CCO76" s="164"/>
      <c r="CCP76" s="164"/>
      <c r="CCQ76" s="164"/>
      <c r="CCR76" s="164"/>
      <c r="CCS76" s="164"/>
      <c r="CCT76" s="164"/>
      <c r="CCU76" s="164"/>
      <c r="CCV76" s="164"/>
      <c r="CCW76" s="164"/>
      <c r="CCX76" s="164"/>
      <c r="CCY76" s="164"/>
      <c r="CCZ76" s="164"/>
      <c r="CDA76" s="164"/>
      <c r="CDB76" s="164"/>
      <c r="CDC76" s="164"/>
      <c r="CDD76" s="164"/>
      <c r="CDE76" s="164"/>
      <c r="CDF76" s="164"/>
      <c r="CDG76" s="164"/>
      <c r="CDH76" s="164"/>
      <c r="CDI76" s="164"/>
      <c r="CDJ76" s="164"/>
      <c r="CDK76" s="164"/>
      <c r="CDL76" s="164"/>
      <c r="CDM76" s="164"/>
      <c r="CDN76" s="164"/>
      <c r="CDO76" s="164"/>
      <c r="CDP76" s="164"/>
      <c r="CDQ76" s="164"/>
      <c r="CDR76" s="164"/>
      <c r="CDS76" s="164"/>
      <c r="CDT76" s="164"/>
      <c r="CDU76" s="164"/>
      <c r="CDV76" s="164"/>
      <c r="CDW76" s="164"/>
      <c r="CDX76" s="164"/>
      <c r="CDY76" s="164"/>
      <c r="CDZ76" s="164"/>
      <c r="CEA76" s="164"/>
      <c r="CEB76" s="164"/>
      <c r="CEC76" s="164"/>
      <c r="CED76" s="164"/>
      <c r="CEE76" s="164"/>
      <c r="CEF76" s="164"/>
      <c r="CEG76" s="164"/>
      <c r="CEH76" s="164"/>
      <c r="CEI76" s="164"/>
      <c r="CEJ76" s="164"/>
      <c r="CEK76" s="164"/>
      <c r="CEL76" s="164"/>
      <c r="CEM76" s="164"/>
      <c r="CEN76" s="164"/>
      <c r="CEO76" s="164"/>
      <c r="CEP76" s="164"/>
      <c r="CEQ76" s="164"/>
      <c r="CER76" s="164"/>
      <c r="CES76" s="164"/>
      <c r="CET76" s="164"/>
      <c r="CEU76" s="164"/>
      <c r="CEV76" s="164"/>
      <c r="CEW76" s="164"/>
      <c r="CEX76" s="164"/>
      <c r="CEY76" s="164"/>
      <c r="CEZ76" s="164"/>
      <c r="CFA76" s="164"/>
      <c r="CFB76" s="164"/>
      <c r="CFC76" s="164"/>
      <c r="CFD76" s="164"/>
      <c r="CFE76" s="164"/>
      <c r="CFF76" s="164"/>
      <c r="CFG76" s="164"/>
      <c r="CFH76" s="164"/>
      <c r="CFI76" s="164"/>
      <c r="CFJ76" s="164"/>
      <c r="CFK76" s="164"/>
      <c r="CFL76" s="164"/>
      <c r="CFM76" s="164"/>
      <c r="CFN76" s="164"/>
      <c r="CFO76" s="164"/>
      <c r="CFP76" s="164"/>
      <c r="CFQ76" s="164"/>
      <c r="CFR76" s="164"/>
      <c r="CFS76" s="164"/>
      <c r="CFT76" s="164"/>
      <c r="CFU76" s="164"/>
      <c r="CFV76" s="164"/>
      <c r="CFW76" s="164"/>
      <c r="CFX76" s="164"/>
      <c r="CFY76" s="164"/>
      <c r="CFZ76" s="164"/>
      <c r="CGA76" s="164"/>
      <c r="CGB76" s="164"/>
      <c r="CGC76" s="164"/>
      <c r="CGD76" s="164"/>
      <c r="CGE76" s="164"/>
      <c r="CGF76" s="164"/>
      <c r="CGG76" s="164"/>
      <c r="CGH76" s="164"/>
      <c r="CGI76" s="164"/>
      <c r="CGJ76" s="164"/>
      <c r="CGK76" s="164"/>
      <c r="CGL76" s="164"/>
      <c r="CGM76" s="164"/>
      <c r="CGN76" s="164"/>
      <c r="CGO76" s="164"/>
      <c r="CGP76" s="164"/>
      <c r="CGQ76" s="164"/>
      <c r="CGR76" s="164"/>
      <c r="CGS76" s="164"/>
      <c r="CGT76" s="164"/>
      <c r="CGU76" s="164"/>
      <c r="CGV76" s="164"/>
      <c r="CGW76" s="164"/>
      <c r="CGX76" s="164"/>
      <c r="CGY76" s="164"/>
      <c r="CGZ76" s="164"/>
      <c r="CHA76" s="164"/>
      <c r="CHB76" s="164"/>
      <c r="CHC76" s="164"/>
      <c r="CHD76" s="164"/>
      <c r="CHE76" s="164"/>
      <c r="CHF76" s="164"/>
      <c r="CHG76" s="164"/>
      <c r="CHH76" s="164"/>
      <c r="CHI76" s="164"/>
      <c r="CHJ76" s="164"/>
      <c r="CHK76" s="164"/>
      <c r="CHL76" s="164"/>
      <c r="CHM76" s="164"/>
      <c r="CHN76" s="164"/>
      <c r="CHO76" s="164"/>
      <c r="CHP76" s="164"/>
      <c r="CHQ76" s="164"/>
      <c r="CHR76" s="164"/>
      <c r="CHS76" s="164"/>
      <c r="CHT76" s="164"/>
      <c r="CHU76" s="164"/>
      <c r="CHV76" s="164"/>
      <c r="CHW76" s="164"/>
      <c r="CHX76" s="164"/>
      <c r="CHY76" s="164"/>
      <c r="CHZ76" s="164"/>
      <c r="CIA76" s="164"/>
      <c r="CIB76" s="164"/>
      <c r="CIC76" s="164"/>
      <c r="CID76" s="164"/>
      <c r="CIE76" s="164"/>
      <c r="CIF76" s="164"/>
      <c r="CIG76" s="164"/>
      <c r="CIH76" s="164"/>
      <c r="CII76" s="164"/>
      <c r="CIJ76" s="164"/>
      <c r="CIK76" s="164"/>
      <c r="CIL76" s="164"/>
      <c r="CIM76" s="164"/>
      <c r="CIN76" s="164"/>
      <c r="CIO76" s="164"/>
      <c r="CIP76" s="164"/>
      <c r="CIQ76" s="164"/>
      <c r="CIR76" s="164"/>
      <c r="CIS76" s="164"/>
      <c r="CIT76" s="164"/>
      <c r="CIU76" s="164"/>
      <c r="CIV76" s="164"/>
      <c r="CIW76" s="164"/>
      <c r="CIX76" s="164"/>
      <c r="CIY76" s="164"/>
      <c r="CIZ76" s="164"/>
      <c r="CJA76" s="164"/>
      <c r="CJB76" s="164"/>
      <c r="CJC76" s="164"/>
      <c r="CJD76" s="164"/>
      <c r="CJE76" s="164"/>
      <c r="CJF76" s="164"/>
      <c r="CJG76" s="164"/>
      <c r="CJH76" s="164"/>
      <c r="CJI76" s="164"/>
      <c r="CJJ76" s="164"/>
      <c r="CJK76" s="164"/>
      <c r="CJL76" s="164"/>
      <c r="CJM76" s="164"/>
      <c r="CJN76" s="164"/>
      <c r="CJO76" s="164"/>
      <c r="CJP76" s="164"/>
      <c r="CJQ76" s="164"/>
      <c r="CJR76" s="164"/>
      <c r="CJS76" s="164"/>
      <c r="CJT76" s="164"/>
      <c r="CJU76" s="164"/>
      <c r="CJV76" s="164"/>
      <c r="CJW76" s="164"/>
      <c r="CJX76" s="164"/>
      <c r="CJY76" s="164"/>
      <c r="CJZ76" s="164"/>
      <c r="CKA76" s="164"/>
      <c r="CKB76" s="164"/>
      <c r="CKC76" s="164"/>
      <c r="CKD76" s="164"/>
      <c r="CKE76" s="164"/>
      <c r="CKF76" s="164"/>
      <c r="CKG76" s="164"/>
      <c r="CKH76" s="164"/>
      <c r="CKI76" s="164"/>
      <c r="CKJ76" s="164"/>
      <c r="CKK76" s="164"/>
      <c r="CKL76" s="164"/>
      <c r="CKM76" s="164"/>
      <c r="CKN76" s="164"/>
      <c r="CKO76" s="164"/>
      <c r="CKP76" s="164"/>
      <c r="CKQ76" s="164"/>
      <c r="CKR76" s="164"/>
      <c r="CKS76" s="164"/>
      <c r="CKT76" s="164"/>
      <c r="CKU76" s="164"/>
      <c r="CKV76" s="164"/>
      <c r="CKW76" s="164"/>
      <c r="CKX76" s="164"/>
      <c r="CKY76" s="164"/>
      <c r="CKZ76" s="164"/>
      <c r="CLA76" s="164"/>
      <c r="CLB76" s="164"/>
      <c r="CLC76" s="164"/>
      <c r="CLD76" s="164"/>
      <c r="CLE76" s="164"/>
      <c r="CLF76" s="164"/>
      <c r="CLG76" s="164"/>
      <c r="CLH76" s="164"/>
      <c r="CLI76" s="164"/>
      <c r="CLJ76" s="164"/>
      <c r="CLK76" s="164"/>
      <c r="CLL76" s="164"/>
      <c r="CLM76" s="164"/>
      <c r="CLN76" s="164"/>
      <c r="CLO76" s="164"/>
      <c r="CLP76" s="164"/>
      <c r="CLQ76" s="164"/>
      <c r="CLR76" s="164"/>
      <c r="CLS76" s="164"/>
      <c r="CLT76" s="164"/>
      <c r="CLU76" s="164"/>
      <c r="CLV76" s="164"/>
      <c r="CLW76" s="164"/>
      <c r="CLX76" s="164"/>
      <c r="CLY76" s="164"/>
      <c r="CLZ76" s="164"/>
      <c r="CMA76" s="164"/>
      <c r="CMB76" s="164"/>
      <c r="CMC76" s="164"/>
      <c r="CMD76" s="164"/>
      <c r="CME76" s="164"/>
      <c r="CMF76" s="164"/>
      <c r="CMG76" s="164"/>
      <c r="CMH76" s="164"/>
      <c r="CMI76" s="164"/>
      <c r="CMJ76" s="164"/>
      <c r="CMK76" s="164"/>
      <c r="CML76" s="164"/>
      <c r="CMM76" s="164"/>
      <c r="CMN76" s="164"/>
      <c r="CMO76" s="164"/>
      <c r="CMP76" s="164"/>
      <c r="CMQ76" s="164"/>
      <c r="CMR76" s="164"/>
      <c r="CMS76" s="164"/>
      <c r="CMT76" s="164"/>
      <c r="CMU76" s="164"/>
      <c r="CMV76" s="164"/>
      <c r="CMW76" s="164"/>
      <c r="CMX76" s="164"/>
      <c r="CMY76" s="164"/>
      <c r="CMZ76" s="164"/>
      <c r="CNA76" s="164"/>
      <c r="CNB76" s="164"/>
      <c r="CNC76" s="164"/>
      <c r="CND76" s="164"/>
      <c r="CNE76" s="164"/>
      <c r="CNF76" s="164"/>
      <c r="CNG76" s="164"/>
      <c r="CNH76" s="164"/>
      <c r="CNI76" s="164"/>
      <c r="CNJ76" s="164"/>
      <c r="CNK76" s="164"/>
      <c r="CNL76" s="164"/>
      <c r="CNM76" s="164"/>
      <c r="CNN76" s="164"/>
      <c r="CNO76" s="164"/>
      <c r="CNP76" s="164"/>
      <c r="CNQ76" s="164"/>
      <c r="CNR76" s="164"/>
      <c r="CNS76" s="164"/>
      <c r="CNT76" s="164"/>
      <c r="CNU76" s="164"/>
      <c r="CNV76" s="164"/>
      <c r="CNW76" s="164"/>
      <c r="CNX76" s="164"/>
      <c r="CNY76" s="164"/>
      <c r="CNZ76" s="164"/>
      <c r="COA76" s="164"/>
      <c r="COB76" s="164"/>
      <c r="COC76" s="164"/>
      <c r="COD76" s="164"/>
      <c r="COE76" s="164"/>
      <c r="COF76" s="164"/>
      <c r="COG76" s="164"/>
      <c r="COH76" s="164"/>
      <c r="COI76" s="164"/>
      <c r="COJ76" s="164"/>
      <c r="COK76" s="164"/>
      <c r="COL76" s="164"/>
      <c r="COM76" s="164"/>
      <c r="CON76" s="164"/>
      <c r="COO76" s="164"/>
      <c r="COP76" s="164"/>
      <c r="COQ76" s="164"/>
      <c r="COR76" s="164"/>
      <c r="COS76" s="164"/>
      <c r="COT76" s="164"/>
      <c r="COU76" s="164"/>
      <c r="COV76" s="164"/>
      <c r="COW76" s="164"/>
      <c r="COX76" s="164"/>
      <c r="COY76" s="164"/>
      <c r="COZ76" s="164"/>
      <c r="CPA76" s="164"/>
      <c r="CPB76" s="164"/>
      <c r="CPC76" s="164"/>
      <c r="CPD76" s="164"/>
      <c r="CPE76" s="164"/>
      <c r="CPF76" s="164"/>
      <c r="CPG76" s="164"/>
      <c r="CPH76" s="164"/>
      <c r="CPI76" s="164"/>
      <c r="CPJ76" s="164"/>
      <c r="CPK76" s="164"/>
      <c r="CPL76" s="164"/>
      <c r="CPM76" s="164"/>
      <c r="CPN76" s="164"/>
      <c r="CPO76" s="164"/>
      <c r="CPP76" s="164"/>
      <c r="CPQ76" s="164"/>
      <c r="CPR76" s="164"/>
      <c r="CPS76" s="164"/>
      <c r="CPT76" s="164"/>
      <c r="CPU76" s="164"/>
      <c r="CPV76" s="164"/>
      <c r="CPW76" s="164"/>
      <c r="CPX76" s="164"/>
      <c r="CPY76" s="164"/>
      <c r="CPZ76" s="164"/>
      <c r="CQA76" s="164"/>
      <c r="CQB76" s="164"/>
      <c r="CQC76" s="164"/>
      <c r="CQD76" s="164"/>
      <c r="CQE76" s="164"/>
      <c r="CQF76" s="164"/>
      <c r="CQG76" s="164"/>
      <c r="CQH76" s="164"/>
      <c r="CQI76" s="164"/>
      <c r="CQJ76" s="164"/>
      <c r="CQK76" s="164"/>
      <c r="CQL76" s="164"/>
      <c r="CQM76" s="164"/>
      <c r="CQN76" s="164"/>
      <c r="CQO76" s="164"/>
      <c r="CQP76" s="164"/>
      <c r="CQQ76" s="164"/>
      <c r="CQR76" s="164"/>
      <c r="CQS76" s="164"/>
      <c r="CQT76" s="164"/>
      <c r="CQU76" s="164"/>
      <c r="CQV76" s="164"/>
      <c r="CQW76" s="164"/>
      <c r="CQX76" s="164"/>
      <c r="CQY76" s="164"/>
      <c r="CQZ76" s="164"/>
      <c r="CRA76" s="164"/>
      <c r="CRB76" s="164"/>
      <c r="CRC76" s="164"/>
      <c r="CRD76" s="164"/>
      <c r="CRE76" s="164"/>
      <c r="CRF76" s="164"/>
      <c r="CRG76" s="164"/>
      <c r="CRH76" s="164"/>
      <c r="CRI76" s="164"/>
      <c r="CRJ76" s="164"/>
      <c r="CRK76" s="164"/>
      <c r="CRL76" s="164"/>
      <c r="CRM76" s="164"/>
      <c r="CRN76" s="164"/>
      <c r="CRO76" s="164"/>
      <c r="CRP76" s="164"/>
      <c r="CRQ76" s="164"/>
      <c r="CRR76" s="164"/>
      <c r="CRS76" s="164"/>
      <c r="CRT76" s="164"/>
      <c r="CRU76" s="164"/>
      <c r="CRV76" s="164"/>
      <c r="CRW76" s="164"/>
      <c r="CRX76" s="164"/>
      <c r="CRY76" s="164"/>
      <c r="CRZ76" s="164"/>
      <c r="CSA76" s="164"/>
      <c r="CSB76" s="164"/>
      <c r="CSC76" s="164"/>
      <c r="CSD76" s="164"/>
      <c r="CSE76" s="164"/>
      <c r="CSF76" s="164"/>
      <c r="CSG76" s="164"/>
      <c r="CSH76" s="164"/>
      <c r="CSI76" s="164"/>
      <c r="CSJ76" s="164"/>
      <c r="CSK76" s="164"/>
      <c r="CSL76" s="164"/>
      <c r="CSM76" s="164"/>
      <c r="CSN76" s="164"/>
      <c r="CSO76" s="164"/>
      <c r="CSP76" s="164"/>
      <c r="CSQ76" s="164"/>
      <c r="CSR76" s="164"/>
      <c r="CSS76" s="164"/>
      <c r="CST76" s="164"/>
      <c r="CSU76" s="164"/>
      <c r="CSV76" s="164"/>
      <c r="CSW76" s="164"/>
      <c r="CSX76" s="164"/>
      <c r="CSY76" s="164"/>
      <c r="CSZ76" s="164"/>
      <c r="CTA76" s="164"/>
      <c r="CTB76" s="164"/>
      <c r="CTC76" s="164"/>
      <c r="CTD76" s="164"/>
      <c r="CTE76" s="164"/>
      <c r="CTF76" s="164"/>
      <c r="CTG76" s="164"/>
      <c r="CTH76" s="164"/>
      <c r="CTI76" s="164"/>
      <c r="CTJ76" s="164"/>
      <c r="CTK76" s="164"/>
      <c r="CTL76" s="164"/>
      <c r="CTM76" s="164"/>
      <c r="CTN76" s="164"/>
      <c r="CTO76" s="164"/>
      <c r="CTP76" s="164"/>
      <c r="CTQ76" s="164"/>
      <c r="CTR76" s="164"/>
      <c r="CTS76" s="164"/>
      <c r="CTT76" s="164"/>
      <c r="CTU76" s="164"/>
      <c r="CTV76" s="164"/>
      <c r="CTW76" s="164"/>
      <c r="CTX76" s="164"/>
      <c r="CTY76" s="164"/>
      <c r="CTZ76" s="164"/>
      <c r="CUA76" s="164"/>
      <c r="CUB76" s="164"/>
      <c r="CUC76" s="164"/>
      <c r="CUD76" s="164"/>
      <c r="CUE76" s="164"/>
      <c r="CUF76" s="164"/>
      <c r="CUG76" s="164"/>
      <c r="CUH76" s="164"/>
      <c r="CUI76" s="164"/>
      <c r="CUJ76" s="164"/>
      <c r="CUK76" s="164"/>
      <c r="CUL76" s="164"/>
      <c r="CUM76" s="164"/>
      <c r="CUN76" s="164"/>
      <c r="CUO76" s="164"/>
      <c r="CUP76" s="164"/>
      <c r="CUQ76" s="164"/>
      <c r="CUR76" s="164"/>
      <c r="CUS76" s="164"/>
      <c r="CUT76" s="164"/>
      <c r="CUU76" s="164"/>
      <c r="CUV76" s="164"/>
      <c r="CUW76" s="164"/>
      <c r="CUX76" s="164"/>
      <c r="CUY76" s="164"/>
      <c r="CUZ76" s="164"/>
      <c r="CVA76" s="164"/>
      <c r="CVB76" s="164"/>
      <c r="CVC76" s="164"/>
      <c r="CVD76" s="164"/>
      <c r="CVE76" s="164"/>
      <c r="CVF76" s="164"/>
      <c r="CVG76" s="164"/>
      <c r="CVH76" s="164"/>
      <c r="CVI76" s="164"/>
      <c r="CVJ76" s="164"/>
      <c r="CVK76" s="164"/>
      <c r="CVL76" s="164"/>
      <c r="CVM76" s="164"/>
      <c r="CVN76" s="164"/>
      <c r="CVO76" s="164"/>
      <c r="CVP76" s="164"/>
      <c r="CVQ76" s="164"/>
      <c r="CVR76" s="164"/>
      <c r="CVS76" s="164"/>
      <c r="CVT76" s="164"/>
      <c r="CVU76" s="164"/>
      <c r="CVV76" s="164"/>
      <c r="CVW76" s="164"/>
      <c r="CVX76" s="164"/>
      <c r="CVY76" s="164"/>
      <c r="CVZ76" s="164"/>
      <c r="CWA76" s="164"/>
      <c r="CWB76" s="164"/>
      <c r="CWC76" s="164"/>
      <c r="CWD76" s="164"/>
      <c r="CWE76" s="164"/>
      <c r="CWF76" s="164"/>
      <c r="CWG76" s="164"/>
      <c r="CWH76" s="164"/>
      <c r="CWI76" s="164"/>
      <c r="CWJ76" s="164"/>
      <c r="CWK76" s="164"/>
      <c r="CWL76" s="164"/>
      <c r="CWM76" s="164"/>
      <c r="CWN76" s="164"/>
      <c r="CWO76" s="164"/>
      <c r="CWP76" s="164"/>
      <c r="CWQ76" s="164"/>
      <c r="CWR76" s="164"/>
      <c r="CWS76" s="164"/>
      <c r="CWT76" s="164"/>
      <c r="CWU76" s="164"/>
      <c r="CWV76" s="164"/>
      <c r="CWW76" s="164"/>
      <c r="CWX76" s="164"/>
      <c r="CWY76" s="164"/>
      <c r="CWZ76" s="164"/>
      <c r="CXA76" s="164"/>
      <c r="CXB76" s="164"/>
      <c r="CXC76" s="164"/>
      <c r="CXD76" s="164"/>
      <c r="CXE76" s="164"/>
      <c r="CXF76" s="164"/>
      <c r="CXG76" s="164"/>
      <c r="CXH76" s="164"/>
      <c r="CXI76" s="164"/>
      <c r="CXJ76" s="164"/>
      <c r="CXK76" s="164"/>
      <c r="CXL76" s="164"/>
      <c r="CXM76" s="164"/>
      <c r="CXN76" s="164"/>
      <c r="CXO76" s="164"/>
      <c r="CXP76" s="164"/>
      <c r="CXQ76" s="164"/>
      <c r="CXR76" s="164"/>
      <c r="CXS76" s="164"/>
      <c r="CXT76" s="164"/>
      <c r="CXU76" s="164"/>
      <c r="CXV76" s="164"/>
      <c r="CXW76" s="164"/>
      <c r="CXX76" s="164"/>
      <c r="CXY76" s="164"/>
      <c r="CXZ76" s="164"/>
      <c r="CYA76" s="164"/>
      <c r="CYB76" s="164"/>
      <c r="CYC76" s="164"/>
      <c r="CYD76" s="164"/>
      <c r="CYE76" s="164"/>
      <c r="CYF76" s="164"/>
      <c r="CYG76" s="164"/>
      <c r="CYH76" s="164"/>
      <c r="CYI76" s="164"/>
      <c r="CYJ76" s="164"/>
      <c r="CYK76" s="164"/>
      <c r="CYL76" s="164"/>
      <c r="CYM76" s="164"/>
      <c r="CYN76" s="164"/>
      <c r="CYO76" s="164"/>
      <c r="CYP76" s="164"/>
      <c r="CYQ76" s="164"/>
      <c r="CYR76" s="164"/>
      <c r="CYS76" s="164"/>
      <c r="CYT76" s="164"/>
      <c r="CYU76" s="164"/>
      <c r="CYV76" s="164"/>
      <c r="CYW76" s="164"/>
      <c r="CYX76" s="164"/>
      <c r="CYY76" s="164"/>
      <c r="CYZ76" s="164"/>
      <c r="CZA76" s="164"/>
      <c r="CZB76" s="164"/>
      <c r="CZC76" s="164"/>
      <c r="CZD76" s="164"/>
      <c r="CZE76" s="164"/>
      <c r="CZF76" s="164"/>
      <c r="CZG76" s="164"/>
      <c r="CZH76" s="164"/>
      <c r="CZI76" s="164"/>
      <c r="CZJ76" s="164"/>
      <c r="CZK76" s="164"/>
      <c r="CZL76" s="164"/>
      <c r="CZM76" s="164"/>
      <c r="CZN76" s="164"/>
      <c r="CZO76" s="164"/>
      <c r="CZP76" s="164"/>
      <c r="CZQ76" s="164"/>
      <c r="CZR76" s="164"/>
      <c r="CZS76" s="164"/>
      <c r="CZT76" s="164"/>
      <c r="CZU76" s="164"/>
      <c r="CZV76" s="164"/>
      <c r="CZW76" s="164"/>
      <c r="CZX76" s="164"/>
      <c r="CZY76" s="164"/>
      <c r="CZZ76" s="164"/>
      <c r="DAA76" s="164"/>
      <c r="DAB76" s="164"/>
      <c r="DAC76" s="164"/>
      <c r="DAD76" s="164"/>
      <c r="DAE76" s="164"/>
      <c r="DAF76" s="164"/>
      <c r="DAG76" s="164"/>
      <c r="DAH76" s="164"/>
      <c r="DAI76" s="164"/>
      <c r="DAJ76" s="164"/>
      <c r="DAK76" s="164"/>
      <c r="DAL76" s="164"/>
      <c r="DAM76" s="164"/>
      <c r="DAN76" s="164"/>
      <c r="DAO76" s="164"/>
      <c r="DAP76" s="164"/>
      <c r="DAQ76" s="164"/>
      <c r="DAR76" s="164"/>
      <c r="DAS76" s="164"/>
      <c r="DAT76" s="164"/>
      <c r="DAU76" s="164"/>
      <c r="DAV76" s="164"/>
      <c r="DAW76" s="164"/>
      <c r="DAX76" s="164"/>
      <c r="DAY76" s="164"/>
      <c r="DAZ76" s="164"/>
      <c r="DBA76" s="164"/>
      <c r="DBB76" s="164"/>
      <c r="DBC76" s="164"/>
      <c r="DBD76" s="164"/>
      <c r="DBE76" s="164"/>
      <c r="DBF76" s="164"/>
      <c r="DBG76" s="164"/>
      <c r="DBH76" s="164"/>
      <c r="DBI76" s="164"/>
      <c r="DBJ76" s="164"/>
      <c r="DBK76" s="164"/>
      <c r="DBL76" s="164"/>
      <c r="DBM76" s="164"/>
      <c r="DBN76" s="164"/>
      <c r="DBO76" s="164"/>
      <c r="DBP76" s="164"/>
      <c r="DBQ76" s="164"/>
      <c r="DBR76" s="164"/>
      <c r="DBS76" s="164"/>
      <c r="DBT76" s="164"/>
      <c r="DBU76" s="164"/>
      <c r="DBV76" s="164"/>
      <c r="DBW76" s="164"/>
      <c r="DBX76" s="164"/>
      <c r="DBY76" s="164"/>
      <c r="DBZ76" s="164"/>
      <c r="DCA76" s="164"/>
      <c r="DCB76" s="164"/>
      <c r="DCC76" s="164"/>
      <c r="DCD76" s="164"/>
      <c r="DCE76" s="164"/>
      <c r="DCF76" s="164"/>
      <c r="DCG76" s="164"/>
      <c r="DCH76" s="164"/>
      <c r="DCI76" s="164"/>
      <c r="DCJ76" s="164"/>
      <c r="DCK76" s="164"/>
      <c r="DCL76" s="164"/>
      <c r="DCM76" s="164"/>
      <c r="DCN76" s="164"/>
      <c r="DCO76" s="164"/>
      <c r="DCP76" s="164"/>
      <c r="DCQ76" s="164"/>
      <c r="DCR76" s="164"/>
      <c r="DCS76" s="164"/>
      <c r="DCT76" s="164"/>
      <c r="DCU76" s="164"/>
      <c r="DCV76" s="164"/>
      <c r="DCW76" s="164"/>
      <c r="DCX76" s="164"/>
      <c r="DCY76" s="164"/>
      <c r="DCZ76" s="164"/>
      <c r="DDA76" s="164"/>
      <c r="DDB76" s="164"/>
      <c r="DDC76" s="164"/>
      <c r="DDD76" s="164"/>
      <c r="DDE76" s="164"/>
      <c r="DDF76" s="164"/>
      <c r="DDG76" s="164"/>
      <c r="DDH76" s="164"/>
      <c r="DDI76" s="164"/>
      <c r="DDJ76" s="164"/>
      <c r="DDK76" s="164"/>
      <c r="DDL76" s="164"/>
      <c r="DDM76" s="164"/>
      <c r="DDN76" s="164"/>
      <c r="DDO76" s="164"/>
      <c r="DDP76" s="164"/>
      <c r="DDQ76" s="164"/>
      <c r="DDR76" s="164"/>
      <c r="DDS76" s="164"/>
      <c r="DDT76" s="164"/>
      <c r="DDU76" s="164"/>
      <c r="DDV76" s="164"/>
      <c r="DDW76" s="164"/>
      <c r="DDX76" s="164"/>
      <c r="DDY76" s="164"/>
      <c r="DDZ76" s="164"/>
      <c r="DEA76" s="164"/>
      <c r="DEB76" s="164"/>
      <c r="DEC76" s="164"/>
      <c r="DED76" s="164"/>
      <c r="DEE76" s="164"/>
      <c r="DEF76" s="164"/>
      <c r="DEG76" s="164"/>
      <c r="DEH76" s="164"/>
      <c r="DEI76" s="164"/>
      <c r="DEJ76" s="164"/>
      <c r="DEK76" s="164"/>
      <c r="DEL76" s="164"/>
      <c r="DEM76" s="164"/>
      <c r="DEN76" s="164"/>
      <c r="DEO76" s="164"/>
      <c r="DEP76" s="164"/>
      <c r="DEQ76" s="164"/>
      <c r="DER76" s="164"/>
      <c r="DES76" s="164"/>
      <c r="DET76" s="164"/>
      <c r="DEU76" s="164"/>
      <c r="DEV76" s="164"/>
      <c r="DEW76" s="164"/>
      <c r="DEX76" s="164"/>
      <c r="DEY76" s="164"/>
      <c r="DEZ76" s="164"/>
      <c r="DFA76" s="164"/>
      <c r="DFB76" s="164"/>
      <c r="DFC76" s="164"/>
      <c r="DFD76" s="164"/>
      <c r="DFE76" s="164"/>
      <c r="DFF76" s="164"/>
      <c r="DFG76" s="164"/>
      <c r="DFH76" s="164"/>
      <c r="DFI76" s="164"/>
      <c r="DFJ76" s="164"/>
      <c r="DFK76" s="164"/>
      <c r="DFL76" s="164"/>
      <c r="DFM76" s="164"/>
      <c r="DFN76" s="164"/>
      <c r="DFO76" s="164"/>
      <c r="DFP76" s="164"/>
      <c r="DFQ76" s="164"/>
      <c r="DFR76" s="164"/>
      <c r="DFS76" s="164"/>
      <c r="DFT76" s="164"/>
      <c r="DFU76" s="164"/>
      <c r="DFV76" s="164"/>
      <c r="DFW76" s="164"/>
      <c r="DFX76" s="164"/>
      <c r="DFY76" s="164"/>
      <c r="DFZ76" s="164"/>
      <c r="DGA76" s="164"/>
      <c r="DGB76" s="164"/>
      <c r="DGC76" s="164"/>
      <c r="DGD76" s="164"/>
      <c r="DGE76" s="164"/>
      <c r="DGF76" s="164"/>
      <c r="DGG76" s="164"/>
      <c r="DGH76" s="164"/>
      <c r="DGI76" s="164"/>
      <c r="DGJ76" s="164"/>
      <c r="DGK76" s="164"/>
      <c r="DGL76" s="164"/>
      <c r="DGM76" s="164"/>
      <c r="DGN76" s="164"/>
      <c r="DGO76" s="164"/>
      <c r="DGP76" s="164"/>
      <c r="DGQ76" s="164"/>
      <c r="DGR76" s="164"/>
      <c r="DGS76" s="164"/>
      <c r="DGT76" s="164"/>
      <c r="DGU76" s="164"/>
      <c r="DGV76" s="164"/>
      <c r="DGW76" s="164"/>
      <c r="DGX76" s="164"/>
      <c r="DGY76" s="164"/>
      <c r="DGZ76" s="164"/>
      <c r="DHA76" s="164"/>
      <c r="DHB76" s="164"/>
      <c r="DHC76" s="164"/>
      <c r="DHD76" s="164"/>
      <c r="DHE76" s="164"/>
      <c r="DHF76" s="164"/>
      <c r="DHG76" s="164"/>
      <c r="DHH76" s="164"/>
      <c r="DHI76" s="164"/>
      <c r="DHJ76" s="164"/>
      <c r="DHK76" s="164"/>
      <c r="DHL76" s="164"/>
      <c r="DHM76" s="164"/>
      <c r="DHN76" s="164"/>
      <c r="DHO76" s="164"/>
      <c r="DHP76" s="164"/>
      <c r="DHQ76" s="164"/>
      <c r="DHR76" s="164"/>
      <c r="DHS76" s="164"/>
      <c r="DHT76" s="164"/>
      <c r="DHU76" s="164"/>
      <c r="DHV76" s="164"/>
      <c r="DHW76" s="164"/>
      <c r="DHX76" s="164"/>
      <c r="DHY76" s="164"/>
      <c r="DHZ76" s="164"/>
      <c r="DIA76" s="164"/>
      <c r="DIB76" s="164"/>
      <c r="DIC76" s="164"/>
      <c r="DID76" s="164"/>
      <c r="DIE76" s="164"/>
      <c r="DIF76" s="164"/>
      <c r="DIG76" s="164"/>
      <c r="DIH76" s="164"/>
      <c r="DII76" s="164"/>
      <c r="DIJ76" s="164"/>
      <c r="DIK76" s="164"/>
      <c r="DIL76" s="164"/>
      <c r="DIM76" s="164"/>
      <c r="DIN76" s="164"/>
      <c r="DIO76" s="164"/>
      <c r="DIP76" s="164"/>
      <c r="DIQ76" s="164"/>
      <c r="DIR76" s="164"/>
      <c r="DIS76" s="164"/>
      <c r="DIT76" s="164"/>
      <c r="DIU76" s="164"/>
      <c r="DIV76" s="164"/>
      <c r="DIW76" s="164"/>
      <c r="DIX76" s="164"/>
      <c r="DIY76" s="164"/>
      <c r="DIZ76" s="164"/>
      <c r="DJA76" s="164"/>
      <c r="DJB76" s="164"/>
      <c r="DJC76" s="164"/>
      <c r="DJD76" s="164"/>
      <c r="DJE76" s="164"/>
      <c r="DJF76" s="164"/>
      <c r="DJG76" s="164"/>
      <c r="DJH76" s="164"/>
      <c r="DJI76" s="164"/>
      <c r="DJJ76" s="164"/>
      <c r="DJK76" s="164"/>
      <c r="DJL76" s="164"/>
      <c r="DJM76" s="164"/>
      <c r="DJN76" s="164"/>
      <c r="DJO76" s="164"/>
      <c r="DJP76" s="164"/>
      <c r="DJQ76" s="164"/>
      <c r="DJR76" s="164"/>
      <c r="DJS76" s="164"/>
      <c r="DJT76" s="164"/>
      <c r="DJU76" s="164"/>
      <c r="DJV76" s="164"/>
      <c r="DJW76" s="164"/>
      <c r="DJX76" s="164"/>
      <c r="DJY76" s="164"/>
      <c r="DJZ76" s="164"/>
      <c r="DKA76" s="164"/>
      <c r="DKB76" s="164"/>
      <c r="DKC76" s="164"/>
      <c r="DKD76" s="164"/>
      <c r="DKE76" s="164"/>
      <c r="DKF76" s="164"/>
      <c r="DKG76" s="164"/>
      <c r="DKH76" s="164"/>
      <c r="DKI76" s="164"/>
      <c r="DKJ76" s="164"/>
      <c r="DKK76" s="164"/>
      <c r="DKL76" s="164"/>
      <c r="DKM76" s="164"/>
      <c r="DKN76" s="164"/>
      <c r="DKO76" s="164"/>
      <c r="DKP76" s="164"/>
      <c r="DKQ76" s="164"/>
      <c r="DKR76" s="164"/>
      <c r="DKS76" s="164"/>
      <c r="DKT76" s="164"/>
      <c r="DKU76" s="164"/>
      <c r="DKV76" s="164"/>
      <c r="DKW76" s="164"/>
      <c r="DKX76" s="164"/>
      <c r="DKY76" s="164"/>
      <c r="DKZ76" s="164"/>
      <c r="DLA76" s="164"/>
      <c r="DLB76" s="164"/>
      <c r="DLC76" s="164"/>
      <c r="DLD76" s="164"/>
      <c r="DLE76" s="164"/>
      <c r="DLF76" s="164"/>
      <c r="DLG76" s="164"/>
      <c r="DLH76" s="164"/>
      <c r="DLI76" s="164"/>
      <c r="DLJ76" s="164"/>
      <c r="DLK76" s="164"/>
      <c r="DLL76" s="164"/>
      <c r="DLM76" s="164"/>
      <c r="DLN76" s="164"/>
      <c r="DLO76" s="164"/>
      <c r="DLP76" s="164"/>
      <c r="DLQ76" s="164"/>
      <c r="DLR76" s="164"/>
      <c r="DLS76" s="164"/>
      <c r="DLT76" s="164"/>
      <c r="DLU76" s="164"/>
      <c r="DLV76" s="164"/>
      <c r="DLW76" s="164"/>
      <c r="DLX76" s="164"/>
      <c r="DLY76" s="164"/>
      <c r="DLZ76" s="164"/>
      <c r="DMA76" s="164"/>
      <c r="DMB76" s="164"/>
      <c r="DMC76" s="164"/>
      <c r="DMD76" s="164"/>
      <c r="DME76" s="164"/>
      <c r="DMF76" s="164"/>
      <c r="DMG76" s="164"/>
      <c r="DMH76" s="164"/>
      <c r="DMI76" s="164"/>
      <c r="DMJ76" s="164"/>
      <c r="DMK76" s="164"/>
      <c r="DML76" s="164"/>
      <c r="DMM76" s="164"/>
      <c r="DMN76" s="164"/>
      <c r="DMO76" s="164"/>
      <c r="DMP76" s="164"/>
      <c r="DMQ76" s="164"/>
      <c r="DMR76" s="164"/>
      <c r="DMS76" s="164"/>
      <c r="DMT76" s="164"/>
      <c r="DMU76" s="164"/>
      <c r="DMV76" s="164"/>
      <c r="DMW76" s="164"/>
      <c r="DMX76" s="164"/>
      <c r="DMY76" s="164"/>
      <c r="DMZ76" s="164"/>
      <c r="DNA76" s="164"/>
      <c r="DNB76" s="164"/>
      <c r="DNC76" s="164"/>
      <c r="DND76" s="164"/>
      <c r="DNE76" s="164"/>
      <c r="DNF76" s="164"/>
      <c r="DNG76" s="164"/>
      <c r="DNH76" s="164"/>
      <c r="DNI76" s="164"/>
      <c r="DNJ76" s="164"/>
      <c r="DNK76" s="164"/>
      <c r="DNL76" s="164"/>
      <c r="DNM76" s="164"/>
      <c r="DNN76" s="164"/>
      <c r="DNO76" s="164"/>
      <c r="DNP76" s="164"/>
      <c r="DNQ76" s="164"/>
      <c r="DNR76" s="164"/>
      <c r="DNS76" s="164"/>
      <c r="DNT76" s="164"/>
      <c r="DNU76" s="164"/>
      <c r="DNV76" s="164"/>
      <c r="DNW76" s="164"/>
      <c r="DNX76" s="164"/>
      <c r="DNY76" s="164"/>
      <c r="DNZ76" s="164"/>
      <c r="DOA76" s="164"/>
      <c r="DOB76" s="164"/>
      <c r="DOC76" s="164"/>
      <c r="DOD76" s="164"/>
      <c r="DOE76" s="164"/>
      <c r="DOF76" s="164"/>
      <c r="DOG76" s="164"/>
      <c r="DOH76" s="164"/>
      <c r="DOI76" s="164"/>
      <c r="DOJ76" s="164"/>
      <c r="DOK76" s="164"/>
      <c r="DOL76" s="164"/>
      <c r="DOM76" s="164"/>
      <c r="DON76" s="164"/>
      <c r="DOO76" s="164"/>
      <c r="DOP76" s="164"/>
      <c r="DOQ76" s="164"/>
      <c r="DOR76" s="164"/>
      <c r="DOS76" s="164"/>
      <c r="DOT76" s="164"/>
      <c r="DOU76" s="164"/>
      <c r="DOV76" s="164"/>
      <c r="DOW76" s="164"/>
      <c r="DOX76" s="164"/>
      <c r="DOY76" s="164"/>
      <c r="DOZ76" s="164"/>
      <c r="DPA76" s="164"/>
      <c r="DPB76" s="164"/>
      <c r="DPC76" s="164"/>
      <c r="DPD76" s="164"/>
      <c r="DPE76" s="164"/>
      <c r="DPF76" s="164"/>
      <c r="DPG76" s="164"/>
      <c r="DPH76" s="164"/>
      <c r="DPI76" s="164"/>
      <c r="DPJ76" s="164"/>
      <c r="DPK76" s="164"/>
      <c r="DPL76" s="164"/>
      <c r="DPM76" s="164"/>
      <c r="DPN76" s="164"/>
      <c r="DPO76" s="164"/>
      <c r="DPP76" s="164"/>
      <c r="DPQ76" s="164"/>
      <c r="DPR76" s="164"/>
      <c r="DPS76" s="164"/>
      <c r="DPT76" s="164"/>
      <c r="DPU76" s="164"/>
      <c r="DPV76" s="164"/>
      <c r="DPW76" s="164"/>
      <c r="DPX76" s="164"/>
      <c r="DPY76" s="164"/>
      <c r="DPZ76" s="164"/>
      <c r="DQA76" s="164"/>
      <c r="DQB76" s="164"/>
      <c r="DQC76" s="164"/>
      <c r="DQD76" s="164"/>
      <c r="DQE76" s="164"/>
      <c r="DQF76" s="164"/>
      <c r="DQG76" s="164"/>
      <c r="DQH76" s="164"/>
      <c r="DQI76" s="164"/>
      <c r="DQJ76" s="164"/>
      <c r="DQK76" s="164"/>
      <c r="DQL76" s="164"/>
      <c r="DQM76" s="164"/>
      <c r="DQN76" s="164"/>
      <c r="DQO76" s="164"/>
      <c r="DQP76" s="164"/>
      <c r="DQQ76" s="164"/>
      <c r="DQR76" s="164"/>
      <c r="DQS76" s="164"/>
      <c r="DQT76" s="164"/>
      <c r="DQU76" s="164"/>
      <c r="DQV76" s="164"/>
      <c r="DQW76" s="164"/>
      <c r="DQX76" s="164"/>
      <c r="DQY76" s="164"/>
      <c r="DQZ76" s="164"/>
      <c r="DRA76" s="164"/>
      <c r="DRB76" s="164"/>
      <c r="DRC76" s="164"/>
      <c r="DRD76" s="164"/>
      <c r="DRE76" s="164"/>
      <c r="DRF76" s="164"/>
      <c r="DRG76" s="164"/>
      <c r="DRH76" s="164"/>
      <c r="DRI76" s="164"/>
      <c r="DRJ76" s="164"/>
      <c r="DRK76" s="164"/>
      <c r="DRL76" s="164"/>
      <c r="DRM76" s="164"/>
      <c r="DRN76" s="164"/>
      <c r="DRO76" s="164"/>
      <c r="DRP76" s="164"/>
      <c r="DRQ76" s="164"/>
      <c r="DRR76" s="164"/>
      <c r="DRS76" s="164"/>
      <c r="DRT76" s="164"/>
      <c r="DRU76" s="164"/>
      <c r="DRV76" s="164"/>
      <c r="DRW76" s="164"/>
      <c r="DRX76" s="164"/>
      <c r="DRY76" s="164"/>
      <c r="DRZ76" s="164"/>
      <c r="DSA76" s="164"/>
      <c r="DSB76" s="164"/>
      <c r="DSC76" s="164"/>
      <c r="DSD76" s="164"/>
      <c r="DSE76" s="164"/>
      <c r="DSF76" s="164"/>
      <c r="DSG76" s="164"/>
      <c r="DSH76" s="164"/>
      <c r="DSI76" s="164"/>
      <c r="DSJ76" s="164"/>
      <c r="DSK76" s="164"/>
      <c r="DSL76" s="164"/>
      <c r="DSM76" s="164"/>
      <c r="DSN76" s="164"/>
      <c r="DSO76" s="164"/>
      <c r="DSP76" s="164"/>
      <c r="DSQ76" s="164"/>
      <c r="DSR76" s="164"/>
      <c r="DSS76" s="164"/>
      <c r="DST76" s="164"/>
      <c r="DSU76" s="164"/>
      <c r="DSV76" s="164"/>
      <c r="DSW76" s="164"/>
      <c r="DSX76" s="164"/>
      <c r="DSY76" s="164"/>
      <c r="DSZ76" s="164"/>
      <c r="DTA76" s="164"/>
      <c r="DTB76" s="164"/>
      <c r="DTC76" s="164"/>
      <c r="DTD76" s="164"/>
      <c r="DTE76" s="164"/>
      <c r="DTF76" s="164"/>
      <c r="DTG76" s="164"/>
      <c r="DTH76" s="164"/>
      <c r="DTI76" s="164"/>
      <c r="DTJ76" s="164"/>
      <c r="DTK76" s="164"/>
      <c r="DTL76" s="164"/>
      <c r="DTM76" s="164"/>
      <c r="DTN76" s="164"/>
      <c r="DTO76" s="164"/>
      <c r="DTP76" s="164"/>
      <c r="DTQ76" s="164"/>
      <c r="DTR76" s="164"/>
      <c r="DTS76" s="164"/>
      <c r="DTT76" s="164"/>
      <c r="DTU76" s="164"/>
      <c r="DTV76" s="164"/>
      <c r="DTW76" s="164"/>
      <c r="DTX76" s="164"/>
      <c r="DTY76" s="164"/>
      <c r="DTZ76" s="164"/>
      <c r="DUA76" s="164"/>
      <c r="DUB76" s="164"/>
      <c r="DUC76" s="164"/>
      <c r="DUD76" s="164"/>
      <c r="DUE76" s="164"/>
      <c r="DUF76" s="164"/>
      <c r="DUG76" s="164"/>
      <c r="DUH76" s="164"/>
      <c r="DUI76" s="164"/>
      <c r="DUJ76" s="164"/>
      <c r="DUK76" s="164"/>
      <c r="DUL76" s="164"/>
      <c r="DUM76" s="164"/>
      <c r="DUN76" s="164"/>
      <c r="DUO76" s="164"/>
      <c r="DUP76" s="164"/>
      <c r="DUQ76" s="164"/>
      <c r="DUR76" s="164"/>
      <c r="DUS76" s="164"/>
      <c r="DUT76" s="164"/>
      <c r="DUU76" s="164"/>
      <c r="DUV76" s="164"/>
      <c r="DUW76" s="164"/>
      <c r="DUX76" s="164"/>
      <c r="DUY76" s="164"/>
      <c r="DUZ76" s="164"/>
      <c r="DVA76" s="164"/>
      <c r="DVB76" s="164"/>
      <c r="DVC76" s="164"/>
      <c r="DVD76" s="164"/>
      <c r="DVE76" s="164"/>
      <c r="DVF76" s="164"/>
      <c r="DVG76" s="164"/>
      <c r="DVH76" s="164"/>
      <c r="DVI76" s="164"/>
      <c r="DVJ76" s="164"/>
      <c r="DVK76" s="164"/>
      <c r="DVL76" s="164"/>
      <c r="DVM76" s="164"/>
      <c r="DVN76" s="164"/>
      <c r="DVO76" s="164"/>
      <c r="DVP76" s="164"/>
      <c r="DVQ76" s="164"/>
      <c r="DVR76" s="164"/>
      <c r="DVS76" s="164"/>
      <c r="DVT76" s="164"/>
      <c r="DVU76" s="164"/>
      <c r="DVV76" s="164"/>
      <c r="DVW76" s="164"/>
      <c r="DVX76" s="164"/>
      <c r="DVY76" s="164"/>
      <c r="DVZ76" s="164"/>
      <c r="DWA76" s="164"/>
      <c r="DWB76" s="164"/>
      <c r="DWC76" s="164"/>
      <c r="DWD76" s="164"/>
      <c r="DWE76" s="164"/>
      <c r="DWF76" s="164"/>
      <c r="DWG76" s="164"/>
      <c r="DWH76" s="164"/>
      <c r="DWI76" s="164"/>
      <c r="DWJ76" s="164"/>
      <c r="DWK76" s="164"/>
      <c r="DWL76" s="164"/>
      <c r="DWM76" s="164"/>
      <c r="DWN76" s="164"/>
      <c r="DWO76" s="164"/>
      <c r="DWP76" s="164"/>
      <c r="DWQ76" s="164"/>
      <c r="DWR76" s="164"/>
      <c r="DWS76" s="164"/>
      <c r="DWT76" s="164"/>
      <c r="DWU76" s="164"/>
      <c r="DWV76" s="164"/>
      <c r="DWW76" s="164"/>
      <c r="DWX76" s="164"/>
      <c r="DWY76" s="164"/>
      <c r="DWZ76" s="164"/>
      <c r="DXA76" s="164"/>
      <c r="DXB76" s="164"/>
      <c r="DXC76" s="164"/>
      <c r="DXD76" s="164"/>
      <c r="DXE76" s="164"/>
      <c r="DXF76" s="164"/>
      <c r="DXG76" s="164"/>
      <c r="DXH76" s="164"/>
      <c r="DXI76" s="164"/>
      <c r="DXJ76" s="164"/>
      <c r="DXK76" s="164"/>
      <c r="DXL76" s="164"/>
      <c r="DXM76" s="164"/>
      <c r="DXN76" s="164"/>
      <c r="DXO76" s="164"/>
      <c r="DXP76" s="164"/>
      <c r="DXQ76" s="164"/>
      <c r="DXR76" s="164"/>
      <c r="DXS76" s="164"/>
      <c r="DXT76" s="164"/>
      <c r="DXU76" s="164"/>
      <c r="DXV76" s="164"/>
      <c r="DXW76" s="164"/>
      <c r="DXX76" s="164"/>
      <c r="DXY76" s="164"/>
      <c r="DXZ76" s="164"/>
      <c r="DYA76" s="164"/>
      <c r="DYB76" s="164"/>
      <c r="DYC76" s="164"/>
      <c r="DYD76" s="164"/>
      <c r="DYE76" s="164"/>
      <c r="DYF76" s="164"/>
      <c r="DYG76" s="164"/>
      <c r="DYH76" s="164"/>
      <c r="DYI76" s="164"/>
      <c r="DYJ76" s="164"/>
      <c r="DYK76" s="164"/>
      <c r="DYL76" s="164"/>
      <c r="DYM76" s="164"/>
      <c r="DYN76" s="164"/>
      <c r="DYO76" s="164"/>
      <c r="DYP76" s="164"/>
      <c r="DYQ76" s="164"/>
      <c r="DYR76" s="164"/>
      <c r="DYS76" s="164"/>
      <c r="DYT76" s="164"/>
      <c r="DYU76" s="164"/>
      <c r="DYV76" s="164"/>
      <c r="DYW76" s="164"/>
      <c r="DYX76" s="164"/>
      <c r="DYY76" s="164"/>
      <c r="DYZ76" s="164"/>
      <c r="DZA76" s="164"/>
      <c r="DZB76" s="164"/>
      <c r="DZC76" s="164"/>
      <c r="DZD76" s="164"/>
      <c r="DZE76" s="164"/>
      <c r="DZF76" s="164"/>
      <c r="DZG76" s="164"/>
      <c r="DZH76" s="164"/>
      <c r="DZI76" s="164"/>
      <c r="DZJ76" s="164"/>
      <c r="DZK76" s="164"/>
      <c r="DZL76" s="164"/>
      <c r="DZM76" s="164"/>
      <c r="DZN76" s="164"/>
      <c r="DZO76" s="164"/>
      <c r="DZP76" s="164"/>
      <c r="DZQ76" s="164"/>
      <c r="DZR76" s="164"/>
      <c r="DZS76" s="164"/>
      <c r="DZT76" s="164"/>
      <c r="DZU76" s="164"/>
      <c r="DZV76" s="164"/>
      <c r="DZW76" s="164"/>
      <c r="DZX76" s="164"/>
      <c r="DZY76" s="164"/>
      <c r="DZZ76" s="164"/>
      <c r="EAA76" s="164"/>
      <c r="EAB76" s="164"/>
      <c r="EAC76" s="164"/>
      <c r="EAD76" s="164"/>
      <c r="EAE76" s="164"/>
      <c r="EAF76" s="164"/>
      <c r="EAG76" s="164"/>
      <c r="EAH76" s="164"/>
      <c r="EAI76" s="164"/>
      <c r="EAJ76" s="164"/>
      <c r="EAK76" s="164"/>
      <c r="EAL76" s="164"/>
      <c r="EAM76" s="164"/>
      <c r="EAN76" s="164"/>
      <c r="EAO76" s="164"/>
      <c r="EAP76" s="164"/>
      <c r="EAQ76" s="164"/>
      <c r="EAR76" s="164"/>
      <c r="EAS76" s="164"/>
      <c r="EAT76" s="164"/>
      <c r="EAU76" s="164"/>
      <c r="EAV76" s="164"/>
      <c r="EAW76" s="164"/>
      <c r="EAX76" s="164"/>
      <c r="EAY76" s="164"/>
      <c r="EAZ76" s="164"/>
      <c r="EBA76" s="164"/>
      <c r="EBB76" s="164"/>
      <c r="EBC76" s="164"/>
      <c r="EBD76" s="164"/>
      <c r="EBE76" s="164"/>
      <c r="EBF76" s="164"/>
      <c r="EBG76" s="164"/>
      <c r="EBH76" s="164"/>
      <c r="EBI76" s="164"/>
      <c r="EBJ76" s="164"/>
      <c r="EBK76" s="164"/>
      <c r="EBL76" s="164"/>
      <c r="EBM76" s="164"/>
      <c r="EBN76" s="164"/>
      <c r="EBO76" s="164"/>
      <c r="EBP76" s="164"/>
      <c r="EBQ76" s="164"/>
      <c r="EBR76" s="164"/>
      <c r="EBS76" s="164"/>
      <c r="EBT76" s="164"/>
      <c r="EBU76" s="164"/>
      <c r="EBV76" s="164"/>
      <c r="EBW76" s="164"/>
      <c r="EBX76" s="164"/>
      <c r="EBY76" s="164"/>
      <c r="EBZ76" s="164"/>
      <c r="ECA76" s="164"/>
      <c r="ECB76" s="164"/>
      <c r="ECC76" s="164"/>
      <c r="ECD76" s="164"/>
      <c r="ECE76" s="164"/>
      <c r="ECF76" s="164"/>
      <c r="ECG76" s="164"/>
      <c r="ECH76" s="164"/>
      <c r="ECI76" s="164"/>
      <c r="ECJ76" s="164"/>
      <c r="ECK76" s="164"/>
      <c r="ECL76" s="164"/>
      <c r="ECM76" s="164"/>
      <c r="ECN76" s="164"/>
      <c r="ECO76" s="164"/>
      <c r="ECP76" s="164"/>
      <c r="ECQ76" s="164"/>
      <c r="ECR76" s="164"/>
      <c r="ECS76" s="164"/>
      <c r="ECT76" s="164"/>
      <c r="ECU76" s="164"/>
      <c r="ECV76" s="164"/>
      <c r="ECW76" s="164"/>
      <c r="ECX76" s="164"/>
      <c r="ECY76" s="164"/>
      <c r="ECZ76" s="164"/>
      <c r="EDA76" s="164"/>
      <c r="EDB76" s="164"/>
      <c r="EDC76" s="164"/>
      <c r="EDD76" s="164"/>
      <c r="EDE76" s="164"/>
      <c r="EDF76" s="164"/>
      <c r="EDG76" s="164"/>
      <c r="EDH76" s="164"/>
      <c r="EDI76" s="164"/>
      <c r="EDJ76" s="164"/>
      <c r="EDK76" s="164"/>
      <c r="EDL76" s="164"/>
      <c r="EDM76" s="164"/>
      <c r="EDN76" s="164"/>
      <c r="EDO76" s="164"/>
      <c r="EDP76" s="164"/>
      <c r="EDQ76" s="164"/>
      <c r="EDR76" s="164"/>
      <c r="EDS76" s="164"/>
      <c r="EDT76" s="164"/>
      <c r="EDU76" s="164"/>
      <c r="EDV76" s="164"/>
      <c r="EDW76" s="164"/>
      <c r="EDX76" s="164"/>
      <c r="EDY76" s="164"/>
      <c r="EDZ76" s="164"/>
      <c r="EEA76" s="164"/>
      <c r="EEB76" s="164"/>
      <c r="EEC76" s="164"/>
      <c r="EED76" s="164"/>
      <c r="EEE76" s="164"/>
      <c r="EEF76" s="164"/>
      <c r="EEG76" s="164"/>
      <c r="EEH76" s="164"/>
      <c r="EEI76" s="164"/>
      <c r="EEJ76" s="164"/>
      <c r="EEK76" s="164"/>
      <c r="EEL76" s="164"/>
      <c r="EEM76" s="164"/>
      <c r="EEN76" s="164"/>
      <c r="EEO76" s="164"/>
      <c r="EEP76" s="164"/>
      <c r="EEQ76" s="164"/>
      <c r="EER76" s="164"/>
      <c r="EES76" s="164"/>
      <c r="EET76" s="164"/>
      <c r="EEU76" s="164"/>
      <c r="EEV76" s="164"/>
      <c r="EEW76" s="164"/>
      <c r="EEX76" s="164"/>
      <c r="EEY76" s="164"/>
      <c r="EEZ76" s="164"/>
      <c r="EFA76" s="164"/>
      <c r="EFB76" s="164"/>
      <c r="EFC76" s="164"/>
      <c r="EFD76" s="164"/>
      <c r="EFE76" s="164"/>
      <c r="EFF76" s="164"/>
      <c r="EFG76" s="164"/>
      <c r="EFH76" s="164"/>
      <c r="EFI76" s="164"/>
      <c r="EFJ76" s="164"/>
      <c r="EFK76" s="164"/>
      <c r="EFL76" s="164"/>
      <c r="EFM76" s="164"/>
      <c r="EFN76" s="164"/>
      <c r="EFO76" s="164"/>
      <c r="EFP76" s="164"/>
      <c r="EFQ76" s="164"/>
      <c r="EFR76" s="164"/>
      <c r="EFS76" s="164"/>
      <c r="EFT76" s="164"/>
      <c r="EFU76" s="164"/>
      <c r="EFV76" s="164"/>
      <c r="EFW76" s="164"/>
      <c r="EFX76" s="164"/>
      <c r="EFY76" s="164"/>
      <c r="EFZ76" s="164"/>
      <c r="EGA76" s="164"/>
      <c r="EGB76" s="164"/>
      <c r="EGC76" s="164"/>
      <c r="EGD76" s="164"/>
      <c r="EGE76" s="164"/>
      <c r="EGF76" s="164"/>
      <c r="EGG76" s="164"/>
      <c r="EGH76" s="164"/>
      <c r="EGI76" s="164"/>
      <c r="EGJ76" s="164"/>
      <c r="EGK76" s="164"/>
      <c r="EGL76" s="164"/>
      <c r="EGM76" s="164"/>
      <c r="EGN76" s="164"/>
      <c r="EGO76" s="164"/>
      <c r="EGP76" s="164"/>
      <c r="EGQ76" s="164"/>
      <c r="EGR76" s="164"/>
      <c r="EGS76" s="164"/>
      <c r="EGT76" s="164"/>
      <c r="EGU76" s="164"/>
      <c r="EGV76" s="164"/>
      <c r="EGW76" s="164"/>
      <c r="EGX76" s="164"/>
      <c r="EGY76" s="164"/>
      <c r="EGZ76" s="164"/>
      <c r="EHA76" s="164"/>
      <c r="EHB76" s="164"/>
      <c r="EHC76" s="164"/>
      <c r="EHD76" s="164"/>
      <c r="EHE76" s="164"/>
      <c r="EHF76" s="164"/>
      <c r="EHG76" s="164"/>
      <c r="EHH76" s="164"/>
      <c r="EHI76" s="164"/>
      <c r="EHJ76" s="164"/>
      <c r="EHK76" s="164"/>
      <c r="EHL76" s="164"/>
      <c r="EHM76" s="164"/>
      <c r="EHN76" s="164"/>
      <c r="EHO76" s="164"/>
      <c r="EHP76" s="164"/>
      <c r="EHQ76" s="164"/>
      <c r="EHR76" s="164"/>
      <c r="EHS76" s="164"/>
      <c r="EHT76" s="164"/>
      <c r="EHU76" s="164"/>
      <c r="EHV76" s="164"/>
      <c r="EHW76" s="164"/>
      <c r="EHX76" s="164"/>
      <c r="EHY76" s="164"/>
      <c r="EHZ76" s="164"/>
      <c r="EIA76" s="164"/>
      <c r="EIB76" s="164"/>
      <c r="EIC76" s="164"/>
      <c r="EID76" s="164"/>
      <c r="EIE76" s="164"/>
      <c r="EIF76" s="164"/>
      <c r="EIG76" s="164"/>
      <c r="EIH76" s="164"/>
      <c r="EII76" s="164"/>
      <c r="EIJ76" s="164"/>
      <c r="EIK76" s="164"/>
      <c r="EIL76" s="164"/>
      <c r="EIM76" s="164"/>
      <c r="EIN76" s="164"/>
      <c r="EIO76" s="164"/>
      <c r="EIP76" s="164"/>
      <c r="EIQ76" s="164"/>
      <c r="EIR76" s="164"/>
      <c r="EIS76" s="164"/>
      <c r="EIT76" s="164"/>
      <c r="EIU76" s="164"/>
      <c r="EIV76" s="164"/>
      <c r="EIW76" s="164"/>
      <c r="EIX76" s="164"/>
      <c r="EIY76" s="164"/>
      <c r="EIZ76" s="164"/>
      <c r="EJA76" s="164"/>
      <c r="EJB76" s="164"/>
      <c r="EJC76" s="164"/>
      <c r="EJD76" s="164"/>
      <c r="EJE76" s="164"/>
      <c r="EJF76" s="164"/>
      <c r="EJG76" s="164"/>
      <c r="EJH76" s="164"/>
      <c r="EJI76" s="164"/>
      <c r="EJJ76" s="164"/>
      <c r="EJK76" s="164"/>
      <c r="EJL76" s="164"/>
      <c r="EJM76" s="164"/>
      <c r="EJN76" s="164"/>
      <c r="EJO76" s="164"/>
      <c r="EJP76" s="164"/>
      <c r="EJQ76" s="164"/>
      <c r="EJR76" s="164"/>
      <c r="EJS76" s="164"/>
      <c r="EJT76" s="164"/>
      <c r="EJU76" s="164"/>
      <c r="EJV76" s="164"/>
      <c r="EJW76" s="164"/>
      <c r="EJX76" s="164"/>
      <c r="EJY76" s="164"/>
      <c r="EJZ76" s="164"/>
      <c r="EKA76" s="164"/>
      <c r="EKB76" s="164"/>
      <c r="EKC76" s="164"/>
      <c r="EKD76" s="164"/>
      <c r="EKE76" s="164"/>
      <c r="EKF76" s="164"/>
      <c r="EKG76" s="164"/>
      <c r="EKH76" s="164"/>
      <c r="EKI76" s="164"/>
      <c r="EKJ76" s="164"/>
      <c r="EKK76" s="164"/>
      <c r="EKL76" s="164"/>
      <c r="EKM76" s="164"/>
      <c r="EKN76" s="164"/>
      <c r="EKO76" s="164"/>
      <c r="EKP76" s="164"/>
      <c r="EKQ76" s="164"/>
      <c r="EKR76" s="164"/>
      <c r="EKS76" s="164"/>
      <c r="EKT76" s="164"/>
      <c r="EKU76" s="164"/>
      <c r="EKV76" s="164"/>
      <c r="EKW76" s="164"/>
      <c r="EKX76" s="164"/>
      <c r="EKY76" s="164"/>
      <c r="EKZ76" s="164"/>
      <c r="ELA76" s="164"/>
      <c r="ELB76" s="164"/>
      <c r="ELC76" s="164"/>
      <c r="ELD76" s="164"/>
      <c r="ELE76" s="164"/>
      <c r="ELF76" s="164"/>
      <c r="ELG76" s="164"/>
      <c r="ELH76" s="164"/>
      <c r="ELI76" s="164"/>
      <c r="ELJ76" s="164"/>
      <c r="ELK76" s="164"/>
      <c r="ELL76" s="164"/>
      <c r="ELM76" s="164"/>
      <c r="ELN76" s="164"/>
      <c r="ELO76" s="164"/>
      <c r="ELP76" s="164"/>
      <c r="ELQ76" s="164"/>
      <c r="ELR76" s="164"/>
      <c r="ELS76" s="164"/>
      <c r="ELT76" s="164"/>
      <c r="ELU76" s="164"/>
      <c r="ELV76" s="164"/>
      <c r="ELW76" s="164"/>
      <c r="ELX76" s="164"/>
      <c r="ELY76" s="164"/>
      <c r="ELZ76" s="164"/>
      <c r="EMA76" s="164"/>
      <c r="EMB76" s="164"/>
      <c r="EMC76" s="164"/>
      <c r="EMD76" s="164"/>
      <c r="EME76" s="164"/>
      <c r="EMF76" s="164"/>
      <c r="EMG76" s="164"/>
      <c r="EMH76" s="164"/>
      <c r="EMI76" s="164"/>
      <c r="EMJ76" s="164"/>
      <c r="EMK76" s="164"/>
      <c r="EML76" s="164"/>
      <c r="EMM76" s="164"/>
      <c r="EMN76" s="164"/>
      <c r="EMO76" s="164"/>
      <c r="EMP76" s="164"/>
      <c r="EMQ76" s="164"/>
      <c r="EMR76" s="164"/>
      <c r="EMS76" s="164"/>
      <c r="EMT76" s="164"/>
      <c r="EMU76" s="164"/>
      <c r="EMV76" s="164"/>
      <c r="EMW76" s="164"/>
      <c r="EMX76" s="164"/>
      <c r="EMY76" s="164"/>
      <c r="EMZ76" s="164"/>
      <c r="ENA76" s="164"/>
      <c r="ENB76" s="164"/>
      <c r="ENC76" s="164"/>
      <c r="END76" s="164"/>
      <c r="ENE76" s="164"/>
      <c r="ENF76" s="164"/>
      <c r="ENG76" s="164"/>
      <c r="ENH76" s="164"/>
      <c r="ENI76" s="164"/>
      <c r="ENJ76" s="164"/>
      <c r="ENK76" s="164"/>
      <c r="ENL76" s="164"/>
      <c r="ENM76" s="164"/>
      <c r="ENN76" s="164"/>
      <c r="ENO76" s="164"/>
      <c r="ENP76" s="164"/>
      <c r="ENQ76" s="164"/>
      <c r="ENR76" s="164"/>
      <c r="ENS76" s="164"/>
      <c r="ENT76" s="164"/>
      <c r="ENU76" s="164"/>
      <c r="ENV76" s="164"/>
      <c r="ENW76" s="164"/>
      <c r="ENX76" s="164"/>
      <c r="ENY76" s="164"/>
      <c r="ENZ76" s="164"/>
      <c r="EOA76" s="164"/>
      <c r="EOB76" s="164"/>
      <c r="EOC76" s="164"/>
      <c r="EOD76" s="164"/>
      <c r="EOE76" s="164"/>
      <c r="EOF76" s="164"/>
      <c r="EOG76" s="164"/>
      <c r="EOH76" s="164"/>
      <c r="EOI76" s="164"/>
      <c r="EOJ76" s="164"/>
      <c r="EOK76" s="164"/>
      <c r="EOL76" s="164"/>
      <c r="EOM76" s="164"/>
      <c r="EON76" s="164"/>
      <c r="EOO76" s="164"/>
      <c r="EOP76" s="164"/>
      <c r="EOQ76" s="164"/>
      <c r="EOR76" s="164"/>
      <c r="EOS76" s="164"/>
      <c r="EOT76" s="164"/>
      <c r="EOU76" s="164"/>
      <c r="EOV76" s="164"/>
      <c r="EOW76" s="164"/>
      <c r="EOX76" s="164"/>
      <c r="EOY76" s="164"/>
      <c r="EOZ76" s="164"/>
      <c r="EPA76" s="164"/>
      <c r="EPB76" s="164"/>
      <c r="EPC76" s="164"/>
      <c r="EPD76" s="164"/>
      <c r="EPE76" s="164"/>
      <c r="EPF76" s="164"/>
      <c r="EPG76" s="164"/>
      <c r="EPH76" s="164"/>
      <c r="EPI76" s="164"/>
      <c r="EPJ76" s="164"/>
      <c r="EPK76" s="164"/>
      <c r="EPL76" s="164"/>
      <c r="EPM76" s="164"/>
      <c r="EPN76" s="164"/>
      <c r="EPO76" s="164"/>
      <c r="EPP76" s="164"/>
      <c r="EPQ76" s="164"/>
      <c r="EPR76" s="164"/>
      <c r="EPS76" s="164"/>
      <c r="EPT76" s="164"/>
      <c r="EPU76" s="164"/>
      <c r="EPV76" s="164"/>
      <c r="EPW76" s="164"/>
      <c r="EPX76" s="164"/>
      <c r="EPY76" s="164"/>
      <c r="EPZ76" s="164"/>
      <c r="EQA76" s="164"/>
      <c r="EQB76" s="164"/>
      <c r="EQC76" s="164"/>
      <c r="EQD76" s="164"/>
      <c r="EQE76" s="164"/>
      <c r="EQF76" s="164"/>
      <c r="EQG76" s="164"/>
      <c r="EQH76" s="164"/>
      <c r="EQI76" s="164"/>
      <c r="EQJ76" s="164"/>
      <c r="EQK76" s="164"/>
      <c r="EQL76" s="164"/>
      <c r="EQM76" s="164"/>
      <c r="EQN76" s="164"/>
      <c r="EQO76" s="164"/>
      <c r="EQP76" s="164"/>
      <c r="EQQ76" s="164"/>
      <c r="EQR76" s="164"/>
      <c r="EQS76" s="164"/>
      <c r="EQT76" s="164"/>
      <c r="EQU76" s="164"/>
      <c r="EQV76" s="164"/>
      <c r="EQW76" s="164"/>
      <c r="EQX76" s="164"/>
      <c r="EQY76" s="164"/>
      <c r="EQZ76" s="164"/>
      <c r="ERA76" s="164"/>
      <c r="ERB76" s="164"/>
      <c r="ERC76" s="164"/>
      <c r="ERD76" s="164"/>
      <c r="ERE76" s="164"/>
      <c r="ERF76" s="164"/>
      <c r="ERG76" s="164"/>
      <c r="ERH76" s="164"/>
      <c r="ERI76" s="164"/>
      <c r="ERJ76" s="164"/>
      <c r="ERK76" s="164"/>
      <c r="ERL76" s="164"/>
      <c r="ERM76" s="164"/>
      <c r="ERN76" s="164"/>
      <c r="ERO76" s="164"/>
      <c r="ERP76" s="164"/>
      <c r="ERQ76" s="164"/>
      <c r="ERR76" s="164"/>
      <c r="ERS76" s="164"/>
      <c r="ERT76" s="164"/>
      <c r="ERU76" s="164"/>
      <c r="ERV76" s="164"/>
      <c r="ERW76" s="164"/>
      <c r="ERX76" s="164"/>
      <c r="ERY76" s="164"/>
      <c r="ERZ76" s="164"/>
      <c r="ESA76" s="164"/>
      <c r="ESB76" s="164"/>
      <c r="ESC76" s="164"/>
      <c r="ESD76" s="164"/>
      <c r="ESE76" s="164"/>
      <c r="ESF76" s="164"/>
      <c r="ESG76" s="164"/>
      <c r="ESH76" s="164"/>
      <c r="ESI76" s="164"/>
      <c r="ESJ76" s="164"/>
      <c r="ESK76" s="164"/>
      <c r="ESL76" s="164"/>
      <c r="ESM76" s="164"/>
      <c r="ESN76" s="164"/>
      <c r="ESO76" s="164"/>
      <c r="ESP76" s="164"/>
      <c r="ESQ76" s="164"/>
      <c r="ESR76" s="164"/>
      <c r="ESS76" s="164"/>
      <c r="EST76" s="164"/>
      <c r="ESU76" s="164"/>
      <c r="ESV76" s="164"/>
      <c r="ESW76" s="164"/>
      <c r="ESX76" s="164"/>
      <c r="ESY76" s="164"/>
      <c r="ESZ76" s="164"/>
      <c r="ETA76" s="164"/>
      <c r="ETB76" s="164"/>
      <c r="ETC76" s="164"/>
      <c r="ETD76" s="164"/>
      <c r="ETE76" s="164"/>
      <c r="ETF76" s="164"/>
      <c r="ETG76" s="164"/>
      <c r="ETH76" s="164"/>
      <c r="ETI76" s="164"/>
      <c r="ETJ76" s="164"/>
      <c r="ETK76" s="164"/>
      <c r="ETL76" s="164"/>
      <c r="ETM76" s="164"/>
      <c r="ETN76" s="164"/>
      <c r="ETO76" s="164"/>
      <c r="ETP76" s="164"/>
      <c r="ETQ76" s="164"/>
      <c r="ETR76" s="164"/>
      <c r="ETS76" s="164"/>
      <c r="ETT76" s="164"/>
      <c r="ETU76" s="164"/>
      <c r="ETV76" s="164"/>
      <c r="ETW76" s="164"/>
      <c r="ETX76" s="164"/>
      <c r="ETY76" s="164"/>
      <c r="ETZ76" s="164"/>
      <c r="EUA76" s="164"/>
      <c r="EUB76" s="164"/>
      <c r="EUC76" s="164"/>
      <c r="EUD76" s="164"/>
      <c r="EUE76" s="164"/>
      <c r="EUF76" s="164"/>
      <c r="EUG76" s="164"/>
      <c r="EUH76" s="164"/>
      <c r="EUI76" s="164"/>
      <c r="EUJ76" s="164"/>
      <c r="EUK76" s="164"/>
      <c r="EUL76" s="164"/>
      <c r="EUM76" s="164"/>
      <c r="EUN76" s="164"/>
      <c r="EUO76" s="164"/>
      <c r="EUP76" s="164"/>
      <c r="EUQ76" s="164"/>
      <c r="EUR76" s="164"/>
      <c r="EUS76" s="164"/>
      <c r="EUT76" s="164"/>
      <c r="EUU76" s="164"/>
      <c r="EUV76" s="164"/>
      <c r="EUW76" s="164"/>
      <c r="EUX76" s="164"/>
      <c r="EUY76" s="164"/>
      <c r="EUZ76" s="164"/>
      <c r="EVA76" s="164"/>
      <c r="EVB76" s="164"/>
      <c r="EVC76" s="164"/>
      <c r="EVD76" s="164"/>
      <c r="EVE76" s="164"/>
      <c r="EVF76" s="164"/>
      <c r="EVG76" s="164"/>
      <c r="EVH76" s="164"/>
      <c r="EVI76" s="164"/>
      <c r="EVJ76" s="164"/>
      <c r="EVK76" s="164"/>
      <c r="EVL76" s="164"/>
      <c r="EVM76" s="164"/>
      <c r="EVN76" s="164"/>
      <c r="EVO76" s="164"/>
      <c r="EVP76" s="164"/>
      <c r="EVQ76" s="164"/>
      <c r="EVR76" s="164"/>
      <c r="EVS76" s="164"/>
      <c r="EVT76" s="164"/>
      <c r="EVU76" s="164"/>
      <c r="EVV76" s="164"/>
      <c r="EVW76" s="164"/>
      <c r="EVX76" s="164"/>
      <c r="EVY76" s="164"/>
      <c r="EVZ76" s="164"/>
      <c r="EWA76" s="164"/>
      <c r="EWB76" s="164"/>
      <c r="EWC76" s="164"/>
      <c r="EWD76" s="164"/>
      <c r="EWE76" s="164"/>
      <c r="EWF76" s="164"/>
      <c r="EWG76" s="164"/>
      <c r="EWH76" s="164"/>
      <c r="EWI76" s="164"/>
      <c r="EWJ76" s="164"/>
      <c r="EWK76" s="164"/>
      <c r="EWL76" s="164"/>
      <c r="EWM76" s="164"/>
      <c r="EWN76" s="164"/>
      <c r="EWO76" s="164"/>
      <c r="EWP76" s="164"/>
      <c r="EWQ76" s="164"/>
      <c r="EWR76" s="164"/>
      <c r="EWS76" s="164"/>
      <c r="EWT76" s="164"/>
      <c r="EWU76" s="164"/>
      <c r="EWV76" s="164"/>
      <c r="EWW76" s="164"/>
      <c r="EWX76" s="164"/>
      <c r="EWY76" s="164"/>
      <c r="EWZ76" s="164"/>
      <c r="EXA76" s="164"/>
      <c r="EXB76" s="164"/>
      <c r="EXC76" s="164"/>
      <c r="EXD76" s="164"/>
      <c r="EXE76" s="164"/>
      <c r="EXF76" s="164"/>
      <c r="EXG76" s="164"/>
      <c r="EXH76" s="164"/>
      <c r="EXI76" s="164"/>
      <c r="EXJ76" s="164"/>
      <c r="EXK76" s="164"/>
      <c r="EXL76" s="164"/>
      <c r="EXM76" s="164"/>
      <c r="EXN76" s="164"/>
      <c r="EXO76" s="164"/>
      <c r="EXP76" s="164"/>
      <c r="EXQ76" s="164"/>
      <c r="EXR76" s="164"/>
      <c r="EXS76" s="164"/>
      <c r="EXT76" s="164"/>
      <c r="EXU76" s="164"/>
      <c r="EXV76" s="164"/>
      <c r="EXW76" s="164"/>
      <c r="EXX76" s="164"/>
      <c r="EXY76" s="164"/>
      <c r="EXZ76" s="164"/>
      <c r="EYA76" s="164"/>
      <c r="EYB76" s="164"/>
      <c r="EYC76" s="164"/>
      <c r="EYD76" s="164"/>
      <c r="EYE76" s="164"/>
      <c r="EYF76" s="164"/>
      <c r="EYG76" s="164"/>
      <c r="EYH76" s="164"/>
      <c r="EYI76" s="164"/>
      <c r="EYJ76" s="164"/>
      <c r="EYK76" s="164"/>
      <c r="EYL76" s="164"/>
      <c r="EYM76" s="164"/>
      <c r="EYN76" s="164"/>
      <c r="EYO76" s="164"/>
      <c r="EYP76" s="164"/>
      <c r="EYQ76" s="164"/>
      <c r="EYR76" s="164"/>
      <c r="EYS76" s="164"/>
      <c r="EYT76" s="164"/>
      <c r="EYU76" s="164"/>
      <c r="EYV76" s="164"/>
      <c r="EYW76" s="164"/>
      <c r="EYX76" s="164"/>
      <c r="EYY76" s="164"/>
      <c r="EYZ76" s="164"/>
      <c r="EZA76" s="164"/>
      <c r="EZB76" s="164"/>
      <c r="EZC76" s="164"/>
      <c r="EZD76" s="164"/>
      <c r="EZE76" s="164"/>
      <c r="EZF76" s="164"/>
      <c r="EZG76" s="164"/>
      <c r="EZH76" s="164"/>
      <c r="EZI76" s="164"/>
      <c r="EZJ76" s="164"/>
      <c r="EZK76" s="164"/>
      <c r="EZL76" s="164"/>
      <c r="EZM76" s="164"/>
      <c r="EZN76" s="164"/>
      <c r="EZO76" s="164"/>
      <c r="EZP76" s="164"/>
      <c r="EZQ76" s="164"/>
      <c r="EZR76" s="164"/>
      <c r="EZS76" s="164"/>
      <c r="EZT76" s="164"/>
      <c r="EZU76" s="164"/>
      <c r="EZV76" s="164"/>
      <c r="EZW76" s="164"/>
      <c r="EZX76" s="164"/>
      <c r="EZY76" s="164"/>
      <c r="EZZ76" s="164"/>
      <c r="FAA76" s="164"/>
      <c r="FAB76" s="164"/>
      <c r="FAC76" s="164"/>
      <c r="FAD76" s="164"/>
      <c r="FAE76" s="164"/>
      <c r="FAF76" s="164"/>
      <c r="FAG76" s="164"/>
      <c r="FAH76" s="164"/>
      <c r="FAI76" s="164"/>
      <c r="FAJ76" s="164"/>
      <c r="FAK76" s="164"/>
      <c r="FAL76" s="164"/>
      <c r="FAM76" s="164"/>
      <c r="FAN76" s="164"/>
      <c r="FAO76" s="164"/>
      <c r="FAP76" s="164"/>
      <c r="FAQ76" s="164"/>
      <c r="FAR76" s="164"/>
      <c r="FAS76" s="164"/>
      <c r="FAT76" s="164"/>
      <c r="FAU76" s="164"/>
      <c r="FAV76" s="164"/>
      <c r="FAW76" s="164"/>
      <c r="FAX76" s="164"/>
      <c r="FAY76" s="164"/>
      <c r="FAZ76" s="164"/>
      <c r="FBA76" s="164"/>
      <c r="FBB76" s="164"/>
      <c r="FBC76" s="164"/>
      <c r="FBD76" s="164"/>
      <c r="FBE76" s="164"/>
      <c r="FBF76" s="164"/>
      <c r="FBG76" s="164"/>
      <c r="FBH76" s="164"/>
      <c r="FBI76" s="164"/>
      <c r="FBJ76" s="164"/>
      <c r="FBK76" s="164"/>
      <c r="FBL76" s="164"/>
      <c r="FBM76" s="164"/>
      <c r="FBN76" s="164"/>
      <c r="FBO76" s="164"/>
      <c r="FBP76" s="164"/>
      <c r="FBQ76" s="164"/>
      <c r="FBR76" s="164"/>
      <c r="FBS76" s="164"/>
      <c r="FBT76" s="164"/>
      <c r="FBU76" s="164"/>
      <c r="FBV76" s="164"/>
      <c r="FBW76" s="164"/>
      <c r="FBX76" s="164"/>
      <c r="FBY76" s="164"/>
      <c r="FBZ76" s="164"/>
      <c r="FCA76" s="164"/>
      <c r="FCB76" s="164"/>
      <c r="FCC76" s="164"/>
      <c r="FCD76" s="164"/>
      <c r="FCE76" s="164"/>
      <c r="FCF76" s="164"/>
      <c r="FCG76" s="164"/>
      <c r="FCH76" s="164"/>
      <c r="FCI76" s="164"/>
      <c r="FCJ76" s="164"/>
      <c r="FCK76" s="164"/>
      <c r="FCL76" s="164"/>
      <c r="FCM76" s="164"/>
      <c r="FCN76" s="164"/>
      <c r="FCO76" s="164"/>
      <c r="FCP76" s="164"/>
      <c r="FCQ76" s="164"/>
      <c r="FCR76" s="164"/>
      <c r="FCS76" s="164"/>
      <c r="FCT76" s="164"/>
      <c r="FCU76" s="164"/>
      <c r="FCV76" s="164"/>
      <c r="FCW76" s="164"/>
      <c r="FCX76" s="164"/>
      <c r="FCY76" s="164"/>
      <c r="FCZ76" s="164"/>
      <c r="FDA76" s="164"/>
      <c r="FDB76" s="164"/>
      <c r="FDC76" s="164"/>
      <c r="FDD76" s="164"/>
      <c r="FDE76" s="164"/>
      <c r="FDF76" s="164"/>
      <c r="FDG76" s="164"/>
      <c r="FDH76" s="164"/>
      <c r="FDI76" s="164"/>
      <c r="FDJ76" s="164"/>
      <c r="FDK76" s="164"/>
      <c r="FDL76" s="164"/>
      <c r="FDM76" s="164"/>
      <c r="FDN76" s="164"/>
      <c r="FDO76" s="164"/>
      <c r="FDP76" s="164"/>
      <c r="FDQ76" s="164"/>
      <c r="FDR76" s="164"/>
      <c r="FDS76" s="164"/>
      <c r="FDT76" s="164"/>
      <c r="FDU76" s="164"/>
      <c r="FDV76" s="164"/>
      <c r="FDW76" s="164"/>
      <c r="FDX76" s="164"/>
      <c r="FDY76" s="164"/>
      <c r="FDZ76" s="164"/>
      <c r="FEA76" s="164"/>
      <c r="FEB76" s="164"/>
      <c r="FEC76" s="164"/>
      <c r="FED76" s="164"/>
      <c r="FEE76" s="164"/>
      <c r="FEF76" s="164"/>
      <c r="FEG76" s="164"/>
      <c r="FEH76" s="164"/>
      <c r="FEI76" s="164"/>
      <c r="FEJ76" s="164"/>
      <c r="FEK76" s="164"/>
      <c r="FEL76" s="164"/>
      <c r="FEM76" s="164"/>
      <c r="FEN76" s="164"/>
      <c r="FEO76" s="164"/>
      <c r="FEP76" s="164"/>
      <c r="FEQ76" s="164"/>
      <c r="FER76" s="164"/>
      <c r="FES76" s="164"/>
      <c r="FET76" s="164"/>
      <c r="FEU76" s="164"/>
      <c r="FEV76" s="164"/>
      <c r="FEW76" s="164"/>
      <c r="FEX76" s="164"/>
      <c r="FEY76" s="164"/>
      <c r="FEZ76" s="164"/>
      <c r="FFA76" s="164"/>
      <c r="FFB76" s="164"/>
      <c r="FFC76" s="164"/>
      <c r="FFD76" s="164"/>
      <c r="FFE76" s="164"/>
      <c r="FFF76" s="164"/>
      <c r="FFG76" s="164"/>
      <c r="FFH76" s="164"/>
      <c r="FFI76" s="164"/>
      <c r="FFJ76" s="164"/>
      <c r="FFK76" s="164"/>
      <c r="FFL76" s="164"/>
      <c r="FFM76" s="164"/>
      <c r="FFN76" s="164"/>
      <c r="FFO76" s="164"/>
      <c r="FFP76" s="164"/>
      <c r="FFQ76" s="164"/>
      <c r="FFR76" s="164"/>
      <c r="FFS76" s="164"/>
      <c r="FFT76" s="164"/>
      <c r="FFU76" s="164"/>
      <c r="FFV76" s="164"/>
      <c r="FFW76" s="164"/>
      <c r="FFX76" s="164"/>
      <c r="FFY76" s="164"/>
      <c r="FFZ76" s="164"/>
      <c r="FGA76" s="164"/>
      <c r="FGB76" s="164"/>
      <c r="FGC76" s="164"/>
      <c r="FGD76" s="164"/>
      <c r="FGE76" s="164"/>
      <c r="FGF76" s="164"/>
      <c r="FGG76" s="164"/>
      <c r="FGH76" s="164"/>
      <c r="FGI76" s="164"/>
      <c r="FGJ76" s="164"/>
      <c r="FGK76" s="164"/>
      <c r="FGL76" s="164"/>
      <c r="FGM76" s="164"/>
      <c r="FGN76" s="164"/>
      <c r="FGO76" s="164"/>
      <c r="FGP76" s="164"/>
      <c r="FGQ76" s="164"/>
      <c r="FGR76" s="164"/>
      <c r="FGS76" s="164"/>
      <c r="FGT76" s="164"/>
      <c r="FGU76" s="164"/>
      <c r="FGV76" s="164"/>
      <c r="FGW76" s="164"/>
      <c r="FGX76" s="164"/>
      <c r="FGY76" s="164"/>
      <c r="FGZ76" s="164"/>
      <c r="FHA76" s="164"/>
      <c r="FHB76" s="164"/>
      <c r="FHC76" s="164"/>
      <c r="FHD76" s="164"/>
      <c r="FHE76" s="164"/>
      <c r="FHF76" s="164"/>
      <c r="FHG76" s="164"/>
      <c r="FHH76" s="164"/>
      <c r="FHI76" s="164"/>
      <c r="FHJ76" s="164"/>
      <c r="FHK76" s="164"/>
      <c r="FHL76" s="164"/>
      <c r="FHM76" s="164"/>
      <c r="FHN76" s="164"/>
      <c r="FHO76" s="164"/>
      <c r="FHP76" s="164"/>
      <c r="FHQ76" s="164"/>
      <c r="FHR76" s="164"/>
      <c r="FHS76" s="164"/>
      <c r="FHT76" s="164"/>
      <c r="FHU76" s="164"/>
      <c r="FHV76" s="164"/>
      <c r="FHW76" s="164"/>
      <c r="FHX76" s="164"/>
      <c r="FHY76" s="164"/>
      <c r="FHZ76" s="164"/>
      <c r="FIA76" s="164"/>
      <c r="FIB76" s="164"/>
      <c r="FIC76" s="164"/>
      <c r="FID76" s="164"/>
      <c r="FIE76" s="164"/>
      <c r="FIF76" s="164"/>
      <c r="FIG76" s="164"/>
      <c r="FIH76" s="164"/>
      <c r="FII76" s="164"/>
      <c r="FIJ76" s="164"/>
      <c r="FIK76" s="164"/>
      <c r="FIL76" s="164"/>
      <c r="FIM76" s="164"/>
      <c r="FIN76" s="164"/>
      <c r="FIO76" s="164"/>
      <c r="FIP76" s="164"/>
      <c r="FIQ76" s="164"/>
      <c r="FIR76" s="164"/>
      <c r="FIS76" s="164"/>
      <c r="FIT76" s="164"/>
      <c r="FIU76" s="164"/>
      <c r="FIV76" s="164"/>
      <c r="FIW76" s="164"/>
      <c r="FIX76" s="164"/>
      <c r="FIY76" s="164"/>
      <c r="FIZ76" s="164"/>
      <c r="FJA76" s="164"/>
      <c r="FJB76" s="164"/>
      <c r="FJC76" s="164"/>
      <c r="FJD76" s="164"/>
      <c r="FJE76" s="164"/>
      <c r="FJF76" s="164"/>
      <c r="FJG76" s="164"/>
      <c r="FJH76" s="164"/>
      <c r="FJI76" s="164"/>
      <c r="FJJ76" s="164"/>
      <c r="FJK76" s="164"/>
      <c r="FJL76" s="164"/>
      <c r="FJM76" s="164"/>
      <c r="FJN76" s="164"/>
      <c r="FJO76" s="164"/>
      <c r="FJP76" s="164"/>
      <c r="FJQ76" s="164"/>
      <c r="FJR76" s="164"/>
      <c r="FJS76" s="164"/>
      <c r="FJT76" s="164"/>
      <c r="FJU76" s="164"/>
      <c r="FJV76" s="164"/>
      <c r="FJW76" s="164"/>
      <c r="FJX76" s="164"/>
      <c r="FJY76" s="164"/>
      <c r="FJZ76" s="164"/>
      <c r="FKA76" s="164"/>
      <c r="FKB76" s="164"/>
      <c r="FKC76" s="164"/>
      <c r="FKD76" s="164"/>
      <c r="FKE76" s="164"/>
      <c r="FKF76" s="164"/>
      <c r="FKG76" s="164"/>
      <c r="FKH76" s="164"/>
      <c r="FKI76" s="164"/>
      <c r="FKJ76" s="164"/>
      <c r="FKK76" s="164"/>
      <c r="FKL76" s="164"/>
      <c r="FKM76" s="164"/>
      <c r="FKN76" s="164"/>
      <c r="FKO76" s="164"/>
      <c r="FKP76" s="164"/>
      <c r="FKQ76" s="164"/>
      <c r="FKR76" s="164"/>
      <c r="FKS76" s="164"/>
      <c r="FKT76" s="164"/>
      <c r="FKU76" s="164"/>
      <c r="FKV76" s="164"/>
      <c r="FKW76" s="164"/>
      <c r="FKX76" s="164"/>
      <c r="FKY76" s="164"/>
      <c r="FKZ76" s="164"/>
      <c r="FLA76" s="164"/>
      <c r="FLB76" s="164"/>
      <c r="FLC76" s="164"/>
      <c r="FLD76" s="164"/>
      <c r="FLE76" s="164"/>
      <c r="FLF76" s="164"/>
      <c r="FLG76" s="164"/>
      <c r="FLH76" s="164"/>
      <c r="FLI76" s="164"/>
      <c r="FLJ76" s="164"/>
      <c r="FLK76" s="164"/>
      <c r="FLL76" s="164"/>
      <c r="FLM76" s="164"/>
      <c r="FLN76" s="164"/>
      <c r="FLO76" s="164"/>
      <c r="FLP76" s="164"/>
      <c r="FLQ76" s="164"/>
      <c r="FLR76" s="164"/>
      <c r="FLS76" s="164"/>
      <c r="FLT76" s="164"/>
      <c r="FLU76" s="164"/>
      <c r="FLV76" s="164"/>
      <c r="FLW76" s="164"/>
      <c r="FLX76" s="164"/>
      <c r="FLY76" s="164"/>
      <c r="FLZ76" s="164"/>
      <c r="FMA76" s="164"/>
      <c r="FMB76" s="164"/>
      <c r="FMC76" s="164"/>
      <c r="FMD76" s="164"/>
      <c r="FME76" s="164"/>
      <c r="FMF76" s="164"/>
      <c r="FMG76" s="164"/>
      <c r="FMH76" s="164"/>
      <c r="FMI76" s="164"/>
      <c r="FMJ76" s="164"/>
      <c r="FMK76" s="164"/>
      <c r="FML76" s="164"/>
      <c r="FMM76" s="164"/>
      <c r="FMN76" s="164"/>
      <c r="FMO76" s="164"/>
      <c r="FMP76" s="164"/>
      <c r="FMQ76" s="164"/>
      <c r="FMR76" s="164"/>
      <c r="FMS76" s="164"/>
      <c r="FMT76" s="164"/>
      <c r="FMU76" s="164"/>
      <c r="FMV76" s="164"/>
      <c r="FMW76" s="164"/>
      <c r="FMX76" s="164"/>
      <c r="FMY76" s="164"/>
      <c r="FMZ76" s="164"/>
      <c r="FNA76" s="164"/>
      <c r="FNB76" s="164"/>
      <c r="FNC76" s="164"/>
      <c r="FND76" s="164"/>
      <c r="FNE76" s="164"/>
      <c r="FNF76" s="164"/>
      <c r="FNG76" s="164"/>
      <c r="FNH76" s="164"/>
      <c r="FNI76" s="164"/>
      <c r="FNJ76" s="164"/>
      <c r="FNK76" s="164"/>
      <c r="FNL76" s="164"/>
      <c r="FNM76" s="164"/>
      <c r="FNN76" s="164"/>
      <c r="FNO76" s="164"/>
      <c r="FNP76" s="164"/>
      <c r="FNQ76" s="164"/>
      <c r="FNR76" s="164"/>
      <c r="FNS76" s="164"/>
      <c r="FNT76" s="164"/>
      <c r="FNU76" s="164"/>
      <c r="FNV76" s="164"/>
      <c r="FNW76" s="164"/>
      <c r="FNX76" s="164"/>
      <c r="FNY76" s="164"/>
      <c r="FNZ76" s="164"/>
      <c r="FOA76" s="164"/>
      <c r="FOB76" s="164"/>
      <c r="FOC76" s="164"/>
      <c r="FOD76" s="164"/>
      <c r="FOE76" s="164"/>
      <c r="FOF76" s="164"/>
      <c r="FOG76" s="164"/>
      <c r="FOH76" s="164"/>
      <c r="FOI76" s="164"/>
      <c r="FOJ76" s="164"/>
      <c r="FOK76" s="164"/>
      <c r="FOL76" s="164"/>
      <c r="FOM76" s="164"/>
      <c r="FON76" s="164"/>
      <c r="FOO76" s="164"/>
      <c r="FOP76" s="164"/>
      <c r="FOQ76" s="164"/>
      <c r="FOR76" s="164"/>
      <c r="FOS76" s="164"/>
      <c r="FOT76" s="164"/>
      <c r="FOU76" s="164"/>
      <c r="FOV76" s="164"/>
      <c r="FOW76" s="164"/>
      <c r="FOX76" s="164"/>
      <c r="FOY76" s="164"/>
      <c r="FOZ76" s="164"/>
      <c r="FPA76" s="164"/>
      <c r="FPB76" s="164"/>
      <c r="FPC76" s="164"/>
      <c r="FPD76" s="164"/>
      <c r="FPE76" s="164"/>
      <c r="FPF76" s="164"/>
      <c r="FPG76" s="164"/>
      <c r="FPH76" s="164"/>
      <c r="FPI76" s="164"/>
      <c r="FPJ76" s="164"/>
      <c r="FPK76" s="164"/>
      <c r="FPL76" s="164"/>
      <c r="FPM76" s="164"/>
      <c r="FPN76" s="164"/>
      <c r="FPO76" s="164"/>
      <c r="FPP76" s="164"/>
      <c r="FPQ76" s="164"/>
      <c r="FPR76" s="164"/>
      <c r="FPS76" s="164"/>
      <c r="FPT76" s="164"/>
      <c r="FPU76" s="164"/>
      <c r="FPV76" s="164"/>
      <c r="FPW76" s="164"/>
      <c r="FPX76" s="164"/>
      <c r="FPY76" s="164"/>
      <c r="FPZ76" s="164"/>
      <c r="FQA76" s="164"/>
      <c r="FQB76" s="164"/>
      <c r="FQC76" s="164"/>
      <c r="FQD76" s="164"/>
      <c r="FQE76" s="164"/>
      <c r="FQF76" s="164"/>
      <c r="FQG76" s="164"/>
      <c r="FQH76" s="164"/>
      <c r="FQI76" s="164"/>
      <c r="FQJ76" s="164"/>
      <c r="FQK76" s="164"/>
      <c r="FQL76" s="164"/>
      <c r="FQM76" s="164"/>
      <c r="FQN76" s="164"/>
      <c r="FQO76" s="164"/>
      <c r="FQP76" s="164"/>
      <c r="FQQ76" s="164"/>
      <c r="FQR76" s="164"/>
      <c r="FQS76" s="164"/>
      <c r="FQT76" s="164"/>
      <c r="FQU76" s="164"/>
      <c r="FQV76" s="164"/>
      <c r="FQW76" s="164"/>
      <c r="FQX76" s="164"/>
      <c r="FQY76" s="164"/>
      <c r="FQZ76" s="164"/>
      <c r="FRA76" s="164"/>
      <c r="FRB76" s="164"/>
      <c r="FRC76" s="164"/>
      <c r="FRD76" s="164"/>
      <c r="FRE76" s="164"/>
      <c r="FRF76" s="164"/>
      <c r="FRG76" s="164"/>
      <c r="FRH76" s="164"/>
      <c r="FRI76" s="164"/>
      <c r="FRJ76" s="164"/>
      <c r="FRK76" s="164"/>
      <c r="FRL76" s="164"/>
      <c r="FRM76" s="164"/>
      <c r="FRN76" s="164"/>
      <c r="FRO76" s="164"/>
      <c r="FRP76" s="164"/>
      <c r="FRQ76" s="164"/>
      <c r="FRR76" s="164"/>
      <c r="FRS76" s="164"/>
      <c r="FRT76" s="164"/>
      <c r="FRU76" s="164"/>
      <c r="FRV76" s="164"/>
      <c r="FRW76" s="164"/>
      <c r="FRX76" s="164"/>
      <c r="FRY76" s="164"/>
      <c r="FRZ76" s="164"/>
      <c r="FSA76" s="164"/>
      <c r="FSB76" s="164"/>
      <c r="FSC76" s="164"/>
      <c r="FSD76" s="164"/>
      <c r="FSE76" s="164"/>
      <c r="FSF76" s="164"/>
      <c r="FSG76" s="164"/>
      <c r="FSH76" s="164"/>
      <c r="FSI76" s="164"/>
      <c r="FSJ76" s="164"/>
      <c r="FSK76" s="164"/>
      <c r="FSL76" s="164"/>
      <c r="FSM76" s="164"/>
      <c r="FSN76" s="164"/>
      <c r="FSO76" s="164"/>
      <c r="FSP76" s="164"/>
      <c r="FSQ76" s="164"/>
      <c r="FSR76" s="164"/>
      <c r="FSS76" s="164"/>
      <c r="FST76" s="164"/>
      <c r="FSU76" s="164"/>
      <c r="FSV76" s="164"/>
      <c r="FSW76" s="164"/>
      <c r="FSX76" s="164"/>
      <c r="FSY76" s="164"/>
      <c r="FSZ76" s="164"/>
      <c r="FTA76" s="164"/>
      <c r="FTB76" s="164"/>
      <c r="FTC76" s="164"/>
      <c r="FTD76" s="164"/>
      <c r="FTE76" s="164"/>
      <c r="FTF76" s="164"/>
      <c r="FTG76" s="164"/>
      <c r="FTH76" s="164"/>
      <c r="FTI76" s="164"/>
      <c r="FTJ76" s="164"/>
      <c r="FTK76" s="164"/>
      <c r="FTL76" s="164"/>
      <c r="FTM76" s="164"/>
      <c r="FTN76" s="164"/>
      <c r="FTO76" s="164"/>
      <c r="FTP76" s="164"/>
      <c r="FTQ76" s="164"/>
      <c r="FTR76" s="164"/>
      <c r="FTS76" s="164"/>
      <c r="FTT76" s="164"/>
      <c r="FTU76" s="164"/>
      <c r="FTV76" s="164"/>
      <c r="FTW76" s="164"/>
      <c r="FTX76" s="164"/>
      <c r="FTY76" s="164"/>
      <c r="FTZ76" s="164"/>
      <c r="FUA76" s="164"/>
      <c r="FUB76" s="164"/>
      <c r="FUC76" s="164"/>
      <c r="FUD76" s="164"/>
      <c r="FUE76" s="164"/>
      <c r="FUF76" s="164"/>
      <c r="FUG76" s="164"/>
      <c r="FUH76" s="164"/>
      <c r="FUI76" s="164"/>
      <c r="FUJ76" s="164"/>
      <c r="FUK76" s="164"/>
      <c r="FUL76" s="164"/>
      <c r="FUM76" s="164"/>
      <c r="FUN76" s="164"/>
      <c r="FUO76" s="164"/>
      <c r="FUP76" s="164"/>
      <c r="FUQ76" s="164"/>
      <c r="FUR76" s="164"/>
      <c r="FUS76" s="164"/>
      <c r="FUT76" s="164"/>
      <c r="FUU76" s="164"/>
      <c r="FUV76" s="164"/>
      <c r="FUW76" s="164"/>
      <c r="FUX76" s="164"/>
      <c r="FUY76" s="164"/>
      <c r="FUZ76" s="164"/>
      <c r="FVA76" s="164"/>
      <c r="FVB76" s="164"/>
      <c r="FVC76" s="164"/>
      <c r="FVD76" s="164"/>
      <c r="FVE76" s="164"/>
      <c r="FVF76" s="164"/>
      <c r="FVG76" s="164"/>
      <c r="FVH76" s="164"/>
      <c r="FVI76" s="164"/>
      <c r="FVJ76" s="164"/>
      <c r="FVK76" s="164"/>
      <c r="FVL76" s="164"/>
      <c r="FVM76" s="164"/>
      <c r="FVN76" s="164"/>
      <c r="FVO76" s="164"/>
      <c r="FVP76" s="164"/>
      <c r="FVQ76" s="164"/>
      <c r="FVR76" s="164"/>
      <c r="FVS76" s="164"/>
      <c r="FVT76" s="164"/>
      <c r="FVU76" s="164"/>
      <c r="FVV76" s="164"/>
      <c r="FVW76" s="164"/>
      <c r="FVX76" s="164"/>
      <c r="FVY76" s="164"/>
      <c r="FVZ76" s="164"/>
      <c r="FWA76" s="164"/>
      <c r="FWB76" s="164"/>
      <c r="FWC76" s="164"/>
      <c r="FWD76" s="164"/>
      <c r="FWE76" s="164"/>
      <c r="FWF76" s="164"/>
      <c r="FWG76" s="164"/>
      <c r="FWH76" s="164"/>
      <c r="FWI76" s="164"/>
      <c r="FWJ76" s="164"/>
      <c r="FWK76" s="164"/>
      <c r="FWL76" s="164"/>
      <c r="FWM76" s="164"/>
      <c r="FWN76" s="164"/>
      <c r="FWO76" s="164"/>
      <c r="FWP76" s="164"/>
      <c r="FWQ76" s="164"/>
      <c r="FWR76" s="164"/>
      <c r="FWS76" s="164"/>
      <c r="FWT76" s="164"/>
      <c r="FWU76" s="164"/>
      <c r="FWV76" s="164"/>
      <c r="FWW76" s="164"/>
      <c r="FWX76" s="164"/>
      <c r="FWY76" s="164"/>
      <c r="FWZ76" s="164"/>
      <c r="FXA76" s="164"/>
      <c r="FXB76" s="164"/>
      <c r="FXC76" s="164"/>
      <c r="FXD76" s="164"/>
      <c r="FXE76" s="164"/>
      <c r="FXF76" s="164"/>
      <c r="FXG76" s="164"/>
      <c r="FXH76" s="164"/>
      <c r="FXI76" s="164"/>
      <c r="FXJ76" s="164"/>
      <c r="FXK76" s="164"/>
      <c r="FXL76" s="164"/>
      <c r="FXM76" s="164"/>
      <c r="FXN76" s="164"/>
      <c r="FXO76" s="164"/>
      <c r="FXP76" s="164"/>
      <c r="FXQ76" s="164"/>
      <c r="FXR76" s="164"/>
      <c r="FXS76" s="164"/>
      <c r="FXT76" s="164"/>
      <c r="FXU76" s="164"/>
      <c r="FXV76" s="164"/>
      <c r="FXW76" s="164"/>
      <c r="FXX76" s="164"/>
      <c r="FXY76" s="164"/>
      <c r="FXZ76" s="164"/>
      <c r="FYA76" s="164"/>
      <c r="FYB76" s="164"/>
      <c r="FYC76" s="164"/>
      <c r="FYD76" s="164"/>
      <c r="FYE76" s="164"/>
      <c r="FYF76" s="164"/>
      <c r="FYG76" s="164"/>
      <c r="FYH76" s="164"/>
      <c r="FYI76" s="164"/>
      <c r="FYJ76" s="164"/>
      <c r="FYK76" s="164"/>
      <c r="FYL76" s="164"/>
      <c r="FYM76" s="164"/>
      <c r="FYN76" s="164"/>
      <c r="FYO76" s="164"/>
      <c r="FYP76" s="164"/>
      <c r="FYQ76" s="164"/>
      <c r="FYR76" s="164"/>
      <c r="FYS76" s="164"/>
      <c r="FYT76" s="164"/>
      <c r="FYU76" s="164"/>
      <c r="FYV76" s="164"/>
      <c r="FYW76" s="164"/>
      <c r="FYX76" s="164"/>
      <c r="FYY76" s="164"/>
      <c r="FYZ76" s="164"/>
      <c r="FZA76" s="164"/>
      <c r="FZB76" s="164"/>
      <c r="FZC76" s="164"/>
      <c r="FZD76" s="164"/>
      <c r="FZE76" s="164"/>
      <c r="FZF76" s="164"/>
      <c r="FZG76" s="164"/>
      <c r="FZH76" s="164"/>
      <c r="FZI76" s="164"/>
      <c r="FZJ76" s="164"/>
      <c r="FZK76" s="164"/>
      <c r="FZL76" s="164"/>
      <c r="FZM76" s="164"/>
      <c r="FZN76" s="164"/>
      <c r="FZO76" s="164"/>
      <c r="FZP76" s="164"/>
      <c r="FZQ76" s="164"/>
      <c r="FZR76" s="164"/>
      <c r="FZS76" s="164"/>
      <c r="FZT76" s="164"/>
      <c r="FZU76" s="164"/>
      <c r="FZV76" s="164"/>
      <c r="FZW76" s="164"/>
      <c r="FZX76" s="164"/>
      <c r="FZY76" s="164"/>
      <c r="FZZ76" s="164"/>
      <c r="GAA76" s="164"/>
      <c r="GAB76" s="164"/>
      <c r="GAC76" s="164"/>
      <c r="GAD76" s="164"/>
      <c r="GAE76" s="164"/>
      <c r="GAF76" s="164"/>
      <c r="GAG76" s="164"/>
      <c r="GAH76" s="164"/>
      <c r="GAI76" s="164"/>
      <c r="GAJ76" s="164"/>
      <c r="GAK76" s="164"/>
      <c r="GAL76" s="164"/>
      <c r="GAM76" s="164"/>
      <c r="GAN76" s="164"/>
      <c r="GAO76" s="164"/>
      <c r="GAP76" s="164"/>
      <c r="GAQ76" s="164"/>
      <c r="GAR76" s="164"/>
      <c r="GAS76" s="164"/>
      <c r="GAT76" s="164"/>
      <c r="GAU76" s="164"/>
      <c r="GAV76" s="164"/>
      <c r="GAW76" s="164"/>
      <c r="GAX76" s="164"/>
      <c r="GAY76" s="164"/>
      <c r="GAZ76" s="164"/>
      <c r="GBA76" s="164"/>
      <c r="GBB76" s="164"/>
      <c r="GBC76" s="164"/>
      <c r="GBD76" s="164"/>
      <c r="GBE76" s="164"/>
      <c r="GBF76" s="164"/>
      <c r="GBG76" s="164"/>
      <c r="GBH76" s="164"/>
      <c r="GBI76" s="164"/>
      <c r="GBJ76" s="164"/>
      <c r="GBK76" s="164"/>
      <c r="GBL76" s="164"/>
      <c r="GBM76" s="164"/>
      <c r="GBN76" s="164"/>
      <c r="GBO76" s="164"/>
      <c r="GBP76" s="164"/>
      <c r="GBQ76" s="164"/>
      <c r="GBR76" s="164"/>
      <c r="GBS76" s="164"/>
      <c r="GBT76" s="164"/>
      <c r="GBU76" s="164"/>
      <c r="GBV76" s="164"/>
      <c r="GBW76" s="164"/>
      <c r="GBX76" s="164"/>
      <c r="GBY76" s="164"/>
      <c r="GBZ76" s="164"/>
      <c r="GCA76" s="164"/>
      <c r="GCB76" s="164"/>
      <c r="GCC76" s="164"/>
      <c r="GCD76" s="164"/>
      <c r="GCE76" s="164"/>
      <c r="GCF76" s="164"/>
      <c r="GCG76" s="164"/>
      <c r="GCH76" s="164"/>
      <c r="GCI76" s="164"/>
      <c r="GCJ76" s="164"/>
      <c r="GCK76" s="164"/>
      <c r="GCL76" s="164"/>
      <c r="GCM76" s="164"/>
      <c r="GCN76" s="164"/>
      <c r="GCO76" s="164"/>
      <c r="GCP76" s="164"/>
      <c r="GCQ76" s="164"/>
      <c r="GCR76" s="164"/>
      <c r="GCS76" s="164"/>
      <c r="GCT76" s="164"/>
      <c r="GCU76" s="164"/>
      <c r="GCV76" s="164"/>
      <c r="GCW76" s="164"/>
      <c r="GCX76" s="164"/>
      <c r="GCY76" s="164"/>
      <c r="GCZ76" s="164"/>
      <c r="GDA76" s="164"/>
      <c r="GDB76" s="164"/>
      <c r="GDC76" s="164"/>
      <c r="GDD76" s="164"/>
      <c r="GDE76" s="164"/>
      <c r="GDF76" s="164"/>
      <c r="GDG76" s="164"/>
      <c r="GDH76" s="164"/>
      <c r="GDI76" s="164"/>
      <c r="GDJ76" s="164"/>
      <c r="GDK76" s="164"/>
      <c r="GDL76" s="164"/>
      <c r="GDM76" s="164"/>
      <c r="GDN76" s="164"/>
      <c r="GDO76" s="164"/>
      <c r="GDP76" s="164"/>
      <c r="GDQ76" s="164"/>
      <c r="GDR76" s="164"/>
      <c r="GDS76" s="164"/>
      <c r="GDT76" s="164"/>
      <c r="GDU76" s="164"/>
      <c r="GDV76" s="164"/>
      <c r="GDW76" s="164"/>
      <c r="GDX76" s="164"/>
      <c r="GDY76" s="164"/>
      <c r="GDZ76" s="164"/>
      <c r="GEA76" s="164"/>
      <c r="GEB76" s="164"/>
      <c r="GEC76" s="164"/>
      <c r="GED76" s="164"/>
      <c r="GEE76" s="164"/>
      <c r="GEF76" s="164"/>
      <c r="GEG76" s="164"/>
      <c r="GEH76" s="164"/>
      <c r="GEI76" s="164"/>
      <c r="GEJ76" s="164"/>
      <c r="GEK76" s="164"/>
      <c r="GEL76" s="164"/>
      <c r="GEM76" s="164"/>
      <c r="GEN76" s="164"/>
      <c r="GEO76" s="164"/>
      <c r="GEP76" s="164"/>
      <c r="GEQ76" s="164"/>
      <c r="GER76" s="164"/>
      <c r="GES76" s="164"/>
      <c r="GET76" s="164"/>
      <c r="GEU76" s="164"/>
      <c r="GEV76" s="164"/>
      <c r="GEW76" s="164"/>
      <c r="GEX76" s="164"/>
      <c r="GEY76" s="164"/>
      <c r="GEZ76" s="164"/>
      <c r="GFA76" s="164"/>
      <c r="GFB76" s="164"/>
      <c r="GFC76" s="164"/>
      <c r="GFD76" s="164"/>
      <c r="GFE76" s="164"/>
      <c r="GFF76" s="164"/>
      <c r="GFG76" s="164"/>
      <c r="GFH76" s="164"/>
      <c r="GFI76" s="164"/>
      <c r="GFJ76" s="164"/>
      <c r="GFK76" s="164"/>
      <c r="GFL76" s="164"/>
      <c r="GFM76" s="164"/>
      <c r="GFN76" s="164"/>
      <c r="GFO76" s="164"/>
      <c r="GFP76" s="164"/>
      <c r="GFQ76" s="164"/>
      <c r="GFR76" s="164"/>
      <c r="GFS76" s="164"/>
      <c r="GFT76" s="164"/>
      <c r="GFU76" s="164"/>
      <c r="GFV76" s="164"/>
      <c r="GFW76" s="164"/>
      <c r="GFX76" s="164"/>
      <c r="GFY76" s="164"/>
      <c r="GFZ76" s="164"/>
      <c r="GGA76" s="164"/>
      <c r="GGB76" s="164"/>
      <c r="GGC76" s="164"/>
      <c r="GGD76" s="164"/>
      <c r="GGE76" s="164"/>
      <c r="GGF76" s="164"/>
      <c r="GGG76" s="164"/>
      <c r="GGH76" s="164"/>
      <c r="GGI76" s="164"/>
      <c r="GGJ76" s="164"/>
      <c r="GGK76" s="164"/>
      <c r="GGL76" s="164"/>
      <c r="GGM76" s="164"/>
      <c r="GGN76" s="164"/>
      <c r="GGO76" s="164"/>
      <c r="GGP76" s="164"/>
      <c r="GGQ76" s="164"/>
      <c r="GGR76" s="164"/>
      <c r="GGS76" s="164"/>
      <c r="GGT76" s="164"/>
      <c r="GGU76" s="164"/>
      <c r="GGV76" s="164"/>
      <c r="GGW76" s="164"/>
      <c r="GGX76" s="164"/>
      <c r="GGY76" s="164"/>
      <c r="GGZ76" s="164"/>
      <c r="GHA76" s="164"/>
      <c r="GHB76" s="164"/>
      <c r="GHC76" s="164"/>
      <c r="GHD76" s="164"/>
      <c r="GHE76" s="164"/>
      <c r="GHF76" s="164"/>
      <c r="GHG76" s="164"/>
      <c r="GHH76" s="164"/>
      <c r="GHI76" s="164"/>
      <c r="GHJ76" s="164"/>
      <c r="GHK76" s="164"/>
      <c r="GHL76" s="164"/>
      <c r="GHM76" s="164"/>
      <c r="GHN76" s="164"/>
      <c r="GHO76" s="164"/>
      <c r="GHP76" s="164"/>
      <c r="GHQ76" s="164"/>
      <c r="GHR76" s="164"/>
      <c r="GHS76" s="164"/>
      <c r="GHT76" s="164"/>
      <c r="GHU76" s="164"/>
      <c r="GHV76" s="164"/>
      <c r="GHW76" s="164"/>
      <c r="GHX76" s="164"/>
      <c r="GHY76" s="164"/>
      <c r="GHZ76" s="164"/>
      <c r="GIA76" s="164"/>
      <c r="GIB76" s="164"/>
      <c r="GIC76" s="164"/>
      <c r="GID76" s="164"/>
      <c r="GIE76" s="164"/>
      <c r="GIF76" s="164"/>
      <c r="GIG76" s="164"/>
      <c r="GIH76" s="164"/>
      <c r="GII76" s="164"/>
      <c r="GIJ76" s="164"/>
      <c r="GIK76" s="164"/>
      <c r="GIL76" s="164"/>
      <c r="GIM76" s="164"/>
      <c r="GIN76" s="164"/>
      <c r="GIO76" s="164"/>
      <c r="GIP76" s="164"/>
      <c r="GIQ76" s="164"/>
      <c r="GIR76" s="164"/>
      <c r="GIS76" s="164"/>
      <c r="GIT76" s="164"/>
      <c r="GIU76" s="164"/>
      <c r="GIV76" s="164"/>
      <c r="GIW76" s="164"/>
      <c r="GIX76" s="164"/>
      <c r="GIY76" s="164"/>
      <c r="GIZ76" s="164"/>
      <c r="GJA76" s="164"/>
      <c r="GJB76" s="164"/>
      <c r="GJC76" s="164"/>
      <c r="GJD76" s="164"/>
      <c r="GJE76" s="164"/>
      <c r="GJF76" s="164"/>
      <c r="GJG76" s="164"/>
      <c r="GJH76" s="164"/>
      <c r="GJI76" s="164"/>
      <c r="GJJ76" s="164"/>
      <c r="GJK76" s="164"/>
      <c r="GJL76" s="164"/>
      <c r="GJM76" s="164"/>
      <c r="GJN76" s="164"/>
      <c r="GJO76" s="164"/>
      <c r="GJP76" s="164"/>
      <c r="GJQ76" s="164"/>
      <c r="GJR76" s="164"/>
      <c r="GJS76" s="164"/>
      <c r="GJT76" s="164"/>
      <c r="GJU76" s="164"/>
      <c r="GJV76" s="164"/>
      <c r="GJW76" s="164"/>
      <c r="GJX76" s="164"/>
      <c r="GJY76" s="164"/>
      <c r="GJZ76" s="164"/>
      <c r="GKA76" s="164"/>
      <c r="GKB76" s="164"/>
      <c r="GKC76" s="164"/>
      <c r="GKD76" s="164"/>
      <c r="GKE76" s="164"/>
      <c r="GKF76" s="164"/>
      <c r="GKG76" s="164"/>
      <c r="GKH76" s="164"/>
      <c r="GKI76" s="164"/>
      <c r="GKJ76" s="164"/>
      <c r="GKK76" s="164"/>
      <c r="GKL76" s="164"/>
      <c r="GKM76" s="164"/>
      <c r="GKN76" s="164"/>
      <c r="GKO76" s="164"/>
      <c r="GKP76" s="164"/>
      <c r="GKQ76" s="164"/>
      <c r="GKR76" s="164"/>
      <c r="GKS76" s="164"/>
      <c r="GKT76" s="164"/>
      <c r="GKU76" s="164"/>
      <c r="GKV76" s="164"/>
      <c r="GKW76" s="164"/>
      <c r="GKX76" s="164"/>
      <c r="GKY76" s="164"/>
      <c r="GKZ76" s="164"/>
      <c r="GLA76" s="164"/>
      <c r="GLB76" s="164"/>
      <c r="GLC76" s="164"/>
      <c r="GLD76" s="164"/>
      <c r="GLE76" s="164"/>
      <c r="GLF76" s="164"/>
      <c r="GLG76" s="164"/>
      <c r="GLH76" s="164"/>
      <c r="GLI76" s="164"/>
      <c r="GLJ76" s="164"/>
      <c r="GLK76" s="164"/>
      <c r="GLL76" s="164"/>
      <c r="GLM76" s="164"/>
      <c r="GLN76" s="164"/>
      <c r="GLO76" s="164"/>
      <c r="GLP76" s="164"/>
      <c r="GLQ76" s="164"/>
      <c r="GLR76" s="164"/>
      <c r="GLS76" s="164"/>
      <c r="GLT76" s="164"/>
      <c r="GLU76" s="164"/>
      <c r="GLV76" s="164"/>
      <c r="GLW76" s="164"/>
      <c r="GLX76" s="164"/>
      <c r="GLY76" s="164"/>
      <c r="GLZ76" s="164"/>
      <c r="GMA76" s="164"/>
      <c r="GMB76" s="164"/>
      <c r="GMC76" s="164"/>
      <c r="GMD76" s="164"/>
      <c r="GME76" s="164"/>
      <c r="GMF76" s="164"/>
      <c r="GMG76" s="164"/>
      <c r="GMH76" s="164"/>
      <c r="GMI76" s="164"/>
      <c r="GMJ76" s="164"/>
      <c r="GMK76" s="164"/>
      <c r="GML76" s="164"/>
      <c r="GMM76" s="164"/>
      <c r="GMN76" s="164"/>
      <c r="GMO76" s="164"/>
      <c r="GMP76" s="164"/>
      <c r="GMQ76" s="164"/>
      <c r="GMR76" s="164"/>
      <c r="GMS76" s="164"/>
      <c r="GMT76" s="164"/>
      <c r="GMU76" s="164"/>
      <c r="GMV76" s="164"/>
      <c r="GMW76" s="164"/>
      <c r="GMX76" s="164"/>
      <c r="GMY76" s="164"/>
      <c r="GMZ76" s="164"/>
      <c r="GNA76" s="164"/>
      <c r="GNB76" s="164"/>
      <c r="GNC76" s="164"/>
      <c r="GND76" s="164"/>
      <c r="GNE76" s="164"/>
      <c r="GNF76" s="164"/>
      <c r="GNG76" s="164"/>
      <c r="GNH76" s="164"/>
      <c r="GNI76" s="164"/>
      <c r="GNJ76" s="164"/>
      <c r="GNK76" s="164"/>
      <c r="GNL76" s="164"/>
      <c r="GNM76" s="164"/>
      <c r="GNN76" s="164"/>
      <c r="GNO76" s="164"/>
      <c r="GNP76" s="164"/>
      <c r="GNQ76" s="164"/>
      <c r="GNR76" s="164"/>
      <c r="GNS76" s="164"/>
      <c r="GNT76" s="164"/>
      <c r="GNU76" s="164"/>
      <c r="GNV76" s="164"/>
      <c r="GNW76" s="164"/>
      <c r="GNX76" s="164"/>
      <c r="GNY76" s="164"/>
      <c r="GNZ76" s="164"/>
      <c r="GOA76" s="164"/>
      <c r="GOB76" s="164"/>
      <c r="GOC76" s="164"/>
      <c r="GOD76" s="164"/>
      <c r="GOE76" s="164"/>
      <c r="GOF76" s="164"/>
      <c r="GOG76" s="164"/>
      <c r="GOH76" s="164"/>
      <c r="GOI76" s="164"/>
      <c r="GOJ76" s="164"/>
      <c r="GOK76" s="164"/>
      <c r="GOL76" s="164"/>
      <c r="GOM76" s="164"/>
      <c r="GON76" s="164"/>
      <c r="GOO76" s="164"/>
      <c r="GOP76" s="164"/>
      <c r="GOQ76" s="164"/>
      <c r="GOR76" s="164"/>
      <c r="GOS76" s="164"/>
      <c r="GOT76" s="164"/>
      <c r="GOU76" s="164"/>
      <c r="GOV76" s="164"/>
      <c r="GOW76" s="164"/>
      <c r="GOX76" s="164"/>
      <c r="GOY76" s="164"/>
      <c r="GOZ76" s="164"/>
      <c r="GPA76" s="164"/>
      <c r="GPB76" s="164"/>
      <c r="GPC76" s="164"/>
      <c r="GPD76" s="164"/>
      <c r="GPE76" s="164"/>
      <c r="GPF76" s="164"/>
      <c r="GPG76" s="164"/>
      <c r="GPH76" s="164"/>
      <c r="GPI76" s="164"/>
      <c r="GPJ76" s="164"/>
      <c r="GPK76" s="164"/>
      <c r="GPL76" s="164"/>
      <c r="GPM76" s="164"/>
      <c r="GPN76" s="164"/>
      <c r="GPO76" s="164"/>
      <c r="GPP76" s="164"/>
      <c r="GPQ76" s="164"/>
      <c r="GPR76" s="164"/>
      <c r="GPS76" s="164"/>
      <c r="GPT76" s="164"/>
      <c r="GPU76" s="164"/>
      <c r="GPV76" s="164"/>
      <c r="GPW76" s="164"/>
      <c r="GPX76" s="164"/>
      <c r="GPY76" s="164"/>
      <c r="GPZ76" s="164"/>
      <c r="GQA76" s="164"/>
      <c r="GQB76" s="164"/>
      <c r="GQC76" s="164"/>
      <c r="GQD76" s="164"/>
      <c r="GQE76" s="164"/>
      <c r="GQF76" s="164"/>
      <c r="GQG76" s="164"/>
      <c r="GQH76" s="164"/>
      <c r="GQI76" s="164"/>
      <c r="GQJ76" s="164"/>
      <c r="GQK76" s="164"/>
      <c r="GQL76" s="164"/>
      <c r="GQM76" s="164"/>
      <c r="GQN76" s="164"/>
      <c r="GQO76" s="164"/>
      <c r="GQP76" s="164"/>
      <c r="GQQ76" s="164"/>
      <c r="GQR76" s="164"/>
      <c r="GQS76" s="164"/>
      <c r="GQT76" s="164"/>
      <c r="GQU76" s="164"/>
      <c r="GQV76" s="164"/>
      <c r="GQW76" s="164"/>
      <c r="GQX76" s="164"/>
      <c r="GQY76" s="164"/>
      <c r="GQZ76" s="164"/>
      <c r="GRA76" s="164"/>
      <c r="GRB76" s="164"/>
      <c r="GRC76" s="164"/>
      <c r="GRD76" s="164"/>
      <c r="GRE76" s="164"/>
      <c r="GRF76" s="164"/>
      <c r="GRG76" s="164"/>
      <c r="GRH76" s="164"/>
      <c r="GRI76" s="164"/>
      <c r="GRJ76" s="164"/>
      <c r="GRK76" s="164"/>
      <c r="GRL76" s="164"/>
      <c r="GRM76" s="164"/>
      <c r="GRN76" s="164"/>
      <c r="GRO76" s="164"/>
      <c r="GRP76" s="164"/>
      <c r="GRQ76" s="164"/>
      <c r="GRR76" s="164"/>
      <c r="GRS76" s="164"/>
      <c r="GRT76" s="164"/>
      <c r="GRU76" s="164"/>
      <c r="GRV76" s="164"/>
      <c r="GRW76" s="164"/>
      <c r="GRX76" s="164"/>
      <c r="GRY76" s="164"/>
      <c r="GRZ76" s="164"/>
      <c r="GSA76" s="164"/>
      <c r="GSB76" s="164"/>
      <c r="GSC76" s="164"/>
      <c r="GSD76" s="164"/>
      <c r="GSE76" s="164"/>
      <c r="GSF76" s="164"/>
      <c r="GSG76" s="164"/>
      <c r="GSH76" s="164"/>
      <c r="GSI76" s="164"/>
      <c r="GSJ76" s="164"/>
      <c r="GSK76" s="164"/>
      <c r="GSL76" s="164"/>
      <c r="GSM76" s="164"/>
      <c r="GSN76" s="164"/>
      <c r="GSO76" s="164"/>
      <c r="GSP76" s="164"/>
      <c r="GSQ76" s="164"/>
      <c r="GSR76" s="164"/>
      <c r="GSS76" s="164"/>
      <c r="GST76" s="164"/>
      <c r="GSU76" s="164"/>
      <c r="GSV76" s="164"/>
      <c r="GSW76" s="164"/>
      <c r="GSX76" s="164"/>
      <c r="GSY76" s="164"/>
      <c r="GSZ76" s="164"/>
      <c r="GTA76" s="164"/>
      <c r="GTB76" s="164"/>
      <c r="GTC76" s="164"/>
      <c r="GTD76" s="164"/>
      <c r="GTE76" s="164"/>
      <c r="GTF76" s="164"/>
      <c r="GTG76" s="164"/>
      <c r="GTH76" s="164"/>
      <c r="GTI76" s="164"/>
      <c r="GTJ76" s="164"/>
      <c r="GTK76" s="164"/>
      <c r="GTL76" s="164"/>
      <c r="GTM76" s="164"/>
      <c r="GTN76" s="164"/>
      <c r="GTO76" s="164"/>
      <c r="GTP76" s="164"/>
      <c r="GTQ76" s="164"/>
      <c r="GTR76" s="164"/>
      <c r="GTS76" s="164"/>
      <c r="GTT76" s="164"/>
      <c r="GTU76" s="164"/>
      <c r="GTV76" s="164"/>
      <c r="GTW76" s="164"/>
      <c r="GTX76" s="164"/>
      <c r="GTY76" s="164"/>
      <c r="GTZ76" s="164"/>
      <c r="GUA76" s="164"/>
      <c r="GUB76" s="164"/>
      <c r="GUC76" s="164"/>
      <c r="GUD76" s="164"/>
      <c r="GUE76" s="164"/>
      <c r="GUF76" s="164"/>
      <c r="GUG76" s="164"/>
      <c r="GUH76" s="164"/>
      <c r="GUI76" s="164"/>
      <c r="GUJ76" s="164"/>
      <c r="GUK76" s="164"/>
      <c r="GUL76" s="164"/>
      <c r="GUM76" s="164"/>
      <c r="GUN76" s="164"/>
      <c r="GUO76" s="164"/>
      <c r="GUP76" s="164"/>
      <c r="GUQ76" s="164"/>
      <c r="GUR76" s="164"/>
      <c r="GUS76" s="164"/>
      <c r="GUT76" s="164"/>
      <c r="GUU76" s="164"/>
      <c r="GUV76" s="164"/>
      <c r="GUW76" s="164"/>
      <c r="GUX76" s="164"/>
      <c r="GUY76" s="164"/>
      <c r="GUZ76" s="164"/>
      <c r="GVA76" s="164"/>
      <c r="GVB76" s="164"/>
      <c r="GVC76" s="164"/>
      <c r="GVD76" s="164"/>
      <c r="GVE76" s="164"/>
      <c r="GVF76" s="164"/>
      <c r="GVG76" s="164"/>
      <c r="GVH76" s="164"/>
      <c r="GVI76" s="164"/>
      <c r="GVJ76" s="164"/>
      <c r="GVK76" s="164"/>
      <c r="GVL76" s="164"/>
      <c r="GVM76" s="164"/>
      <c r="GVN76" s="164"/>
      <c r="GVO76" s="164"/>
      <c r="GVP76" s="164"/>
      <c r="GVQ76" s="164"/>
      <c r="GVR76" s="164"/>
      <c r="GVS76" s="164"/>
      <c r="GVT76" s="164"/>
      <c r="GVU76" s="164"/>
      <c r="GVV76" s="164"/>
      <c r="GVW76" s="164"/>
      <c r="GVX76" s="164"/>
      <c r="GVY76" s="164"/>
      <c r="GVZ76" s="164"/>
      <c r="GWA76" s="164"/>
      <c r="GWB76" s="164"/>
      <c r="GWC76" s="164"/>
      <c r="GWD76" s="164"/>
      <c r="GWE76" s="164"/>
      <c r="GWF76" s="164"/>
      <c r="GWG76" s="164"/>
      <c r="GWH76" s="164"/>
      <c r="GWI76" s="164"/>
      <c r="GWJ76" s="164"/>
      <c r="GWK76" s="164"/>
      <c r="GWL76" s="164"/>
      <c r="GWM76" s="164"/>
      <c r="GWN76" s="164"/>
      <c r="GWO76" s="164"/>
      <c r="GWP76" s="164"/>
      <c r="GWQ76" s="164"/>
      <c r="GWR76" s="164"/>
      <c r="GWS76" s="164"/>
      <c r="GWT76" s="164"/>
      <c r="GWU76" s="164"/>
      <c r="GWV76" s="164"/>
      <c r="GWW76" s="164"/>
      <c r="GWX76" s="164"/>
      <c r="GWY76" s="164"/>
      <c r="GWZ76" s="164"/>
      <c r="GXA76" s="164"/>
      <c r="GXB76" s="164"/>
      <c r="GXC76" s="164"/>
      <c r="GXD76" s="164"/>
      <c r="GXE76" s="164"/>
      <c r="GXF76" s="164"/>
      <c r="GXG76" s="164"/>
      <c r="GXH76" s="164"/>
      <c r="GXI76" s="164"/>
      <c r="GXJ76" s="164"/>
      <c r="GXK76" s="164"/>
      <c r="GXL76" s="164"/>
      <c r="GXM76" s="164"/>
      <c r="GXN76" s="164"/>
      <c r="GXO76" s="164"/>
      <c r="GXP76" s="164"/>
      <c r="GXQ76" s="164"/>
      <c r="GXR76" s="164"/>
      <c r="GXS76" s="164"/>
      <c r="GXT76" s="164"/>
      <c r="GXU76" s="164"/>
      <c r="GXV76" s="164"/>
      <c r="GXW76" s="164"/>
      <c r="GXX76" s="164"/>
      <c r="GXY76" s="164"/>
      <c r="GXZ76" s="164"/>
      <c r="GYA76" s="164"/>
      <c r="GYB76" s="164"/>
      <c r="GYC76" s="164"/>
      <c r="GYD76" s="164"/>
      <c r="GYE76" s="164"/>
      <c r="GYF76" s="164"/>
      <c r="GYG76" s="164"/>
      <c r="GYH76" s="164"/>
      <c r="GYI76" s="164"/>
      <c r="GYJ76" s="164"/>
      <c r="GYK76" s="164"/>
      <c r="GYL76" s="164"/>
      <c r="GYM76" s="164"/>
      <c r="GYN76" s="164"/>
      <c r="GYO76" s="164"/>
      <c r="GYP76" s="164"/>
      <c r="GYQ76" s="164"/>
      <c r="GYR76" s="164"/>
      <c r="GYS76" s="164"/>
      <c r="GYT76" s="164"/>
      <c r="GYU76" s="164"/>
      <c r="GYV76" s="164"/>
      <c r="GYW76" s="164"/>
      <c r="GYX76" s="164"/>
      <c r="GYY76" s="164"/>
      <c r="GYZ76" s="164"/>
      <c r="GZA76" s="164"/>
      <c r="GZB76" s="164"/>
      <c r="GZC76" s="164"/>
      <c r="GZD76" s="164"/>
      <c r="GZE76" s="164"/>
      <c r="GZF76" s="164"/>
      <c r="GZG76" s="164"/>
      <c r="GZH76" s="164"/>
      <c r="GZI76" s="164"/>
      <c r="GZJ76" s="164"/>
      <c r="GZK76" s="164"/>
      <c r="GZL76" s="164"/>
      <c r="GZM76" s="164"/>
      <c r="GZN76" s="164"/>
      <c r="GZO76" s="164"/>
      <c r="GZP76" s="164"/>
      <c r="GZQ76" s="164"/>
      <c r="GZR76" s="164"/>
      <c r="GZS76" s="164"/>
      <c r="GZT76" s="164"/>
      <c r="GZU76" s="164"/>
      <c r="GZV76" s="164"/>
      <c r="GZW76" s="164"/>
      <c r="GZX76" s="164"/>
      <c r="GZY76" s="164"/>
      <c r="GZZ76" s="164"/>
      <c r="HAA76" s="164"/>
      <c r="HAB76" s="164"/>
      <c r="HAC76" s="164"/>
      <c r="HAD76" s="164"/>
      <c r="HAE76" s="164"/>
      <c r="HAF76" s="164"/>
      <c r="HAG76" s="164"/>
      <c r="HAH76" s="164"/>
      <c r="HAI76" s="164"/>
      <c r="HAJ76" s="164"/>
      <c r="HAK76" s="164"/>
      <c r="HAL76" s="164"/>
      <c r="HAM76" s="164"/>
      <c r="HAN76" s="164"/>
      <c r="HAO76" s="164"/>
      <c r="HAP76" s="164"/>
      <c r="HAQ76" s="164"/>
      <c r="HAR76" s="164"/>
      <c r="HAS76" s="164"/>
      <c r="HAT76" s="164"/>
      <c r="HAU76" s="164"/>
      <c r="HAV76" s="164"/>
      <c r="HAW76" s="164"/>
      <c r="HAX76" s="164"/>
      <c r="HAY76" s="164"/>
      <c r="HAZ76" s="164"/>
      <c r="HBA76" s="164"/>
      <c r="HBB76" s="164"/>
      <c r="HBC76" s="164"/>
      <c r="HBD76" s="164"/>
      <c r="HBE76" s="164"/>
      <c r="HBF76" s="164"/>
      <c r="HBG76" s="164"/>
      <c r="HBH76" s="164"/>
      <c r="HBI76" s="164"/>
      <c r="HBJ76" s="164"/>
      <c r="HBK76" s="164"/>
      <c r="HBL76" s="164"/>
      <c r="HBM76" s="164"/>
      <c r="HBN76" s="164"/>
      <c r="HBO76" s="164"/>
      <c r="HBP76" s="164"/>
      <c r="HBQ76" s="164"/>
      <c r="HBR76" s="164"/>
      <c r="HBS76" s="164"/>
      <c r="HBT76" s="164"/>
      <c r="HBU76" s="164"/>
      <c r="HBV76" s="164"/>
      <c r="HBW76" s="164"/>
      <c r="HBX76" s="164"/>
      <c r="HBY76" s="164"/>
      <c r="HBZ76" s="164"/>
      <c r="HCA76" s="164"/>
      <c r="HCB76" s="164"/>
      <c r="HCC76" s="164"/>
      <c r="HCD76" s="164"/>
      <c r="HCE76" s="164"/>
      <c r="HCF76" s="164"/>
      <c r="HCG76" s="164"/>
      <c r="HCH76" s="164"/>
      <c r="HCI76" s="164"/>
      <c r="HCJ76" s="164"/>
      <c r="HCK76" s="164"/>
      <c r="HCL76" s="164"/>
      <c r="HCM76" s="164"/>
      <c r="HCN76" s="164"/>
      <c r="HCO76" s="164"/>
      <c r="HCP76" s="164"/>
      <c r="HCQ76" s="164"/>
      <c r="HCR76" s="164"/>
      <c r="HCS76" s="164"/>
      <c r="HCT76" s="164"/>
      <c r="HCU76" s="164"/>
      <c r="HCV76" s="164"/>
      <c r="HCW76" s="164"/>
      <c r="HCX76" s="164"/>
      <c r="HCY76" s="164"/>
      <c r="HCZ76" s="164"/>
      <c r="HDA76" s="164"/>
      <c r="HDB76" s="164"/>
      <c r="HDC76" s="164"/>
      <c r="HDD76" s="164"/>
      <c r="HDE76" s="164"/>
      <c r="HDF76" s="164"/>
      <c r="HDG76" s="164"/>
      <c r="HDH76" s="164"/>
      <c r="HDI76" s="164"/>
      <c r="HDJ76" s="164"/>
      <c r="HDK76" s="164"/>
      <c r="HDL76" s="164"/>
      <c r="HDM76" s="164"/>
      <c r="HDN76" s="164"/>
      <c r="HDO76" s="164"/>
      <c r="HDP76" s="164"/>
      <c r="HDQ76" s="164"/>
      <c r="HDR76" s="164"/>
      <c r="HDS76" s="164"/>
      <c r="HDT76" s="164"/>
      <c r="HDU76" s="164"/>
      <c r="HDV76" s="164"/>
      <c r="HDW76" s="164"/>
      <c r="HDX76" s="164"/>
      <c r="HDY76" s="164"/>
      <c r="HDZ76" s="164"/>
      <c r="HEA76" s="164"/>
      <c r="HEB76" s="164"/>
      <c r="HEC76" s="164"/>
      <c r="HED76" s="164"/>
      <c r="HEE76" s="164"/>
      <c r="HEF76" s="164"/>
      <c r="HEG76" s="164"/>
      <c r="HEH76" s="164"/>
      <c r="HEI76" s="164"/>
      <c r="HEJ76" s="164"/>
      <c r="HEK76" s="164"/>
      <c r="HEL76" s="164"/>
      <c r="HEM76" s="164"/>
      <c r="HEN76" s="164"/>
      <c r="HEO76" s="164"/>
      <c r="HEP76" s="164"/>
      <c r="HEQ76" s="164"/>
      <c r="HER76" s="164"/>
      <c r="HES76" s="164"/>
      <c r="HET76" s="164"/>
      <c r="HEU76" s="164"/>
      <c r="HEV76" s="164"/>
      <c r="HEW76" s="164"/>
      <c r="HEX76" s="164"/>
      <c r="HEY76" s="164"/>
      <c r="HEZ76" s="164"/>
      <c r="HFA76" s="164"/>
      <c r="HFB76" s="164"/>
      <c r="HFC76" s="164"/>
      <c r="HFD76" s="164"/>
      <c r="HFE76" s="164"/>
      <c r="HFF76" s="164"/>
      <c r="HFG76" s="164"/>
      <c r="HFH76" s="164"/>
      <c r="HFI76" s="164"/>
      <c r="HFJ76" s="164"/>
      <c r="HFK76" s="164"/>
      <c r="HFL76" s="164"/>
      <c r="HFM76" s="164"/>
      <c r="HFN76" s="164"/>
      <c r="HFO76" s="164"/>
      <c r="HFP76" s="164"/>
      <c r="HFQ76" s="164"/>
      <c r="HFR76" s="164"/>
      <c r="HFS76" s="164"/>
      <c r="HFT76" s="164"/>
      <c r="HFU76" s="164"/>
      <c r="HFV76" s="164"/>
      <c r="HFW76" s="164"/>
      <c r="HFX76" s="164"/>
      <c r="HFY76" s="164"/>
      <c r="HFZ76" s="164"/>
      <c r="HGA76" s="164"/>
      <c r="HGB76" s="164"/>
      <c r="HGC76" s="164"/>
      <c r="HGD76" s="164"/>
      <c r="HGE76" s="164"/>
      <c r="HGF76" s="164"/>
      <c r="HGG76" s="164"/>
      <c r="HGH76" s="164"/>
      <c r="HGI76" s="164"/>
      <c r="HGJ76" s="164"/>
      <c r="HGK76" s="164"/>
      <c r="HGL76" s="164"/>
      <c r="HGM76" s="164"/>
      <c r="HGN76" s="164"/>
      <c r="HGO76" s="164"/>
      <c r="HGP76" s="164"/>
      <c r="HGQ76" s="164"/>
      <c r="HGR76" s="164"/>
      <c r="HGS76" s="164"/>
      <c r="HGT76" s="164"/>
      <c r="HGU76" s="164"/>
      <c r="HGV76" s="164"/>
      <c r="HGW76" s="164"/>
      <c r="HGX76" s="164"/>
      <c r="HGY76" s="164"/>
      <c r="HGZ76" s="164"/>
      <c r="HHA76" s="164"/>
      <c r="HHB76" s="164"/>
      <c r="HHC76" s="164"/>
      <c r="HHD76" s="164"/>
      <c r="HHE76" s="164"/>
      <c r="HHF76" s="164"/>
      <c r="HHG76" s="164"/>
      <c r="HHH76" s="164"/>
      <c r="HHI76" s="164"/>
      <c r="HHJ76" s="164"/>
      <c r="HHK76" s="164"/>
      <c r="HHL76" s="164"/>
      <c r="HHM76" s="164"/>
      <c r="HHN76" s="164"/>
      <c r="HHO76" s="164"/>
      <c r="HHP76" s="164"/>
      <c r="HHQ76" s="164"/>
      <c r="HHR76" s="164"/>
      <c r="HHS76" s="164"/>
      <c r="HHT76" s="164"/>
      <c r="HHU76" s="164"/>
      <c r="HHV76" s="164"/>
      <c r="HHW76" s="164"/>
      <c r="HHX76" s="164"/>
      <c r="HHY76" s="164"/>
      <c r="HHZ76" s="164"/>
      <c r="HIA76" s="164"/>
      <c r="HIB76" s="164"/>
      <c r="HIC76" s="164"/>
      <c r="HID76" s="164"/>
      <c r="HIE76" s="164"/>
      <c r="HIF76" s="164"/>
      <c r="HIG76" s="164"/>
      <c r="HIH76" s="164"/>
      <c r="HII76" s="164"/>
      <c r="HIJ76" s="164"/>
      <c r="HIK76" s="164"/>
      <c r="HIL76" s="164"/>
      <c r="HIM76" s="164"/>
      <c r="HIN76" s="164"/>
      <c r="HIO76" s="164"/>
      <c r="HIP76" s="164"/>
      <c r="HIQ76" s="164"/>
      <c r="HIR76" s="164"/>
      <c r="HIS76" s="164"/>
      <c r="HIT76" s="164"/>
      <c r="HIU76" s="164"/>
      <c r="HIV76" s="164"/>
      <c r="HIW76" s="164"/>
      <c r="HIX76" s="164"/>
      <c r="HIY76" s="164"/>
      <c r="HIZ76" s="164"/>
      <c r="HJA76" s="164"/>
      <c r="HJB76" s="164"/>
      <c r="HJC76" s="164"/>
      <c r="HJD76" s="164"/>
      <c r="HJE76" s="164"/>
      <c r="HJF76" s="164"/>
      <c r="HJG76" s="164"/>
      <c r="HJH76" s="164"/>
      <c r="HJI76" s="164"/>
      <c r="HJJ76" s="164"/>
      <c r="HJK76" s="164"/>
      <c r="HJL76" s="164"/>
      <c r="HJM76" s="164"/>
      <c r="HJN76" s="164"/>
      <c r="HJO76" s="164"/>
      <c r="HJP76" s="164"/>
      <c r="HJQ76" s="164"/>
      <c r="HJR76" s="164"/>
      <c r="HJS76" s="164"/>
      <c r="HJT76" s="164"/>
      <c r="HJU76" s="164"/>
      <c r="HJV76" s="164"/>
      <c r="HJW76" s="164"/>
      <c r="HJX76" s="164"/>
      <c r="HJY76" s="164"/>
      <c r="HJZ76" s="164"/>
      <c r="HKA76" s="164"/>
      <c r="HKB76" s="164"/>
      <c r="HKC76" s="164"/>
      <c r="HKD76" s="164"/>
      <c r="HKE76" s="164"/>
      <c r="HKF76" s="164"/>
      <c r="HKG76" s="164"/>
      <c r="HKH76" s="164"/>
      <c r="HKI76" s="164"/>
      <c r="HKJ76" s="164"/>
      <c r="HKK76" s="164"/>
      <c r="HKL76" s="164"/>
      <c r="HKM76" s="164"/>
      <c r="HKN76" s="164"/>
      <c r="HKO76" s="164"/>
      <c r="HKP76" s="164"/>
      <c r="HKQ76" s="164"/>
      <c r="HKR76" s="164"/>
      <c r="HKS76" s="164"/>
      <c r="HKT76" s="164"/>
      <c r="HKU76" s="164"/>
      <c r="HKV76" s="164"/>
      <c r="HKW76" s="164"/>
      <c r="HKX76" s="164"/>
      <c r="HKY76" s="164"/>
      <c r="HKZ76" s="164"/>
      <c r="HLA76" s="164"/>
      <c r="HLB76" s="164"/>
      <c r="HLC76" s="164"/>
      <c r="HLD76" s="164"/>
      <c r="HLE76" s="164"/>
      <c r="HLF76" s="164"/>
      <c r="HLG76" s="164"/>
      <c r="HLH76" s="164"/>
      <c r="HLI76" s="164"/>
      <c r="HLJ76" s="164"/>
      <c r="HLK76" s="164"/>
      <c r="HLL76" s="164"/>
      <c r="HLM76" s="164"/>
      <c r="HLN76" s="164"/>
      <c r="HLO76" s="164"/>
      <c r="HLP76" s="164"/>
      <c r="HLQ76" s="164"/>
      <c r="HLR76" s="164"/>
      <c r="HLS76" s="164"/>
      <c r="HLT76" s="164"/>
      <c r="HLU76" s="164"/>
      <c r="HLV76" s="164"/>
      <c r="HLW76" s="164"/>
      <c r="HLX76" s="164"/>
      <c r="HLY76" s="164"/>
      <c r="HLZ76" s="164"/>
      <c r="HMA76" s="164"/>
      <c r="HMB76" s="164"/>
      <c r="HMC76" s="164"/>
      <c r="HMD76" s="164"/>
      <c r="HME76" s="164"/>
      <c r="HMF76" s="164"/>
      <c r="HMG76" s="164"/>
      <c r="HMH76" s="164"/>
      <c r="HMI76" s="164"/>
      <c r="HMJ76" s="164"/>
      <c r="HMK76" s="164"/>
      <c r="HML76" s="164"/>
      <c r="HMM76" s="164"/>
      <c r="HMN76" s="164"/>
      <c r="HMO76" s="164"/>
      <c r="HMP76" s="164"/>
      <c r="HMQ76" s="164"/>
      <c r="HMR76" s="164"/>
      <c r="HMS76" s="164"/>
      <c r="HMT76" s="164"/>
      <c r="HMU76" s="164"/>
      <c r="HMV76" s="164"/>
      <c r="HMW76" s="164"/>
      <c r="HMX76" s="164"/>
      <c r="HMY76" s="164"/>
      <c r="HMZ76" s="164"/>
      <c r="HNA76" s="164"/>
      <c r="HNB76" s="164"/>
      <c r="HNC76" s="164"/>
      <c r="HND76" s="164"/>
      <c r="HNE76" s="164"/>
      <c r="HNF76" s="164"/>
      <c r="HNG76" s="164"/>
      <c r="HNH76" s="164"/>
      <c r="HNI76" s="164"/>
      <c r="HNJ76" s="164"/>
      <c r="HNK76" s="164"/>
      <c r="HNL76" s="164"/>
      <c r="HNM76" s="164"/>
      <c r="HNN76" s="164"/>
      <c r="HNO76" s="164"/>
      <c r="HNP76" s="164"/>
      <c r="HNQ76" s="164"/>
      <c r="HNR76" s="164"/>
      <c r="HNS76" s="164"/>
      <c r="HNT76" s="164"/>
      <c r="HNU76" s="164"/>
      <c r="HNV76" s="164"/>
      <c r="HNW76" s="164"/>
      <c r="HNX76" s="164"/>
      <c r="HNY76" s="164"/>
      <c r="HNZ76" s="164"/>
      <c r="HOA76" s="164"/>
      <c r="HOB76" s="164"/>
      <c r="HOC76" s="164"/>
      <c r="HOD76" s="164"/>
      <c r="HOE76" s="164"/>
      <c r="HOF76" s="164"/>
      <c r="HOG76" s="164"/>
      <c r="HOH76" s="164"/>
      <c r="HOI76" s="164"/>
      <c r="HOJ76" s="164"/>
      <c r="HOK76" s="164"/>
      <c r="HOL76" s="164"/>
      <c r="HOM76" s="164"/>
      <c r="HON76" s="164"/>
      <c r="HOO76" s="164"/>
      <c r="HOP76" s="164"/>
      <c r="HOQ76" s="164"/>
      <c r="HOR76" s="164"/>
      <c r="HOS76" s="164"/>
      <c r="HOT76" s="164"/>
      <c r="HOU76" s="164"/>
      <c r="HOV76" s="164"/>
      <c r="HOW76" s="164"/>
      <c r="HOX76" s="164"/>
      <c r="HOY76" s="164"/>
      <c r="HOZ76" s="164"/>
      <c r="HPA76" s="164"/>
      <c r="HPB76" s="164"/>
      <c r="HPC76" s="164"/>
      <c r="HPD76" s="164"/>
      <c r="HPE76" s="164"/>
      <c r="HPF76" s="164"/>
      <c r="HPG76" s="164"/>
      <c r="HPH76" s="164"/>
      <c r="HPI76" s="164"/>
      <c r="HPJ76" s="164"/>
      <c r="HPK76" s="164"/>
      <c r="HPL76" s="164"/>
      <c r="HPM76" s="164"/>
      <c r="HPN76" s="164"/>
      <c r="HPO76" s="164"/>
      <c r="HPP76" s="164"/>
      <c r="HPQ76" s="164"/>
      <c r="HPR76" s="164"/>
      <c r="HPS76" s="164"/>
      <c r="HPT76" s="164"/>
      <c r="HPU76" s="164"/>
      <c r="HPV76" s="164"/>
      <c r="HPW76" s="164"/>
      <c r="HPX76" s="164"/>
      <c r="HPY76" s="164"/>
      <c r="HPZ76" s="164"/>
      <c r="HQA76" s="164"/>
      <c r="HQB76" s="164"/>
      <c r="HQC76" s="164"/>
      <c r="HQD76" s="164"/>
      <c r="HQE76" s="164"/>
      <c r="HQF76" s="164"/>
      <c r="HQG76" s="164"/>
      <c r="HQH76" s="164"/>
      <c r="HQI76" s="164"/>
      <c r="HQJ76" s="164"/>
      <c r="HQK76" s="164"/>
      <c r="HQL76" s="164"/>
      <c r="HQM76" s="164"/>
      <c r="HQN76" s="164"/>
      <c r="HQO76" s="164"/>
      <c r="HQP76" s="164"/>
      <c r="HQQ76" s="164"/>
      <c r="HQR76" s="164"/>
      <c r="HQS76" s="164"/>
      <c r="HQT76" s="164"/>
      <c r="HQU76" s="164"/>
      <c r="HQV76" s="164"/>
      <c r="HQW76" s="164"/>
      <c r="HQX76" s="164"/>
      <c r="HQY76" s="164"/>
      <c r="HQZ76" s="164"/>
      <c r="HRA76" s="164"/>
      <c r="HRB76" s="164"/>
      <c r="HRC76" s="164"/>
      <c r="HRD76" s="164"/>
      <c r="HRE76" s="164"/>
      <c r="HRF76" s="164"/>
      <c r="HRG76" s="164"/>
      <c r="HRH76" s="164"/>
      <c r="HRI76" s="164"/>
      <c r="HRJ76" s="164"/>
      <c r="HRK76" s="164"/>
      <c r="HRL76" s="164"/>
      <c r="HRM76" s="164"/>
      <c r="HRN76" s="164"/>
      <c r="HRO76" s="164"/>
      <c r="HRP76" s="164"/>
      <c r="HRQ76" s="164"/>
      <c r="HRR76" s="164"/>
      <c r="HRS76" s="164"/>
      <c r="HRT76" s="164"/>
      <c r="HRU76" s="164"/>
      <c r="HRV76" s="164"/>
      <c r="HRW76" s="164"/>
      <c r="HRX76" s="164"/>
      <c r="HRY76" s="164"/>
      <c r="HRZ76" s="164"/>
      <c r="HSA76" s="164"/>
      <c r="HSB76" s="164"/>
      <c r="HSC76" s="164"/>
      <c r="HSD76" s="164"/>
      <c r="HSE76" s="164"/>
      <c r="HSF76" s="164"/>
      <c r="HSG76" s="164"/>
      <c r="HSH76" s="164"/>
      <c r="HSI76" s="164"/>
      <c r="HSJ76" s="164"/>
      <c r="HSK76" s="164"/>
      <c r="HSL76" s="164"/>
      <c r="HSM76" s="164"/>
      <c r="HSN76" s="164"/>
      <c r="HSO76" s="164"/>
      <c r="HSP76" s="164"/>
      <c r="HSQ76" s="164"/>
      <c r="HSR76" s="164"/>
      <c r="HSS76" s="164"/>
      <c r="HST76" s="164"/>
      <c r="HSU76" s="164"/>
      <c r="HSV76" s="164"/>
      <c r="HSW76" s="164"/>
      <c r="HSX76" s="164"/>
      <c r="HSY76" s="164"/>
      <c r="HSZ76" s="164"/>
      <c r="HTA76" s="164"/>
      <c r="HTB76" s="164"/>
      <c r="HTC76" s="164"/>
      <c r="HTD76" s="164"/>
      <c r="HTE76" s="164"/>
      <c r="HTF76" s="164"/>
      <c r="HTG76" s="164"/>
      <c r="HTH76" s="164"/>
      <c r="HTI76" s="164"/>
      <c r="HTJ76" s="164"/>
      <c r="HTK76" s="164"/>
      <c r="HTL76" s="164"/>
      <c r="HTM76" s="164"/>
      <c r="HTN76" s="164"/>
      <c r="HTO76" s="164"/>
      <c r="HTP76" s="164"/>
      <c r="HTQ76" s="164"/>
      <c r="HTR76" s="164"/>
      <c r="HTS76" s="164"/>
      <c r="HTT76" s="164"/>
      <c r="HTU76" s="164"/>
      <c r="HTV76" s="164"/>
      <c r="HTW76" s="164"/>
      <c r="HTX76" s="164"/>
      <c r="HTY76" s="164"/>
      <c r="HTZ76" s="164"/>
      <c r="HUA76" s="164"/>
      <c r="HUB76" s="164"/>
      <c r="HUC76" s="164"/>
      <c r="HUD76" s="164"/>
      <c r="HUE76" s="164"/>
      <c r="HUF76" s="164"/>
      <c r="HUG76" s="164"/>
      <c r="HUH76" s="164"/>
      <c r="HUI76" s="164"/>
      <c r="HUJ76" s="164"/>
      <c r="HUK76" s="164"/>
      <c r="HUL76" s="164"/>
      <c r="HUM76" s="164"/>
      <c r="HUN76" s="164"/>
      <c r="HUO76" s="164"/>
      <c r="HUP76" s="164"/>
      <c r="HUQ76" s="164"/>
      <c r="HUR76" s="164"/>
      <c r="HUS76" s="164"/>
      <c r="HUT76" s="164"/>
      <c r="HUU76" s="164"/>
      <c r="HUV76" s="164"/>
      <c r="HUW76" s="164"/>
      <c r="HUX76" s="164"/>
      <c r="HUY76" s="164"/>
      <c r="HUZ76" s="164"/>
      <c r="HVA76" s="164"/>
      <c r="HVB76" s="164"/>
      <c r="HVC76" s="164"/>
      <c r="HVD76" s="164"/>
      <c r="HVE76" s="164"/>
      <c r="HVF76" s="164"/>
      <c r="HVG76" s="164"/>
      <c r="HVH76" s="164"/>
      <c r="HVI76" s="164"/>
      <c r="HVJ76" s="164"/>
      <c r="HVK76" s="164"/>
      <c r="HVL76" s="164"/>
      <c r="HVM76" s="164"/>
      <c r="HVN76" s="164"/>
      <c r="HVO76" s="164"/>
      <c r="HVP76" s="164"/>
      <c r="HVQ76" s="164"/>
      <c r="HVR76" s="164"/>
      <c r="HVS76" s="164"/>
      <c r="HVT76" s="164"/>
      <c r="HVU76" s="164"/>
      <c r="HVV76" s="164"/>
      <c r="HVW76" s="164"/>
      <c r="HVX76" s="164"/>
      <c r="HVY76" s="164"/>
      <c r="HVZ76" s="164"/>
      <c r="HWA76" s="164"/>
      <c r="HWB76" s="164"/>
      <c r="HWC76" s="164"/>
      <c r="HWD76" s="164"/>
      <c r="HWE76" s="164"/>
      <c r="HWF76" s="164"/>
      <c r="HWG76" s="164"/>
      <c r="HWH76" s="164"/>
      <c r="HWI76" s="164"/>
      <c r="HWJ76" s="164"/>
      <c r="HWK76" s="164"/>
      <c r="HWL76" s="164"/>
      <c r="HWM76" s="164"/>
      <c r="HWN76" s="164"/>
      <c r="HWO76" s="164"/>
      <c r="HWP76" s="164"/>
      <c r="HWQ76" s="164"/>
      <c r="HWR76" s="164"/>
      <c r="HWS76" s="164"/>
      <c r="HWT76" s="164"/>
      <c r="HWU76" s="164"/>
      <c r="HWV76" s="164"/>
      <c r="HWW76" s="164"/>
      <c r="HWX76" s="164"/>
      <c r="HWY76" s="164"/>
      <c r="HWZ76" s="164"/>
      <c r="HXA76" s="164"/>
      <c r="HXB76" s="164"/>
      <c r="HXC76" s="164"/>
      <c r="HXD76" s="164"/>
      <c r="HXE76" s="164"/>
      <c r="HXF76" s="164"/>
      <c r="HXG76" s="164"/>
      <c r="HXH76" s="164"/>
      <c r="HXI76" s="164"/>
      <c r="HXJ76" s="164"/>
      <c r="HXK76" s="164"/>
      <c r="HXL76" s="164"/>
      <c r="HXM76" s="164"/>
      <c r="HXN76" s="164"/>
      <c r="HXO76" s="164"/>
      <c r="HXP76" s="164"/>
      <c r="HXQ76" s="164"/>
      <c r="HXR76" s="164"/>
      <c r="HXS76" s="164"/>
      <c r="HXT76" s="164"/>
      <c r="HXU76" s="164"/>
      <c r="HXV76" s="164"/>
      <c r="HXW76" s="164"/>
      <c r="HXX76" s="164"/>
      <c r="HXY76" s="164"/>
      <c r="HXZ76" s="164"/>
      <c r="HYA76" s="164"/>
      <c r="HYB76" s="164"/>
      <c r="HYC76" s="164"/>
      <c r="HYD76" s="164"/>
      <c r="HYE76" s="164"/>
      <c r="HYF76" s="164"/>
      <c r="HYG76" s="164"/>
      <c r="HYH76" s="164"/>
      <c r="HYI76" s="164"/>
      <c r="HYJ76" s="164"/>
      <c r="HYK76" s="164"/>
      <c r="HYL76" s="164"/>
      <c r="HYM76" s="164"/>
      <c r="HYN76" s="164"/>
      <c r="HYO76" s="164"/>
      <c r="HYP76" s="164"/>
      <c r="HYQ76" s="164"/>
      <c r="HYR76" s="164"/>
      <c r="HYS76" s="164"/>
      <c r="HYT76" s="164"/>
      <c r="HYU76" s="164"/>
      <c r="HYV76" s="164"/>
      <c r="HYW76" s="164"/>
      <c r="HYX76" s="164"/>
      <c r="HYY76" s="164"/>
      <c r="HYZ76" s="164"/>
      <c r="HZA76" s="164"/>
      <c r="HZB76" s="164"/>
      <c r="HZC76" s="164"/>
      <c r="HZD76" s="164"/>
      <c r="HZE76" s="164"/>
      <c r="HZF76" s="164"/>
      <c r="HZG76" s="164"/>
      <c r="HZH76" s="164"/>
      <c r="HZI76" s="164"/>
      <c r="HZJ76" s="164"/>
      <c r="HZK76" s="164"/>
      <c r="HZL76" s="164"/>
      <c r="HZM76" s="164"/>
      <c r="HZN76" s="164"/>
      <c r="HZO76" s="164"/>
      <c r="HZP76" s="164"/>
      <c r="HZQ76" s="164"/>
      <c r="HZR76" s="164"/>
      <c r="HZS76" s="164"/>
      <c r="HZT76" s="164"/>
      <c r="HZU76" s="164"/>
      <c r="HZV76" s="164"/>
      <c r="HZW76" s="164"/>
      <c r="HZX76" s="164"/>
      <c r="HZY76" s="164"/>
      <c r="HZZ76" s="164"/>
      <c r="IAA76" s="164"/>
      <c r="IAB76" s="164"/>
      <c r="IAC76" s="164"/>
      <c r="IAD76" s="164"/>
      <c r="IAE76" s="164"/>
      <c r="IAF76" s="164"/>
      <c r="IAG76" s="164"/>
      <c r="IAH76" s="164"/>
      <c r="IAI76" s="164"/>
      <c r="IAJ76" s="164"/>
      <c r="IAK76" s="164"/>
      <c r="IAL76" s="164"/>
      <c r="IAM76" s="164"/>
      <c r="IAN76" s="164"/>
      <c r="IAO76" s="164"/>
      <c r="IAP76" s="164"/>
      <c r="IAQ76" s="164"/>
      <c r="IAR76" s="164"/>
      <c r="IAS76" s="164"/>
      <c r="IAT76" s="164"/>
      <c r="IAU76" s="164"/>
      <c r="IAV76" s="164"/>
      <c r="IAW76" s="164"/>
      <c r="IAX76" s="164"/>
      <c r="IAY76" s="164"/>
      <c r="IAZ76" s="164"/>
      <c r="IBA76" s="164"/>
      <c r="IBB76" s="164"/>
      <c r="IBC76" s="164"/>
      <c r="IBD76" s="164"/>
      <c r="IBE76" s="164"/>
      <c r="IBF76" s="164"/>
      <c r="IBG76" s="164"/>
      <c r="IBH76" s="164"/>
      <c r="IBI76" s="164"/>
      <c r="IBJ76" s="164"/>
      <c r="IBK76" s="164"/>
      <c r="IBL76" s="164"/>
      <c r="IBM76" s="164"/>
      <c r="IBN76" s="164"/>
      <c r="IBO76" s="164"/>
      <c r="IBP76" s="164"/>
      <c r="IBQ76" s="164"/>
      <c r="IBR76" s="164"/>
      <c r="IBS76" s="164"/>
      <c r="IBT76" s="164"/>
      <c r="IBU76" s="164"/>
      <c r="IBV76" s="164"/>
      <c r="IBW76" s="164"/>
      <c r="IBX76" s="164"/>
      <c r="IBY76" s="164"/>
      <c r="IBZ76" s="164"/>
      <c r="ICA76" s="164"/>
      <c r="ICB76" s="164"/>
      <c r="ICC76" s="164"/>
      <c r="ICD76" s="164"/>
      <c r="ICE76" s="164"/>
      <c r="ICF76" s="164"/>
      <c r="ICG76" s="164"/>
      <c r="ICH76" s="164"/>
      <c r="ICI76" s="164"/>
      <c r="ICJ76" s="164"/>
      <c r="ICK76" s="164"/>
      <c r="ICL76" s="164"/>
      <c r="ICM76" s="164"/>
      <c r="ICN76" s="164"/>
      <c r="ICO76" s="164"/>
      <c r="ICP76" s="164"/>
      <c r="ICQ76" s="164"/>
      <c r="ICR76" s="164"/>
      <c r="ICS76" s="164"/>
      <c r="ICT76" s="164"/>
      <c r="ICU76" s="164"/>
      <c r="ICV76" s="164"/>
      <c r="ICW76" s="164"/>
      <c r="ICX76" s="164"/>
      <c r="ICY76" s="164"/>
      <c r="ICZ76" s="164"/>
      <c r="IDA76" s="164"/>
      <c r="IDB76" s="164"/>
      <c r="IDC76" s="164"/>
      <c r="IDD76" s="164"/>
      <c r="IDE76" s="164"/>
      <c r="IDF76" s="164"/>
      <c r="IDG76" s="164"/>
      <c r="IDH76" s="164"/>
      <c r="IDI76" s="164"/>
      <c r="IDJ76" s="164"/>
      <c r="IDK76" s="164"/>
      <c r="IDL76" s="164"/>
      <c r="IDM76" s="164"/>
      <c r="IDN76" s="164"/>
      <c r="IDO76" s="164"/>
      <c r="IDP76" s="164"/>
      <c r="IDQ76" s="164"/>
      <c r="IDR76" s="164"/>
      <c r="IDS76" s="164"/>
      <c r="IDT76" s="164"/>
      <c r="IDU76" s="164"/>
      <c r="IDV76" s="164"/>
      <c r="IDW76" s="164"/>
      <c r="IDX76" s="164"/>
      <c r="IDY76" s="164"/>
      <c r="IDZ76" s="164"/>
      <c r="IEA76" s="164"/>
      <c r="IEB76" s="164"/>
      <c r="IEC76" s="164"/>
      <c r="IED76" s="164"/>
      <c r="IEE76" s="164"/>
      <c r="IEF76" s="164"/>
      <c r="IEG76" s="164"/>
      <c r="IEH76" s="164"/>
      <c r="IEI76" s="164"/>
      <c r="IEJ76" s="164"/>
      <c r="IEK76" s="164"/>
      <c r="IEL76" s="164"/>
      <c r="IEM76" s="164"/>
      <c r="IEN76" s="164"/>
      <c r="IEO76" s="164"/>
      <c r="IEP76" s="164"/>
      <c r="IEQ76" s="164"/>
      <c r="IER76" s="164"/>
      <c r="IES76" s="164"/>
      <c r="IET76" s="164"/>
      <c r="IEU76" s="164"/>
      <c r="IEV76" s="164"/>
      <c r="IEW76" s="164"/>
      <c r="IEX76" s="164"/>
      <c r="IEY76" s="164"/>
      <c r="IEZ76" s="164"/>
      <c r="IFA76" s="164"/>
      <c r="IFB76" s="164"/>
      <c r="IFC76" s="164"/>
      <c r="IFD76" s="164"/>
      <c r="IFE76" s="164"/>
      <c r="IFF76" s="164"/>
      <c r="IFG76" s="164"/>
      <c r="IFH76" s="164"/>
      <c r="IFI76" s="164"/>
      <c r="IFJ76" s="164"/>
      <c r="IFK76" s="164"/>
      <c r="IFL76" s="164"/>
      <c r="IFM76" s="164"/>
      <c r="IFN76" s="164"/>
      <c r="IFO76" s="164"/>
      <c r="IFP76" s="164"/>
      <c r="IFQ76" s="164"/>
      <c r="IFR76" s="164"/>
      <c r="IFS76" s="164"/>
      <c r="IFT76" s="164"/>
      <c r="IFU76" s="164"/>
      <c r="IFV76" s="164"/>
      <c r="IFW76" s="164"/>
      <c r="IFX76" s="164"/>
      <c r="IFY76" s="164"/>
      <c r="IFZ76" s="164"/>
      <c r="IGA76" s="164"/>
      <c r="IGB76" s="164"/>
      <c r="IGC76" s="164"/>
      <c r="IGD76" s="164"/>
      <c r="IGE76" s="164"/>
      <c r="IGF76" s="164"/>
      <c r="IGG76" s="164"/>
      <c r="IGH76" s="164"/>
      <c r="IGI76" s="164"/>
      <c r="IGJ76" s="164"/>
      <c r="IGK76" s="164"/>
      <c r="IGL76" s="164"/>
      <c r="IGM76" s="164"/>
      <c r="IGN76" s="164"/>
      <c r="IGO76" s="164"/>
      <c r="IGP76" s="164"/>
      <c r="IGQ76" s="164"/>
      <c r="IGR76" s="164"/>
      <c r="IGS76" s="164"/>
      <c r="IGT76" s="164"/>
      <c r="IGU76" s="164"/>
      <c r="IGV76" s="164"/>
      <c r="IGW76" s="164"/>
      <c r="IGX76" s="164"/>
      <c r="IGY76" s="164"/>
      <c r="IGZ76" s="164"/>
      <c r="IHA76" s="164"/>
      <c r="IHB76" s="164"/>
      <c r="IHC76" s="164"/>
      <c r="IHD76" s="164"/>
      <c r="IHE76" s="164"/>
      <c r="IHF76" s="164"/>
      <c r="IHG76" s="164"/>
      <c r="IHH76" s="164"/>
      <c r="IHI76" s="164"/>
      <c r="IHJ76" s="164"/>
      <c r="IHK76" s="164"/>
      <c r="IHL76" s="164"/>
      <c r="IHM76" s="164"/>
      <c r="IHN76" s="164"/>
      <c r="IHO76" s="164"/>
      <c r="IHP76" s="164"/>
      <c r="IHQ76" s="164"/>
      <c r="IHR76" s="164"/>
      <c r="IHS76" s="164"/>
      <c r="IHT76" s="164"/>
      <c r="IHU76" s="164"/>
      <c r="IHV76" s="164"/>
      <c r="IHW76" s="164"/>
      <c r="IHX76" s="164"/>
      <c r="IHY76" s="164"/>
      <c r="IHZ76" s="164"/>
      <c r="IIA76" s="164"/>
      <c r="IIB76" s="164"/>
      <c r="IIC76" s="164"/>
      <c r="IID76" s="164"/>
      <c r="IIE76" s="164"/>
      <c r="IIF76" s="164"/>
      <c r="IIG76" s="164"/>
      <c r="IIH76" s="164"/>
      <c r="III76" s="164"/>
      <c r="IIJ76" s="164"/>
      <c r="IIK76" s="164"/>
      <c r="IIL76" s="164"/>
      <c r="IIM76" s="164"/>
      <c r="IIN76" s="164"/>
      <c r="IIO76" s="164"/>
      <c r="IIP76" s="164"/>
      <c r="IIQ76" s="164"/>
      <c r="IIR76" s="164"/>
      <c r="IIS76" s="164"/>
      <c r="IIT76" s="164"/>
      <c r="IIU76" s="164"/>
      <c r="IIV76" s="164"/>
      <c r="IIW76" s="164"/>
      <c r="IIX76" s="164"/>
      <c r="IIY76" s="164"/>
      <c r="IIZ76" s="164"/>
      <c r="IJA76" s="164"/>
      <c r="IJB76" s="164"/>
      <c r="IJC76" s="164"/>
      <c r="IJD76" s="164"/>
      <c r="IJE76" s="164"/>
      <c r="IJF76" s="164"/>
      <c r="IJG76" s="164"/>
      <c r="IJH76" s="164"/>
      <c r="IJI76" s="164"/>
      <c r="IJJ76" s="164"/>
      <c r="IJK76" s="164"/>
      <c r="IJL76" s="164"/>
      <c r="IJM76" s="164"/>
      <c r="IJN76" s="164"/>
      <c r="IJO76" s="164"/>
      <c r="IJP76" s="164"/>
      <c r="IJQ76" s="164"/>
      <c r="IJR76" s="164"/>
      <c r="IJS76" s="164"/>
      <c r="IJT76" s="164"/>
      <c r="IJU76" s="164"/>
      <c r="IJV76" s="164"/>
      <c r="IJW76" s="164"/>
      <c r="IJX76" s="164"/>
      <c r="IJY76" s="164"/>
      <c r="IJZ76" s="164"/>
      <c r="IKA76" s="164"/>
      <c r="IKB76" s="164"/>
      <c r="IKC76" s="164"/>
      <c r="IKD76" s="164"/>
      <c r="IKE76" s="164"/>
      <c r="IKF76" s="164"/>
      <c r="IKG76" s="164"/>
      <c r="IKH76" s="164"/>
      <c r="IKI76" s="164"/>
      <c r="IKJ76" s="164"/>
      <c r="IKK76" s="164"/>
      <c r="IKL76" s="164"/>
      <c r="IKM76" s="164"/>
      <c r="IKN76" s="164"/>
      <c r="IKO76" s="164"/>
      <c r="IKP76" s="164"/>
      <c r="IKQ76" s="164"/>
      <c r="IKR76" s="164"/>
      <c r="IKS76" s="164"/>
      <c r="IKT76" s="164"/>
      <c r="IKU76" s="164"/>
      <c r="IKV76" s="164"/>
      <c r="IKW76" s="164"/>
      <c r="IKX76" s="164"/>
      <c r="IKY76" s="164"/>
      <c r="IKZ76" s="164"/>
      <c r="ILA76" s="164"/>
      <c r="ILB76" s="164"/>
      <c r="ILC76" s="164"/>
      <c r="ILD76" s="164"/>
      <c r="ILE76" s="164"/>
      <c r="ILF76" s="164"/>
      <c r="ILG76" s="164"/>
      <c r="ILH76" s="164"/>
      <c r="ILI76" s="164"/>
      <c r="ILJ76" s="164"/>
      <c r="ILK76" s="164"/>
      <c r="ILL76" s="164"/>
      <c r="ILM76" s="164"/>
      <c r="ILN76" s="164"/>
      <c r="ILO76" s="164"/>
      <c r="ILP76" s="164"/>
      <c r="ILQ76" s="164"/>
      <c r="ILR76" s="164"/>
      <c r="ILS76" s="164"/>
      <c r="ILT76" s="164"/>
      <c r="ILU76" s="164"/>
      <c r="ILV76" s="164"/>
      <c r="ILW76" s="164"/>
      <c r="ILX76" s="164"/>
      <c r="ILY76" s="164"/>
      <c r="ILZ76" s="164"/>
      <c r="IMA76" s="164"/>
      <c r="IMB76" s="164"/>
      <c r="IMC76" s="164"/>
      <c r="IMD76" s="164"/>
      <c r="IME76" s="164"/>
      <c r="IMF76" s="164"/>
      <c r="IMG76" s="164"/>
      <c r="IMH76" s="164"/>
      <c r="IMI76" s="164"/>
      <c r="IMJ76" s="164"/>
      <c r="IMK76" s="164"/>
      <c r="IML76" s="164"/>
      <c r="IMM76" s="164"/>
      <c r="IMN76" s="164"/>
      <c r="IMO76" s="164"/>
      <c r="IMP76" s="164"/>
      <c r="IMQ76" s="164"/>
      <c r="IMR76" s="164"/>
      <c r="IMS76" s="164"/>
      <c r="IMT76" s="164"/>
      <c r="IMU76" s="164"/>
      <c r="IMV76" s="164"/>
      <c r="IMW76" s="164"/>
      <c r="IMX76" s="164"/>
      <c r="IMY76" s="164"/>
      <c r="IMZ76" s="164"/>
      <c r="INA76" s="164"/>
      <c r="INB76" s="164"/>
      <c r="INC76" s="164"/>
      <c r="IND76" s="164"/>
      <c r="INE76" s="164"/>
      <c r="INF76" s="164"/>
      <c r="ING76" s="164"/>
      <c r="INH76" s="164"/>
      <c r="INI76" s="164"/>
      <c r="INJ76" s="164"/>
      <c r="INK76" s="164"/>
      <c r="INL76" s="164"/>
      <c r="INM76" s="164"/>
      <c r="INN76" s="164"/>
      <c r="INO76" s="164"/>
      <c r="INP76" s="164"/>
      <c r="INQ76" s="164"/>
      <c r="INR76" s="164"/>
      <c r="INS76" s="164"/>
      <c r="INT76" s="164"/>
      <c r="INU76" s="164"/>
      <c r="INV76" s="164"/>
      <c r="INW76" s="164"/>
      <c r="INX76" s="164"/>
      <c r="INY76" s="164"/>
      <c r="INZ76" s="164"/>
      <c r="IOA76" s="164"/>
      <c r="IOB76" s="164"/>
      <c r="IOC76" s="164"/>
      <c r="IOD76" s="164"/>
      <c r="IOE76" s="164"/>
      <c r="IOF76" s="164"/>
      <c r="IOG76" s="164"/>
      <c r="IOH76" s="164"/>
      <c r="IOI76" s="164"/>
      <c r="IOJ76" s="164"/>
      <c r="IOK76" s="164"/>
      <c r="IOL76" s="164"/>
      <c r="IOM76" s="164"/>
      <c r="ION76" s="164"/>
      <c r="IOO76" s="164"/>
      <c r="IOP76" s="164"/>
      <c r="IOQ76" s="164"/>
      <c r="IOR76" s="164"/>
      <c r="IOS76" s="164"/>
      <c r="IOT76" s="164"/>
      <c r="IOU76" s="164"/>
      <c r="IOV76" s="164"/>
      <c r="IOW76" s="164"/>
      <c r="IOX76" s="164"/>
      <c r="IOY76" s="164"/>
      <c r="IOZ76" s="164"/>
      <c r="IPA76" s="164"/>
      <c r="IPB76" s="164"/>
      <c r="IPC76" s="164"/>
      <c r="IPD76" s="164"/>
      <c r="IPE76" s="164"/>
      <c r="IPF76" s="164"/>
      <c r="IPG76" s="164"/>
      <c r="IPH76" s="164"/>
      <c r="IPI76" s="164"/>
      <c r="IPJ76" s="164"/>
      <c r="IPK76" s="164"/>
      <c r="IPL76" s="164"/>
      <c r="IPM76" s="164"/>
      <c r="IPN76" s="164"/>
      <c r="IPO76" s="164"/>
      <c r="IPP76" s="164"/>
      <c r="IPQ76" s="164"/>
      <c r="IPR76" s="164"/>
      <c r="IPS76" s="164"/>
      <c r="IPT76" s="164"/>
      <c r="IPU76" s="164"/>
      <c r="IPV76" s="164"/>
      <c r="IPW76" s="164"/>
      <c r="IPX76" s="164"/>
      <c r="IPY76" s="164"/>
      <c r="IPZ76" s="164"/>
      <c r="IQA76" s="164"/>
      <c r="IQB76" s="164"/>
      <c r="IQC76" s="164"/>
      <c r="IQD76" s="164"/>
      <c r="IQE76" s="164"/>
      <c r="IQF76" s="164"/>
      <c r="IQG76" s="164"/>
      <c r="IQH76" s="164"/>
      <c r="IQI76" s="164"/>
      <c r="IQJ76" s="164"/>
      <c r="IQK76" s="164"/>
      <c r="IQL76" s="164"/>
      <c r="IQM76" s="164"/>
      <c r="IQN76" s="164"/>
      <c r="IQO76" s="164"/>
      <c r="IQP76" s="164"/>
      <c r="IQQ76" s="164"/>
      <c r="IQR76" s="164"/>
      <c r="IQS76" s="164"/>
      <c r="IQT76" s="164"/>
      <c r="IQU76" s="164"/>
      <c r="IQV76" s="164"/>
      <c r="IQW76" s="164"/>
      <c r="IQX76" s="164"/>
      <c r="IQY76" s="164"/>
      <c r="IQZ76" s="164"/>
      <c r="IRA76" s="164"/>
      <c r="IRB76" s="164"/>
      <c r="IRC76" s="164"/>
      <c r="IRD76" s="164"/>
      <c r="IRE76" s="164"/>
      <c r="IRF76" s="164"/>
      <c r="IRG76" s="164"/>
      <c r="IRH76" s="164"/>
      <c r="IRI76" s="164"/>
      <c r="IRJ76" s="164"/>
      <c r="IRK76" s="164"/>
      <c r="IRL76" s="164"/>
      <c r="IRM76" s="164"/>
      <c r="IRN76" s="164"/>
      <c r="IRO76" s="164"/>
      <c r="IRP76" s="164"/>
      <c r="IRQ76" s="164"/>
      <c r="IRR76" s="164"/>
      <c r="IRS76" s="164"/>
      <c r="IRT76" s="164"/>
      <c r="IRU76" s="164"/>
      <c r="IRV76" s="164"/>
      <c r="IRW76" s="164"/>
      <c r="IRX76" s="164"/>
      <c r="IRY76" s="164"/>
      <c r="IRZ76" s="164"/>
      <c r="ISA76" s="164"/>
      <c r="ISB76" s="164"/>
      <c r="ISC76" s="164"/>
      <c r="ISD76" s="164"/>
      <c r="ISE76" s="164"/>
      <c r="ISF76" s="164"/>
      <c r="ISG76" s="164"/>
      <c r="ISH76" s="164"/>
      <c r="ISI76" s="164"/>
      <c r="ISJ76" s="164"/>
      <c r="ISK76" s="164"/>
      <c r="ISL76" s="164"/>
      <c r="ISM76" s="164"/>
      <c r="ISN76" s="164"/>
      <c r="ISO76" s="164"/>
      <c r="ISP76" s="164"/>
      <c r="ISQ76" s="164"/>
      <c r="ISR76" s="164"/>
      <c r="ISS76" s="164"/>
      <c r="IST76" s="164"/>
      <c r="ISU76" s="164"/>
      <c r="ISV76" s="164"/>
      <c r="ISW76" s="164"/>
      <c r="ISX76" s="164"/>
      <c r="ISY76" s="164"/>
      <c r="ISZ76" s="164"/>
      <c r="ITA76" s="164"/>
      <c r="ITB76" s="164"/>
      <c r="ITC76" s="164"/>
      <c r="ITD76" s="164"/>
      <c r="ITE76" s="164"/>
      <c r="ITF76" s="164"/>
      <c r="ITG76" s="164"/>
      <c r="ITH76" s="164"/>
      <c r="ITI76" s="164"/>
      <c r="ITJ76" s="164"/>
      <c r="ITK76" s="164"/>
      <c r="ITL76" s="164"/>
      <c r="ITM76" s="164"/>
      <c r="ITN76" s="164"/>
      <c r="ITO76" s="164"/>
      <c r="ITP76" s="164"/>
      <c r="ITQ76" s="164"/>
      <c r="ITR76" s="164"/>
      <c r="ITS76" s="164"/>
      <c r="ITT76" s="164"/>
      <c r="ITU76" s="164"/>
      <c r="ITV76" s="164"/>
      <c r="ITW76" s="164"/>
      <c r="ITX76" s="164"/>
      <c r="ITY76" s="164"/>
      <c r="ITZ76" s="164"/>
      <c r="IUA76" s="164"/>
      <c r="IUB76" s="164"/>
      <c r="IUC76" s="164"/>
      <c r="IUD76" s="164"/>
      <c r="IUE76" s="164"/>
      <c r="IUF76" s="164"/>
      <c r="IUG76" s="164"/>
      <c r="IUH76" s="164"/>
      <c r="IUI76" s="164"/>
      <c r="IUJ76" s="164"/>
      <c r="IUK76" s="164"/>
      <c r="IUL76" s="164"/>
      <c r="IUM76" s="164"/>
      <c r="IUN76" s="164"/>
      <c r="IUO76" s="164"/>
      <c r="IUP76" s="164"/>
      <c r="IUQ76" s="164"/>
      <c r="IUR76" s="164"/>
      <c r="IUS76" s="164"/>
      <c r="IUT76" s="164"/>
      <c r="IUU76" s="164"/>
      <c r="IUV76" s="164"/>
      <c r="IUW76" s="164"/>
      <c r="IUX76" s="164"/>
      <c r="IUY76" s="164"/>
      <c r="IUZ76" s="164"/>
      <c r="IVA76" s="164"/>
      <c r="IVB76" s="164"/>
      <c r="IVC76" s="164"/>
      <c r="IVD76" s="164"/>
      <c r="IVE76" s="164"/>
      <c r="IVF76" s="164"/>
      <c r="IVG76" s="164"/>
      <c r="IVH76" s="164"/>
      <c r="IVI76" s="164"/>
      <c r="IVJ76" s="164"/>
      <c r="IVK76" s="164"/>
      <c r="IVL76" s="164"/>
      <c r="IVM76" s="164"/>
      <c r="IVN76" s="164"/>
      <c r="IVO76" s="164"/>
      <c r="IVP76" s="164"/>
      <c r="IVQ76" s="164"/>
      <c r="IVR76" s="164"/>
      <c r="IVS76" s="164"/>
      <c r="IVT76" s="164"/>
      <c r="IVU76" s="164"/>
      <c r="IVV76" s="164"/>
      <c r="IVW76" s="164"/>
      <c r="IVX76" s="164"/>
      <c r="IVY76" s="164"/>
      <c r="IVZ76" s="164"/>
      <c r="IWA76" s="164"/>
      <c r="IWB76" s="164"/>
      <c r="IWC76" s="164"/>
      <c r="IWD76" s="164"/>
      <c r="IWE76" s="164"/>
      <c r="IWF76" s="164"/>
      <c r="IWG76" s="164"/>
      <c r="IWH76" s="164"/>
      <c r="IWI76" s="164"/>
      <c r="IWJ76" s="164"/>
      <c r="IWK76" s="164"/>
      <c r="IWL76" s="164"/>
      <c r="IWM76" s="164"/>
      <c r="IWN76" s="164"/>
      <c r="IWO76" s="164"/>
      <c r="IWP76" s="164"/>
      <c r="IWQ76" s="164"/>
      <c r="IWR76" s="164"/>
      <c r="IWS76" s="164"/>
      <c r="IWT76" s="164"/>
      <c r="IWU76" s="164"/>
      <c r="IWV76" s="164"/>
      <c r="IWW76" s="164"/>
      <c r="IWX76" s="164"/>
      <c r="IWY76" s="164"/>
      <c r="IWZ76" s="164"/>
      <c r="IXA76" s="164"/>
      <c r="IXB76" s="164"/>
      <c r="IXC76" s="164"/>
      <c r="IXD76" s="164"/>
      <c r="IXE76" s="164"/>
      <c r="IXF76" s="164"/>
      <c r="IXG76" s="164"/>
      <c r="IXH76" s="164"/>
      <c r="IXI76" s="164"/>
      <c r="IXJ76" s="164"/>
      <c r="IXK76" s="164"/>
      <c r="IXL76" s="164"/>
      <c r="IXM76" s="164"/>
      <c r="IXN76" s="164"/>
      <c r="IXO76" s="164"/>
      <c r="IXP76" s="164"/>
      <c r="IXQ76" s="164"/>
      <c r="IXR76" s="164"/>
      <c r="IXS76" s="164"/>
      <c r="IXT76" s="164"/>
      <c r="IXU76" s="164"/>
      <c r="IXV76" s="164"/>
      <c r="IXW76" s="164"/>
      <c r="IXX76" s="164"/>
      <c r="IXY76" s="164"/>
      <c r="IXZ76" s="164"/>
      <c r="IYA76" s="164"/>
      <c r="IYB76" s="164"/>
      <c r="IYC76" s="164"/>
      <c r="IYD76" s="164"/>
      <c r="IYE76" s="164"/>
      <c r="IYF76" s="164"/>
      <c r="IYG76" s="164"/>
      <c r="IYH76" s="164"/>
      <c r="IYI76" s="164"/>
      <c r="IYJ76" s="164"/>
      <c r="IYK76" s="164"/>
      <c r="IYL76" s="164"/>
      <c r="IYM76" s="164"/>
      <c r="IYN76" s="164"/>
      <c r="IYO76" s="164"/>
      <c r="IYP76" s="164"/>
      <c r="IYQ76" s="164"/>
      <c r="IYR76" s="164"/>
      <c r="IYS76" s="164"/>
      <c r="IYT76" s="164"/>
      <c r="IYU76" s="164"/>
      <c r="IYV76" s="164"/>
      <c r="IYW76" s="164"/>
      <c r="IYX76" s="164"/>
      <c r="IYY76" s="164"/>
      <c r="IYZ76" s="164"/>
      <c r="IZA76" s="164"/>
      <c r="IZB76" s="164"/>
      <c r="IZC76" s="164"/>
      <c r="IZD76" s="164"/>
      <c r="IZE76" s="164"/>
      <c r="IZF76" s="164"/>
      <c r="IZG76" s="164"/>
      <c r="IZH76" s="164"/>
      <c r="IZI76" s="164"/>
      <c r="IZJ76" s="164"/>
      <c r="IZK76" s="164"/>
      <c r="IZL76" s="164"/>
      <c r="IZM76" s="164"/>
      <c r="IZN76" s="164"/>
      <c r="IZO76" s="164"/>
      <c r="IZP76" s="164"/>
      <c r="IZQ76" s="164"/>
      <c r="IZR76" s="164"/>
      <c r="IZS76" s="164"/>
      <c r="IZT76" s="164"/>
      <c r="IZU76" s="164"/>
      <c r="IZV76" s="164"/>
      <c r="IZW76" s="164"/>
      <c r="IZX76" s="164"/>
      <c r="IZY76" s="164"/>
      <c r="IZZ76" s="164"/>
      <c r="JAA76" s="164"/>
      <c r="JAB76" s="164"/>
      <c r="JAC76" s="164"/>
      <c r="JAD76" s="164"/>
      <c r="JAE76" s="164"/>
      <c r="JAF76" s="164"/>
      <c r="JAG76" s="164"/>
      <c r="JAH76" s="164"/>
      <c r="JAI76" s="164"/>
      <c r="JAJ76" s="164"/>
      <c r="JAK76" s="164"/>
      <c r="JAL76" s="164"/>
      <c r="JAM76" s="164"/>
      <c r="JAN76" s="164"/>
      <c r="JAO76" s="164"/>
      <c r="JAP76" s="164"/>
      <c r="JAQ76" s="164"/>
      <c r="JAR76" s="164"/>
      <c r="JAS76" s="164"/>
      <c r="JAT76" s="164"/>
      <c r="JAU76" s="164"/>
      <c r="JAV76" s="164"/>
      <c r="JAW76" s="164"/>
      <c r="JAX76" s="164"/>
      <c r="JAY76" s="164"/>
      <c r="JAZ76" s="164"/>
      <c r="JBA76" s="164"/>
      <c r="JBB76" s="164"/>
      <c r="JBC76" s="164"/>
      <c r="JBD76" s="164"/>
      <c r="JBE76" s="164"/>
      <c r="JBF76" s="164"/>
      <c r="JBG76" s="164"/>
      <c r="JBH76" s="164"/>
      <c r="JBI76" s="164"/>
      <c r="JBJ76" s="164"/>
      <c r="JBK76" s="164"/>
      <c r="JBL76" s="164"/>
      <c r="JBM76" s="164"/>
      <c r="JBN76" s="164"/>
      <c r="JBO76" s="164"/>
      <c r="JBP76" s="164"/>
      <c r="JBQ76" s="164"/>
      <c r="JBR76" s="164"/>
      <c r="JBS76" s="164"/>
      <c r="JBT76" s="164"/>
      <c r="JBU76" s="164"/>
      <c r="JBV76" s="164"/>
      <c r="JBW76" s="164"/>
      <c r="JBX76" s="164"/>
      <c r="JBY76" s="164"/>
      <c r="JBZ76" s="164"/>
      <c r="JCA76" s="164"/>
      <c r="JCB76" s="164"/>
      <c r="JCC76" s="164"/>
      <c r="JCD76" s="164"/>
      <c r="JCE76" s="164"/>
      <c r="JCF76" s="164"/>
      <c r="JCG76" s="164"/>
      <c r="JCH76" s="164"/>
      <c r="JCI76" s="164"/>
      <c r="JCJ76" s="164"/>
      <c r="JCK76" s="164"/>
      <c r="JCL76" s="164"/>
      <c r="JCM76" s="164"/>
      <c r="JCN76" s="164"/>
      <c r="JCO76" s="164"/>
      <c r="JCP76" s="164"/>
      <c r="JCQ76" s="164"/>
      <c r="JCR76" s="164"/>
      <c r="JCS76" s="164"/>
      <c r="JCT76" s="164"/>
      <c r="JCU76" s="164"/>
      <c r="JCV76" s="164"/>
      <c r="JCW76" s="164"/>
      <c r="JCX76" s="164"/>
      <c r="JCY76" s="164"/>
      <c r="JCZ76" s="164"/>
      <c r="JDA76" s="164"/>
      <c r="JDB76" s="164"/>
      <c r="JDC76" s="164"/>
      <c r="JDD76" s="164"/>
      <c r="JDE76" s="164"/>
      <c r="JDF76" s="164"/>
      <c r="JDG76" s="164"/>
      <c r="JDH76" s="164"/>
      <c r="JDI76" s="164"/>
      <c r="JDJ76" s="164"/>
      <c r="JDK76" s="164"/>
      <c r="JDL76" s="164"/>
      <c r="JDM76" s="164"/>
      <c r="JDN76" s="164"/>
      <c r="JDO76" s="164"/>
      <c r="JDP76" s="164"/>
      <c r="JDQ76" s="164"/>
      <c r="JDR76" s="164"/>
      <c r="JDS76" s="164"/>
      <c r="JDT76" s="164"/>
      <c r="JDU76" s="164"/>
      <c r="JDV76" s="164"/>
      <c r="JDW76" s="164"/>
      <c r="JDX76" s="164"/>
      <c r="JDY76" s="164"/>
      <c r="JDZ76" s="164"/>
      <c r="JEA76" s="164"/>
      <c r="JEB76" s="164"/>
      <c r="JEC76" s="164"/>
      <c r="JED76" s="164"/>
      <c r="JEE76" s="164"/>
      <c r="JEF76" s="164"/>
      <c r="JEG76" s="164"/>
      <c r="JEH76" s="164"/>
      <c r="JEI76" s="164"/>
      <c r="JEJ76" s="164"/>
      <c r="JEK76" s="164"/>
      <c r="JEL76" s="164"/>
      <c r="JEM76" s="164"/>
      <c r="JEN76" s="164"/>
      <c r="JEO76" s="164"/>
      <c r="JEP76" s="164"/>
      <c r="JEQ76" s="164"/>
      <c r="JER76" s="164"/>
      <c r="JES76" s="164"/>
      <c r="JET76" s="164"/>
      <c r="JEU76" s="164"/>
      <c r="JEV76" s="164"/>
      <c r="JEW76" s="164"/>
      <c r="JEX76" s="164"/>
      <c r="JEY76" s="164"/>
      <c r="JEZ76" s="164"/>
      <c r="JFA76" s="164"/>
      <c r="JFB76" s="164"/>
      <c r="JFC76" s="164"/>
      <c r="JFD76" s="164"/>
      <c r="JFE76" s="164"/>
      <c r="JFF76" s="164"/>
      <c r="JFG76" s="164"/>
      <c r="JFH76" s="164"/>
      <c r="JFI76" s="164"/>
      <c r="JFJ76" s="164"/>
      <c r="JFK76" s="164"/>
      <c r="JFL76" s="164"/>
      <c r="JFM76" s="164"/>
      <c r="JFN76" s="164"/>
      <c r="JFO76" s="164"/>
      <c r="JFP76" s="164"/>
      <c r="JFQ76" s="164"/>
      <c r="JFR76" s="164"/>
      <c r="JFS76" s="164"/>
      <c r="JFT76" s="164"/>
      <c r="JFU76" s="164"/>
      <c r="JFV76" s="164"/>
      <c r="JFW76" s="164"/>
      <c r="JFX76" s="164"/>
      <c r="JFY76" s="164"/>
      <c r="JFZ76" s="164"/>
      <c r="JGA76" s="164"/>
      <c r="JGB76" s="164"/>
      <c r="JGC76" s="164"/>
      <c r="JGD76" s="164"/>
      <c r="JGE76" s="164"/>
      <c r="JGF76" s="164"/>
      <c r="JGG76" s="164"/>
      <c r="JGH76" s="164"/>
      <c r="JGI76" s="164"/>
      <c r="JGJ76" s="164"/>
      <c r="JGK76" s="164"/>
      <c r="JGL76" s="164"/>
      <c r="JGM76" s="164"/>
      <c r="JGN76" s="164"/>
      <c r="JGO76" s="164"/>
      <c r="JGP76" s="164"/>
      <c r="JGQ76" s="164"/>
      <c r="JGR76" s="164"/>
      <c r="JGS76" s="164"/>
      <c r="JGT76" s="164"/>
      <c r="JGU76" s="164"/>
      <c r="JGV76" s="164"/>
      <c r="JGW76" s="164"/>
      <c r="JGX76" s="164"/>
      <c r="JGY76" s="164"/>
      <c r="JGZ76" s="164"/>
      <c r="JHA76" s="164"/>
      <c r="JHB76" s="164"/>
      <c r="JHC76" s="164"/>
      <c r="JHD76" s="164"/>
      <c r="JHE76" s="164"/>
      <c r="JHF76" s="164"/>
      <c r="JHG76" s="164"/>
      <c r="JHH76" s="164"/>
      <c r="JHI76" s="164"/>
      <c r="JHJ76" s="164"/>
      <c r="JHK76" s="164"/>
      <c r="JHL76" s="164"/>
      <c r="JHM76" s="164"/>
      <c r="JHN76" s="164"/>
      <c r="JHO76" s="164"/>
      <c r="JHP76" s="164"/>
      <c r="JHQ76" s="164"/>
      <c r="JHR76" s="164"/>
      <c r="JHS76" s="164"/>
      <c r="JHT76" s="164"/>
      <c r="JHU76" s="164"/>
      <c r="JHV76" s="164"/>
      <c r="JHW76" s="164"/>
      <c r="JHX76" s="164"/>
      <c r="JHY76" s="164"/>
      <c r="JHZ76" s="164"/>
      <c r="JIA76" s="164"/>
      <c r="JIB76" s="164"/>
      <c r="JIC76" s="164"/>
      <c r="JID76" s="164"/>
      <c r="JIE76" s="164"/>
      <c r="JIF76" s="164"/>
      <c r="JIG76" s="164"/>
      <c r="JIH76" s="164"/>
      <c r="JII76" s="164"/>
      <c r="JIJ76" s="164"/>
      <c r="JIK76" s="164"/>
      <c r="JIL76" s="164"/>
      <c r="JIM76" s="164"/>
      <c r="JIN76" s="164"/>
      <c r="JIO76" s="164"/>
      <c r="JIP76" s="164"/>
      <c r="JIQ76" s="164"/>
      <c r="JIR76" s="164"/>
      <c r="JIS76" s="164"/>
      <c r="JIT76" s="164"/>
      <c r="JIU76" s="164"/>
      <c r="JIV76" s="164"/>
      <c r="JIW76" s="164"/>
      <c r="JIX76" s="164"/>
      <c r="JIY76" s="164"/>
      <c r="JIZ76" s="164"/>
      <c r="JJA76" s="164"/>
      <c r="JJB76" s="164"/>
      <c r="JJC76" s="164"/>
      <c r="JJD76" s="164"/>
      <c r="JJE76" s="164"/>
      <c r="JJF76" s="164"/>
      <c r="JJG76" s="164"/>
      <c r="JJH76" s="164"/>
      <c r="JJI76" s="164"/>
      <c r="JJJ76" s="164"/>
      <c r="JJK76" s="164"/>
      <c r="JJL76" s="164"/>
      <c r="JJM76" s="164"/>
      <c r="JJN76" s="164"/>
      <c r="JJO76" s="164"/>
      <c r="JJP76" s="164"/>
      <c r="JJQ76" s="164"/>
      <c r="JJR76" s="164"/>
      <c r="JJS76" s="164"/>
      <c r="JJT76" s="164"/>
      <c r="JJU76" s="164"/>
      <c r="JJV76" s="164"/>
      <c r="JJW76" s="164"/>
      <c r="JJX76" s="164"/>
      <c r="JJY76" s="164"/>
      <c r="JJZ76" s="164"/>
      <c r="JKA76" s="164"/>
      <c r="JKB76" s="164"/>
      <c r="JKC76" s="164"/>
      <c r="JKD76" s="164"/>
      <c r="JKE76" s="164"/>
      <c r="JKF76" s="164"/>
      <c r="JKG76" s="164"/>
      <c r="JKH76" s="164"/>
      <c r="JKI76" s="164"/>
      <c r="JKJ76" s="164"/>
      <c r="JKK76" s="164"/>
      <c r="JKL76" s="164"/>
      <c r="JKM76" s="164"/>
      <c r="JKN76" s="164"/>
      <c r="JKO76" s="164"/>
      <c r="JKP76" s="164"/>
      <c r="JKQ76" s="164"/>
      <c r="JKR76" s="164"/>
      <c r="JKS76" s="164"/>
      <c r="JKT76" s="164"/>
      <c r="JKU76" s="164"/>
      <c r="JKV76" s="164"/>
      <c r="JKW76" s="164"/>
      <c r="JKX76" s="164"/>
      <c r="JKY76" s="164"/>
      <c r="JKZ76" s="164"/>
      <c r="JLA76" s="164"/>
      <c r="JLB76" s="164"/>
      <c r="JLC76" s="164"/>
      <c r="JLD76" s="164"/>
      <c r="JLE76" s="164"/>
      <c r="JLF76" s="164"/>
      <c r="JLG76" s="164"/>
      <c r="JLH76" s="164"/>
      <c r="JLI76" s="164"/>
      <c r="JLJ76" s="164"/>
      <c r="JLK76" s="164"/>
      <c r="JLL76" s="164"/>
      <c r="JLM76" s="164"/>
      <c r="JLN76" s="164"/>
      <c r="JLO76" s="164"/>
      <c r="JLP76" s="164"/>
      <c r="JLQ76" s="164"/>
      <c r="JLR76" s="164"/>
      <c r="JLS76" s="164"/>
      <c r="JLT76" s="164"/>
      <c r="JLU76" s="164"/>
      <c r="JLV76" s="164"/>
      <c r="JLW76" s="164"/>
      <c r="JLX76" s="164"/>
      <c r="JLY76" s="164"/>
      <c r="JLZ76" s="164"/>
      <c r="JMA76" s="164"/>
      <c r="JMB76" s="164"/>
      <c r="JMC76" s="164"/>
      <c r="JMD76" s="164"/>
      <c r="JME76" s="164"/>
      <c r="JMF76" s="164"/>
      <c r="JMG76" s="164"/>
      <c r="JMH76" s="164"/>
      <c r="JMI76" s="164"/>
      <c r="JMJ76" s="164"/>
      <c r="JMK76" s="164"/>
      <c r="JML76" s="164"/>
      <c r="JMM76" s="164"/>
      <c r="JMN76" s="164"/>
      <c r="JMO76" s="164"/>
      <c r="JMP76" s="164"/>
      <c r="JMQ76" s="164"/>
      <c r="JMR76" s="164"/>
      <c r="JMS76" s="164"/>
      <c r="JMT76" s="164"/>
      <c r="JMU76" s="164"/>
      <c r="JMV76" s="164"/>
      <c r="JMW76" s="164"/>
      <c r="JMX76" s="164"/>
      <c r="JMY76" s="164"/>
      <c r="JMZ76" s="164"/>
      <c r="JNA76" s="164"/>
      <c r="JNB76" s="164"/>
      <c r="JNC76" s="164"/>
      <c r="JND76" s="164"/>
      <c r="JNE76" s="164"/>
      <c r="JNF76" s="164"/>
      <c r="JNG76" s="164"/>
      <c r="JNH76" s="164"/>
      <c r="JNI76" s="164"/>
      <c r="JNJ76" s="164"/>
      <c r="JNK76" s="164"/>
      <c r="JNL76" s="164"/>
      <c r="JNM76" s="164"/>
      <c r="JNN76" s="164"/>
      <c r="JNO76" s="164"/>
      <c r="JNP76" s="164"/>
      <c r="JNQ76" s="164"/>
      <c r="JNR76" s="164"/>
      <c r="JNS76" s="164"/>
      <c r="JNT76" s="164"/>
      <c r="JNU76" s="164"/>
      <c r="JNV76" s="164"/>
      <c r="JNW76" s="164"/>
      <c r="JNX76" s="164"/>
      <c r="JNY76" s="164"/>
      <c r="JNZ76" s="164"/>
      <c r="JOA76" s="164"/>
      <c r="JOB76" s="164"/>
      <c r="JOC76" s="164"/>
      <c r="JOD76" s="164"/>
      <c r="JOE76" s="164"/>
      <c r="JOF76" s="164"/>
      <c r="JOG76" s="164"/>
      <c r="JOH76" s="164"/>
      <c r="JOI76" s="164"/>
      <c r="JOJ76" s="164"/>
      <c r="JOK76" s="164"/>
      <c r="JOL76" s="164"/>
      <c r="JOM76" s="164"/>
      <c r="JON76" s="164"/>
      <c r="JOO76" s="164"/>
      <c r="JOP76" s="164"/>
      <c r="JOQ76" s="164"/>
      <c r="JOR76" s="164"/>
      <c r="JOS76" s="164"/>
      <c r="JOT76" s="164"/>
      <c r="JOU76" s="164"/>
      <c r="JOV76" s="164"/>
      <c r="JOW76" s="164"/>
      <c r="JOX76" s="164"/>
      <c r="JOY76" s="164"/>
      <c r="JOZ76" s="164"/>
      <c r="JPA76" s="164"/>
      <c r="JPB76" s="164"/>
      <c r="JPC76" s="164"/>
      <c r="JPD76" s="164"/>
      <c r="JPE76" s="164"/>
      <c r="JPF76" s="164"/>
      <c r="JPG76" s="164"/>
      <c r="JPH76" s="164"/>
      <c r="JPI76" s="164"/>
      <c r="JPJ76" s="164"/>
      <c r="JPK76" s="164"/>
      <c r="JPL76" s="164"/>
      <c r="JPM76" s="164"/>
      <c r="JPN76" s="164"/>
      <c r="JPO76" s="164"/>
      <c r="JPP76" s="164"/>
      <c r="JPQ76" s="164"/>
      <c r="JPR76" s="164"/>
      <c r="JPS76" s="164"/>
      <c r="JPT76" s="164"/>
      <c r="JPU76" s="164"/>
      <c r="JPV76" s="164"/>
      <c r="JPW76" s="164"/>
      <c r="JPX76" s="164"/>
      <c r="JPY76" s="164"/>
      <c r="JPZ76" s="164"/>
      <c r="JQA76" s="164"/>
      <c r="JQB76" s="164"/>
      <c r="JQC76" s="164"/>
      <c r="JQD76" s="164"/>
      <c r="JQE76" s="164"/>
      <c r="JQF76" s="164"/>
      <c r="JQG76" s="164"/>
      <c r="JQH76" s="164"/>
      <c r="JQI76" s="164"/>
      <c r="JQJ76" s="164"/>
      <c r="JQK76" s="164"/>
      <c r="JQL76" s="164"/>
      <c r="JQM76" s="164"/>
      <c r="JQN76" s="164"/>
      <c r="JQO76" s="164"/>
      <c r="JQP76" s="164"/>
      <c r="JQQ76" s="164"/>
      <c r="JQR76" s="164"/>
      <c r="JQS76" s="164"/>
      <c r="JQT76" s="164"/>
      <c r="JQU76" s="164"/>
      <c r="JQV76" s="164"/>
      <c r="JQW76" s="164"/>
      <c r="JQX76" s="164"/>
      <c r="JQY76" s="164"/>
      <c r="JQZ76" s="164"/>
      <c r="JRA76" s="164"/>
      <c r="JRB76" s="164"/>
      <c r="JRC76" s="164"/>
      <c r="JRD76" s="164"/>
      <c r="JRE76" s="164"/>
      <c r="JRF76" s="164"/>
      <c r="JRG76" s="164"/>
      <c r="JRH76" s="164"/>
      <c r="JRI76" s="164"/>
      <c r="JRJ76" s="164"/>
      <c r="JRK76" s="164"/>
      <c r="JRL76" s="164"/>
      <c r="JRM76" s="164"/>
      <c r="JRN76" s="164"/>
      <c r="JRO76" s="164"/>
      <c r="JRP76" s="164"/>
      <c r="JRQ76" s="164"/>
      <c r="JRR76" s="164"/>
      <c r="JRS76" s="164"/>
      <c r="JRT76" s="164"/>
      <c r="JRU76" s="164"/>
      <c r="JRV76" s="164"/>
      <c r="JRW76" s="164"/>
      <c r="JRX76" s="164"/>
      <c r="JRY76" s="164"/>
      <c r="JRZ76" s="164"/>
      <c r="JSA76" s="164"/>
      <c r="JSB76" s="164"/>
      <c r="JSC76" s="164"/>
      <c r="JSD76" s="164"/>
      <c r="JSE76" s="164"/>
      <c r="JSF76" s="164"/>
      <c r="JSG76" s="164"/>
      <c r="JSH76" s="164"/>
      <c r="JSI76" s="164"/>
      <c r="JSJ76" s="164"/>
      <c r="JSK76" s="164"/>
      <c r="JSL76" s="164"/>
      <c r="JSM76" s="164"/>
      <c r="JSN76" s="164"/>
      <c r="JSO76" s="164"/>
      <c r="JSP76" s="164"/>
      <c r="JSQ76" s="164"/>
      <c r="JSR76" s="164"/>
      <c r="JSS76" s="164"/>
      <c r="JST76" s="164"/>
      <c r="JSU76" s="164"/>
      <c r="JSV76" s="164"/>
      <c r="JSW76" s="164"/>
      <c r="JSX76" s="164"/>
      <c r="JSY76" s="164"/>
      <c r="JSZ76" s="164"/>
      <c r="JTA76" s="164"/>
      <c r="JTB76" s="164"/>
      <c r="JTC76" s="164"/>
      <c r="JTD76" s="164"/>
      <c r="JTE76" s="164"/>
      <c r="JTF76" s="164"/>
      <c r="JTG76" s="164"/>
      <c r="JTH76" s="164"/>
      <c r="JTI76" s="164"/>
      <c r="JTJ76" s="164"/>
      <c r="JTK76" s="164"/>
      <c r="JTL76" s="164"/>
      <c r="JTM76" s="164"/>
      <c r="JTN76" s="164"/>
      <c r="JTO76" s="164"/>
      <c r="JTP76" s="164"/>
      <c r="JTQ76" s="164"/>
      <c r="JTR76" s="164"/>
      <c r="JTS76" s="164"/>
      <c r="JTT76" s="164"/>
      <c r="JTU76" s="164"/>
      <c r="JTV76" s="164"/>
      <c r="JTW76" s="164"/>
      <c r="JTX76" s="164"/>
      <c r="JTY76" s="164"/>
      <c r="JTZ76" s="164"/>
      <c r="JUA76" s="164"/>
      <c r="JUB76" s="164"/>
      <c r="JUC76" s="164"/>
      <c r="JUD76" s="164"/>
      <c r="JUE76" s="164"/>
      <c r="JUF76" s="164"/>
      <c r="JUG76" s="164"/>
      <c r="JUH76" s="164"/>
      <c r="JUI76" s="164"/>
      <c r="JUJ76" s="164"/>
      <c r="JUK76" s="164"/>
      <c r="JUL76" s="164"/>
      <c r="JUM76" s="164"/>
      <c r="JUN76" s="164"/>
      <c r="JUO76" s="164"/>
      <c r="JUP76" s="164"/>
      <c r="JUQ76" s="164"/>
      <c r="JUR76" s="164"/>
      <c r="JUS76" s="164"/>
      <c r="JUT76" s="164"/>
      <c r="JUU76" s="164"/>
      <c r="JUV76" s="164"/>
      <c r="JUW76" s="164"/>
      <c r="JUX76" s="164"/>
      <c r="JUY76" s="164"/>
      <c r="JUZ76" s="164"/>
      <c r="JVA76" s="164"/>
      <c r="JVB76" s="164"/>
      <c r="JVC76" s="164"/>
      <c r="JVD76" s="164"/>
      <c r="JVE76" s="164"/>
      <c r="JVF76" s="164"/>
      <c r="JVG76" s="164"/>
      <c r="JVH76" s="164"/>
      <c r="JVI76" s="164"/>
      <c r="JVJ76" s="164"/>
      <c r="JVK76" s="164"/>
      <c r="JVL76" s="164"/>
      <c r="JVM76" s="164"/>
      <c r="JVN76" s="164"/>
      <c r="JVO76" s="164"/>
      <c r="JVP76" s="164"/>
      <c r="JVQ76" s="164"/>
      <c r="JVR76" s="164"/>
      <c r="JVS76" s="164"/>
      <c r="JVT76" s="164"/>
      <c r="JVU76" s="164"/>
      <c r="JVV76" s="164"/>
      <c r="JVW76" s="164"/>
      <c r="JVX76" s="164"/>
      <c r="JVY76" s="164"/>
      <c r="JVZ76" s="164"/>
      <c r="JWA76" s="164"/>
      <c r="JWB76" s="164"/>
      <c r="JWC76" s="164"/>
      <c r="JWD76" s="164"/>
      <c r="JWE76" s="164"/>
      <c r="JWF76" s="164"/>
      <c r="JWG76" s="164"/>
      <c r="JWH76" s="164"/>
      <c r="JWI76" s="164"/>
      <c r="JWJ76" s="164"/>
      <c r="JWK76" s="164"/>
      <c r="JWL76" s="164"/>
      <c r="JWM76" s="164"/>
      <c r="JWN76" s="164"/>
      <c r="JWO76" s="164"/>
      <c r="JWP76" s="164"/>
      <c r="JWQ76" s="164"/>
      <c r="JWR76" s="164"/>
      <c r="JWS76" s="164"/>
      <c r="JWT76" s="164"/>
      <c r="JWU76" s="164"/>
      <c r="JWV76" s="164"/>
      <c r="JWW76" s="164"/>
      <c r="JWX76" s="164"/>
      <c r="JWY76" s="164"/>
      <c r="JWZ76" s="164"/>
      <c r="JXA76" s="164"/>
      <c r="JXB76" s="164"/>
      <c r="JXC76" s="164"/>
      <c r="JXD76" s="164"/>
      <c r="JXE76" s="164"/>
      <c r="JXF76" s="164"/>
      <c r="JXG76" s="164"/>
      <c r="JXH76" s="164"/>
      <c r="JXI76" s="164"/>
      <c r="JXJ76" s="164"/>
      <c r="JXK76" s="164"/>
      <c r="JXL76" s="164"/>
      <c r="JXM76" s="164"/>
      <c r="JXN76" s="164"/>
      <c r="JXO76" s="164"/>
      <c r="JXP76" s="164"/>
      <c r="JXQ76" s="164"/>
      <c r="JXR76" s="164"/>
      <c r="JXS76" s="164"/>
      <c r="JXT76" s="164"/>
      <c r="JXU76" s="164"/>
      <c r="JXV76" s="164"/>
      <c r="JXW76" s="164"/>
      <c r="JXX76" s="164"/>
      <c r="JXY76" s="164"/>
      <c r="JXZ76" s="164"/>
      <c r="JYA76" s="164"/>
      <c r="JYB76" s="164"/>
      <c r="JYC76" s="164"/>
      <c r="JYD76" s="164"/>
      <c r="JYE76" s="164"/>
      <c r="JYF76" s="164"/>
      <c r="JYG76" s="164"/>
      <c r="JYH76" s="164"/>
      <c r="JYI76" s="164"/>
      <c r="JYJ76" s="164"/>
      <c r="JYK76" s="164"/>
      <c r="JYL76" s="164"/>
      <c r="JYM76" s="164"/>
      <c r="JYN76" s="164"/>
      <c r="JYO76" s="164"/>
      <c r="JYP76" s="164"/>
      <c r="JYQ76" s="164"/>
      <c r="JYR76" s="164"/>
      <c r="JYS76" s="164"/>
      <c r="JYT76" s="164"/>
      <c r="JYU76" s="164"/>
      <c r="JYV76" s="164"/>
      <c r="JYW76" s="164"/>
      <c r="JYX76" s="164"/>
      <c r="JYY76" s="164"/>
      <c r="JYZ76" s="164"/>
      <c r="JZA76" s="164"/>
      <c r="JZB76" s="164"/>
      <c r="JZC76" s="164"/>
      <c r="JZD76" s="164"/>
      <c r="JZE76" s="164"/>
      <c r="JZF76" s="164"/>
      <c r="JZG76" s="164"/>
      <c r="JZH76" s="164"/>
      <c r="JZI76" s="164"/>
      <c r="JZJ76" s="164"/>
      <c r="JZK76" s="164"/>
      <c r="JZL76" s="164"/>
      <c r="JZM76" s="164"/>
      <c r="JZN76" s="164"/>
      <c r="JZO76" s="164"/>
      <c r="JZP76" s="164"/>
      <c r="JZQ76" s="164"/>
      <c r="JZR76" s="164"/>
      <c r="JZS76" s="164"/>
      <c r="JZT76" s="164"/>
      <c r="JZU76" s="164"/>
      <c r="JZV76" s="164"/>
      <c r="JZW76" s="164"/>
      <c r="JZX76" s="164"/>
      <c r="JZY76" s="164"/>
      <c r="JZZ76" s="164"/>
      <c r="KAA76" s="164"/>
      <c r="KAB76" s="164"/>
      <c r="KAC76" s="164"/>
      <c r="KAD76" s="164"/>
      <c r="KAE76" s="164"/>
      <c r="KAF76" s="164"/>
      <c r="KAG76" s="164"/>
      <c r="KAH76" s="164"/>
      <c r="KAI76" s="164"/>
      <c r="KAJ76" s="164"/>
      <c r="KAK76" s="164"/>
      <c r="KAL76" s="164"/>
      <c r="KAM76" s="164"/>
      <c r="KAN76" s="164"/>
      <c r="KAO76" s="164"/>
      <c r="KAP76" s="164"/>
      <c r="KAQ76" s="164"/>
      <c r="KAR76" s="164"/>
      <c r="KAS76" s="164"/>
      <c r="KAT76" s="164"/>
      <c r="KAU76" s="164"/>
      <c r="KAV76" s="164"/>
      <c r="KAW76" s="164"/>
      <c r="KAX76" s="164"/>
      <c r="KAY76" s="164"/>
      <c r="KAZ76" s="164"/>
      <c r="KBA76" s="164"/>
      <c r="KBB76" s="164"/>
      <c r="KBC76" s="164"/>
      <c r="KBD76" s="164"/>
      <c r="KBE76" s="164"/>
      <c r="KBF76" s="164"/>
      <c r="KBG76" s="164"/>
      <c r="KBH76" s="164"/>
      <c r="KBI76" s="164"/>
      <c r="KBJ76" s="164"/>
      <c r="KBK76" s="164"/>
      <c r="KBL76" s="164"/>
      <c r="KBM76" s="164"/>
      <c r="KBN76" s="164"/>
      <c r="KBO76" s="164"/>
      <c r="KBP76" s="164"/>
      <c r="KBQ76" s="164"/>
      <c r="KBR76" s="164"/>
      <c r="KBS76" s="164"/>
      <c r="KBT76" s="164"/>
      <c r="KBU76" s="164"/>
      <c r="KBV76" s="164"/>
      <c r="KBW76" s="164"/>
      <c r="KBX76" s="164"/>
      <c r="KBY76" s="164"/>
      <c r="KBZ76" s="164"/>
      <c r="KCA76" s="164"/>
      <c r="KCB76" s="164"/>
      <c r="KCC76" s="164"/>
      <c r="KCD76" s="164"/>
      <c r="KCE76" s="164"/>
      <c r="KCF76" s="164"/>
      <c r="KCG76" s="164"/>
      <c r="KCH76" s="164"/>
      <c r="KCI76" s="164"/>
      <c r="KCJ76" s="164"/>
      <c r="KCK76" s="164"/>
      <c r="KCL76" s="164"/>
      <c r="KCM76" s="164"/>
      <c r="KCN76" s="164"/>
      <c r="KCO76" s="164"/>
      <c r="KCP76" s="164"/>
      <c r="KCQ76" s="164"/>
      <c r="KCR76" s="164"/>
      <c r="KCS76" s="164"/>
      <c r="KCT76" s="164"/>
      <c r="KCU76" s="164"/>
      <c r="KCV76" s="164"/>
      <c r="KCW76" s="164"/>
      <c r="KCX76" s="164"/>
      <c r="KCY76" s="164"/>
      <c r="KCZ76" s="164"/>
      <c r="KDA76" s="164"/>
      <c r="KDB76" s="164"/>
      <c r="KDC76" s="164"/>
      <c r="KDD76" s="164"/>
      <c r="KDE76" s="164"/>
      <c r="KDF76" s="164"/>
      <c r="KDG76" s="164"/>
      <c r="KDH76" s="164"/>
      <c r="KDI76" s="164"/>
      <c r="KDJ76" s="164"/>
      <c r="KDK76" s="164"/>
      <c r="KDL76" s="164"/>
      <c r="KDM76" s="164"/>
      <c r="KDN76" s="164"/>
      <c r="KDO76" s="164"/>
      <c r="KDP76" s="164"/>
      <c r="KDQ76" s="164"/>
      <c r="KDR76" s="164"/>
      <c r="KDS76" s="164"/>
      <c r="KDT76" s="164"/>
      <c r="KDU76" s="164"/>
      <c r="KDV76" s="164"/>
      <c r="KDW76" s="164"/>
      <c r="KDX76" s="164"/>
      <c r="KDY76" s="164"/>
      <c r="KDZ76" s="164"/>
      <c r="KEA76" s="164"/>
      <c r="KEB76" s="164"/>
      <c r="KEC76" s="164"/>
      <c r="KED76" s="164"/>
      <c r="KEE76" s="164"/>
      <c r="KEF76" s="164"/>
      <c r="KEG76" s="164"/>
      <c r="KEH76" s="164"/>
      <c r="KEI76" s="164"/>
      <c r="KEJ76" s="164"/>
      <c r="KEK76" s="164"/>
      <c r="KEL76" s="164"/>
      <c r="KEM76" s="164"/>
      <c r="KEN76" s="164"/>
      <c r="KEO76" s="164"/>
      <c r="KEP76" s="164"/>
      <c r="KEQ76" s="164"/>
      <c r="KER76" s="164"/>
      <c r="KES76" s="164"/>
      <c r="KET76" s="164"/>
      <c r="KEU76" s="164"/>
      <c r="KEV76" s="164"/>
      <c r="KEW76" s="164"/>
      <c r="KEX76" s="164"/>
      <c r="KEY76" s="164"/>
      <c r="KEZ76" s="164"/>
      <c r="KFA76" s="164"/>
      <c r="KFB76" s="164"/>
      <c r="KFC76" s="164"/>
      <c r="KFD76" s="164"/>
      <c r="KFE76" s="164"/>
      <c r="KFF76" s="164"/>
      <c r="KFG76" s="164"/>
      <c r="KFH76" s="164"/>
      <c r="KFI76" s="164"/>
      <c r="KFJ76" s="164"/>
      <c r="KFK76" s="164"/>
      <c r="KFL76" s="164"/>
      <c r="KFM76" s="164"/>
      <c r="KFN76" s="164"/>
      <c r="KFO76" s="164"/>
      <c r="KFP76" s="164"/>
      <c r="KFQ76" s="164"/>
      <c r="KFR76" s="164"/>
      <c r="KFS76" s="164"/>
      <c r="KFT76" s="164"/>
      <c r="KFU76" s="164"/>
      <c r="KFV76" s="164"/>
      <c r="KFW76" s="164"/>
      <c r="KFX76" s="164"/>
      <c r="KFY76" s="164"/>
      <c r="KFZ76" s="164"/>
      <c r="KGA76" s="164"/>
      <c r="KGB76" s="164"/>
      <c r="KGC76" s="164"/>
      <c r="KGD76" s="164"/>
      <c r="KGE76" s="164"/>
      <c r="KGF76" s="164"/>
      <c r="KGG76" s="164"/>
      <c r="KGH76" s="164"/>
      <c r="KGI76" s="164"/>
      <c r="KGJ76" s="164"/>
      <c r="KGK76" s="164"/>
      <c r="KGL76" s="164"/>
      <c r="KGM76" s="164"/>
      <c r="KGN76" s="164"/>
      <c r="KGO76" s="164"/>
      <c r="KGP76" s="164"/>
      <c r="KGQ76" s="164"/>
      <c r="KGR76" s="164"/>
      <c r="KGS76" s="164"/>
      <c r="KGT76" s="164"/>
      <c r="KGU76" s="164"/>
      <c r="KGV76" s="164"/>
      <c r="KGW76" s="164"/>
      <c r="KGX76" s="164"/>
      <c r="KGY76" s="164"/>
      <c r="KGZ76" s="164"/>
      <c r="KHA76" s="164"/>
      <c r="KHB76" s="164"/>
      <c r="KHC76" s="164"/>
      <c r="KHD76" s="164"/>
      <c r="KHE76" s="164"/>
      <c r="KHF76" s="164"/>
      <c r="KHG76" s="164"/>
      <c r="KHH76" s="164"/>
      <c r="KHI76" s="164"/>
      <c r="KHJ76" s="164"/>
      <c r="KHK76" s="164"/>
      <c r="KHL76" s="164"/>
      <c r="KHM76" s="164"/>
      <c r="KHN76" s="164"/>
      <c r="KHO76" s="164"/>
      <c r="KHP76" s="164"/>
      <c r="KHQ76" s="164"/>
      <c r="KHR76" s="164"/>
      <c r="KHS76" s="164"/>
      <c r="KHT76" s="164"/>
      <c r="KHU76" s="164"/>
      <c r="KHV76" s="164"/>
      <c r="KHW76" s="164"/>
      <c r="KHX76" s="164"/>
      <c r="KHY76" s="164"/>
      <c r="KHZ76" s="164"/>
      <c r="KIA76" s="164"/>
      <c r="KIB76" s="164"/>
      <c r="KIC76" s="164"/>
      <c r="KID76" s="164"/>
      <c r="KIE76" s="164"/>
      <c r="KIF76" s="164"/>
      <c r="KIG76" s="164"/>
      <c r="KIH76" s="164"/>
      <c r="KII76" s="164"/>
      <c r="KIJ76" s="164"/>
      <c r="KIK76" s="164"/>
      <c r="KIL76" s="164"/>
      <c r="KIM76" s="164"/>
      <c r="KIN76" s="164"/>
      <c r="KIO76" s="164"/>
      <c r="KIP76" s="164"/>
      <c r="KIQ76" s="164"/>
      <c r="KIR76" s="164"/>
      <c r="KIS76" s="164"/>
      <c r="KIT76" s="164"/>
      <c r="KIU76" s="164"/>
      <c r="KIV76" s="164"/>
      <c r="KIW76" s="164"/>
      <c r="KIX76" s="164"/>
      <c r="KIY76" s="164"/>
      <c r="KIZ76" s="164"/>
      <c r="KJA76" s="164"/>
      <c r="KJB76" s="164"/>
      <c r="KJC76" s="164"/>
      <c r="KJD76" s="164"/>
      <c r="KJE76" s="164"/>
      <c r="KJF76" s="164"/>
      <c r="KJG76" s="164"/>
      <c r="KJH76" s="164"/>
      <c r="KJI76" s="164"/>
      <c r="KJJ76" s="164"/>
      <c r="KJK76" s="164"/>
      <c r="KJL76" s="164"/>
      <c r="KJM76" s="164"/>
      <c r="KJN76" s="164"/>
      <c r="KJO76" s="164"/>
      <c r="KJP76" s="164"/>
      <c r="KJQ76" s="164"/>
      <c r="KJR76" s="164"/>
      <c r="KJS76" s="164"/>
      <c r="KJT76" s="164"/>
      <c r="KJU76" s="164"/>
      <c r="KJV76" s="164"/>
      <c r="KJW76" s="164"/>
      <c r="KJX76" s="164"/>
      <c r="KJY76" s="164"/>
      <c r="KJZ76" s="164"/>
      <c r="KKA76" s="164"/>
      <c r="KKB76" s="164"/>
      <c r="KKC76" s="164"/>
      <c r="KKD76" s="164"/>
      <c r="KKE76" s="164"/>
      <c r="KKF76" s="164"/>
      <c r="KKG76" s="164"/>
      <c r="KKH76" s="164"/>
      <c r="KKI76" s="164"/>
      <c r="KKJ76" s="164"/>
      <c r="KKK76" s="164"/>
      <c r="KKL76" s="164"/>
      <c r="KKM76" s="164"/>
      <c r="KKN76" s="164"/>
      <c r="KKO76" s="164"/>
      <c r="KKP76" s="164"/>
      <c r="KKQ76" s="164"/>
      <c r="KKR76" s="164"/>
      <c r="KKS76" s="164"/>
      <c r="KKT76" s="164"/>
      <c r="KKU76" s="164"/>
      <c r="KKV76" s="164"/>
      <c r="KKW76" s="164"/>
      <c r="KKX76" s="164"/>
      <c r="KKY76" s="164"/>
      <c r="KKZ76" s="164"/>
      <c r="KLA76" s="164"/>
      <c r="KLB76" s="164"/>
      <c r="KLC76" s="164"/>
      <c r="KLD76" s="164"/>
      <c r="KLE76" s="164"/>
      <c r="KLF76" s="164"/>
      <c r="KLG76" s="164"/>
      <c r="KLH76" s="164"/>
      <c r="KLI76" s="164"/>
      <c r="KLJ76" s="164"/>
      <c r="KLK76" s="164"/>
      <c r="KLL76" s="164"/>
      <c r="KLM76" s="164"/>
      <c r="KLN76" s="164"/>
      <c r="KLO76" s="164"/>
      <c r="KLP76" s="164"/>
      <c r="KLQ76" s="164"/>
      <c r="KLR76" s="164"/>
      <c r="KLS76" s="164"/>
      <c r="KLT76" s="164"/>
      <c r="KLU76" s="164"/>
      <c r="KLV76" s="164"/>
      <c r="KLW76" s="164"/>
      <c r="KLX76" s="164"/>
      <c r="KLY76" s="164"/>
      <c r="KLZ76" s="164"/>
      <c r="KMA76" s="164"/>
      <c r="KMB76" s="164"/>
      <c r="KMC76" s="164"/>
      <c r="KMD76" s="164"/>
      <c r="KME76" s="164"/>
      <c r="KMF76" s="164"/>
      <c r="KMG76" s="164"/>
      <c r="KMH76" s="164"/>
      <c r="KMI76" s="164"/>
      <c r="KMJ76" s="164"/>
      <c r="KMK76" s="164"/>
      <c r="KML76" s="164"/>
      <c r="KMM76" s="164"/>
      <c r="KMN76" s="164"/>
      <c r="KMO76" s="164"/>
      <c r="KMP76" s="164"/>
      <c r="KMQ76" s="164"/>
      <c r="KMR76" s="164"/>
      <c r="KMS76" s="164"/>
      <c r="KMT76" s="164"/>
      <c r="KMU76" s="164"/>
      <c r="KMV76" s="164"/>
      <c r="KMW76" s="164"/>
      <c r="KMX76" s="164"/>
      <c r="KMY76" s="164"/>
      <c r="KMZ76" s="164"/>
      <c r="KNA76" s="164"/>
      <c r="KNB76" s="164"/>
      <c r="KNC76" s="164"/>
      <c r="KND76" s="164"/>
      <c r="KNE76" s="164"/>
      <c r="KNF76" s="164"/>
      <c r="KNG76" s="164"/>
      <c r="KNH76" s="164"/>
      <c r="KNI76" s="164"/>
      <c r="KNJ76" s="164"/>
      <c r="KNK76" s="164"/>
      <c r="KNL76" s="164"/>
      <c r="KNM76" s="164"/>
      <c r="KNN76" s="164"/>
      <c r="KNO76" s="164"/>
      <c r="KNP76" s="164"/>
      <c r="KNQ76" s="164"/>
      <c r="KNR76" s="164"/>
      <c r="KNS76" s="164"/>
      <c r="KNT76" s="164"/>
      <c r="KNU76" s="164"/>
      <c r="KNV76" s="164"/>
      <c r="KNW76" s="164"/>
      <c r="KNX76" s="164"/>
      <c r="KNY76" s="164"/>
      <c r="KNZ76" s="164"/>
      <c r="KOA76" s="164"/>
      <c r="KOB76" s="164"/>
      <c r="KOC76" s="164"/>
      <c r="KOD76" s="164"/>
      <c r="KOE76" s="164"/>
      <c r="KOF76" s="164"/>
      <c r="KOG76" s="164"/>
      <c r="KOH76" s="164"/>
      <c r="KOI76" s="164"/>
      <c r="KOJ76" s="164"/>
      <c r="KOK76" s="164"/>
      <c r="KOL76" s="164"/>
      <c r="KOM76" s="164"/>
      <c r="KON76" s="164"/>
      <c r="KOO76" s="164"/>
      <c r="KOP76" s="164"/>
      <c r="KOQ76" s="164"/>
      <c r="KOR76" s="164"/>
      <c r="KOS76" s="164"/>
      <c r="KOT76" s="164"/>
      <c r="KOU76" s="164"/>
      <c r="KOV76" s="164"/>
      <c r="KOW76" s="164"/>
      <c r="KOX76" s="164"/>
      <c r="KOY76" s="164"/>
      <c r="KOZ76" s="164"/>
      <c r="KPA76" s="164"/>
      <c r="KPB76" s="164"/>
      <c r="KPC76" s="164"/>
      <c r="KPD76" s="164"/>
      <c r="KPE76" s="164"/>
      <c r="KPF76" s="164"/>
      <c r="KPG76" s="164"/>
      <c r="KPH76" s="164"/>
      <c r="KPI76" s="164"/>
      <c r="KPJ76" s="164"/>
      <c r="KPK76" s="164"/>
      <c r="KPL76" s="164"/>
      <c r="KPM76" s="164"/>
      <c r="KPN76" s="164"/>
      <c r="KPO76" s="164"/>
      <c r="KPP76" s="164"/>
      <c r="KPQ76" s="164"/>
      <c r="KPR76" s="164"/>
      <c r="KPS76" s="164"/>
      <c r="KPT76" s="164"/>
      <c r="KPU76" s="164"/>
      <c r="KPV76" s="164"/>
      <c r="KPW76" s="164"/>
      <c r="KPX76" s="164"/>
      <c r="KPY76" s="164"/>
      <c r="KPZ76" s="164"/>
      <c r="KQA76" s="164"/>
      <c r="KQB76" s="164"/>
      <c r="KQC76" s="164"/>
      <c r="KQD76" s="164"/>
      <c r="KQE76" s="164"/>
      <c r="KQF76" s="164"/>
      <c r="KQG76" s="164"/>
      <c r="KQH76" s="164"/>
      <c r="KQI76" s="164"/>
      <c r="KQJ76" s="164"/>
      <c r="KQK76" s="164"/>
      <c r="KQL76" s="164"/>
      <c r="KQM76" s="164"/>
      <c r="KQN76" s="164"/>
      <c r="KQO76" s="164"/>
      <c r="KQP76" s="164"/>
      <c r="KQQ76" s="164"/>
      <c r="KQR76" s="164"/>
      <c r="KQS76" s="164"/>
      <c r="KQT76" s="164"/>
      <c r="KQU76" s="164"/>
      <c r="KQV76" s="164"/>
      <c r="KQW76" s="164"/>
      <c r="KQX76" s="164"/>
      <c r="KQY76" s="164"/>
      <c r="KQZ76" s="164"/>
      <c r="KRA76" s="164"/>
      <c r="KRB76" s="164"/>
      <c r="KRC76" s="164"/>
      <c r="KRD76" s="164"/>
      <c r="KRE76" s="164"/>
      <c r="KRF76" s="164"/>
      <c r="KRG76" s="164"/>
      <c r="KRH76" s="164"/>
      <c r="KRI76" s="164"/>
      <c r="KRJ76" s="164"/>
      <c r="KRK76" s="164"/>
      <c r="KRL76" s="164"/>
      <c r="KRM76" s="164"/>
      <c r="KRN76" s="164"/>
      <c r="KRO76" s="164"/>
      <c r="KRP76" s="164"/>
      <c r="KRQ76" s="164"/>
      <c r="KRR76" s="164"/>
      <c r="KRS76" s="164"/>
      <c r="KRT76" s="164"/>
      <c r="KRU76" s="164"/>
      <c r="KRV76" s="164"/>
      <c r="KRW76" s="164"/>
      <c r="KRX76" s="164"/>
      <c r="KRY76" s="164"/>
      <c r="KRZ76" s="164"/>
      <c r="KSA76" s="164"/>
      <c r="KSB76" s="164"/>
      <c r="KSC76" s="164"/>
      <c r="KSD76" s="164"/>
      <c r="KSE76" s="164"/>
      <c r="KSF76" s="164"/>
      <c r="KSG76" s="164"/>
      <c r="KSH76" s="164"/>
      <c r="KSI76" s="164"/>
      <c r="KSJ76" s="164"/>
      <c r="KSK76" s="164"/>
      <c r="KSL76" s="164"/>
      <c r="KSM76" s="164"/>
      <c r="KSN76" s="164"/>
      <c r="KSO76" s="164"/>
      <c r="KSP76" s="164"/>
      <c r="KSQ76" s="164"/>
      <c r="KSR76" s="164"/>
      <c r="KSS76" s="164"/>
      <c r="KST76" s="164"/>
      <c r="KSU76" s="164"/>
      <c r="KSV76" s="164"/>
      <c r="KSW76" s="164"/>
      <c r="KSX76" s="164"/>
      <c r="KSY76" s="164"/>
      <c r="KSZ76" s="164"/>
      <c r="KTA76" s="164"/>
      <c r="KTB76" s="164"/>
      <c r="KTC76" s="164"/>
      <c r="KTD76" s="164"/>
      <c r="KTE76" s="164"/>
      <c r="KTF76" s="164"/>
      <c r="KTG76" s="164"/>
      <c r="KTH76" s="164"/>
      <c r="KTI76" s="164"/>
      <c r="KTJ76" s="164"/>
      <c r="KTK76" s="164"/>
      <c r="KTL76" s="164"/>
      <c r="KTM76" s="164"/>
      <c r="KTN76" s="164"/>
      <c r="KTO76" s="164"/>
      <c r="KTP76" s="164"/>
      <c r="KTQ76" s="164"/>
      <c r="KTR76" s="164"/>
      <c r="KTS76" s="164"/>
      <c r="KTT76" s="164"/>
      <c r="KTU76" s="164"/>
      <c r="KTV76" s="164"/>
      <c r="KTW76" s="164"/>
      <c r="KTX76" s="164"/>
      <c r="KTY76" s="164"/>
      <c r="KTZ76" s="164"/>
      <c r="KUA76" s="164"/>
      <c r="KUB76" s="164"/>
      <c r="KUC76" s="164"/>
      <c r="KUD76" s="164"/>
      <c r="KUE76" s="164"/>
      <c r="KUF76" s="164"/>
      <c r="KUG76" s="164"/>
      <c r="KUH76" s="164"/>
      <c r="KUI76" s="164"/>
      <c r="KUJ76" s="164"/>
      <c r="KUK76" s="164"/>
      <c r="KUL76" s="164"/>
      <c r="KUM76" s="164"/>
      <c r="KUN76" s="164"/>
      <c r="KUO76" s="164"/>
      <c r="KUP76" s="164"/>
      <c r="KUQ76" s="164"/>
      <c r="KUR76" s="164"/>
      <c r="KUS76" s="164"/>
      <c r="KUT76" s="164"/>
      <c r="KUU76" s="164"/>
      <c r="KUV76" s="164"/>
      <c r="KUW76" s="164"/>
      <c r="KUX76" s="164"/>
      <c r="KUY76" s="164"/>
      <c r="KUZ76" s="164"/>
      <c r="KVA76" s="164"/>
      <c r="KVB76" s="164"/>
      <c r="KVC76" s="164"/>
      <c r="KVD76" s="164"/>
      <c r="KVE76" s="164"/>
      <c r="KVF76" s="164"/>
      <c r="KVG76" s="164"/>
      <c r="KVH76" s="164"/>
      <c r="KVI76" s="164"/>
      <c r="KVJ76" s="164"/>
      <c r="KVK76" s="164"/>
      <c r="KVL76" s="164"/>
      <c r="KVM76" s="164"/>
      <c r="KVN76" s="164"/>
      <c r="KVO76" s="164"/>
      <c r="KVP76" s="164"/>
      <c r="KVQ76" s="164"/>
      <c r="KVR76" s="164"/>
      <c r="KVS76" s="164"/>
      <c r="KVT76" s="164"/>
      <c r="KVU76" s="164"/>
      <c r="KVV76" s="164"/>
      <c r="KVW76" s="164"/>
      <c r="KVX76" s="164"/>
      <c r="KVY76" s="164"/>
      <c r="KVZ76" s="164"/>
      <c r="KWA76" s="164"/>
      <c r="KWB76" s="164"/>
      <c r="KWC76" s="164"/>
      <c r="KWD76" s="164"/>
      <c r="KWE76" s="164"/>
      <c r="KWF76" s="164"/>
      <c r="KWG76" s="164"/>
      <c r="KWH76" s="164"/>
      <c r="KWI76" s="164"/>
      <c r="KWJ76" s="164"/>
      <c r="KWK76" s="164"/>
      <c r="KWL76" s="164"/>
      <c r="KWM76" s="164"/>
      <c r="KWN76" s="164"/>
      <c r="KWO76" s="164"/>
      <c r="KWP76" s="164"/>
      <c r="KWQ76" s="164"/>
      <c r="KWR76" s="164"/>
      <c r="KWS76" s="164"/>
      <c r="KWT76" s="164"/>
      <c r="KWU76" s="164"/>
      <c r="KWV76" s="164"/>
      <c r="KWW76" s="164"/>
      <c r="KWX76" s="164"/>
      <c r="KWY76" s="164"/>
      <c r="KWZ76" s="164"/>
      <c r="KXA76" s="164"/>
      <c r="KXB76" s="164"/>
      <c r="KXC76" s="164"/>
      <c r="KXD76" s="164"/>
      <c r="KXE76" s="164"/>
      <c r="KXF76" s="164"/>
      <c r="KXG76" s="164"/>
      <c r="KXH76" s="164"/>
      <c r="KXI76" s="164"/>
      <c r="KXJ76" s="164"/>
      <c r="KXK76" s="164"/>
      <c r="KXL76" s="164"/>
      <c r="KXM76" s="164"/>
      <c r="KXN76" s="164"/>
      <c r="KXO76" s="164"/>
      <c r="KXP76" s="164"/>
      <c r="KXQ76" s="164"/>
      <c r="KXR76" s="164"/>
      <c r="KXS76" s="164"/>
      <c r="KXT76" s="164"/>
      <c r="KXU76" s="164"/>
      <c r="KXV76" s="164"/>
      <c r="KXW76" s="164"/>
      <c r="KXX76" s="164"/>
      <c r="KXY76" s="164"/>
      <c r="KXZ76" s="164"/>
      <c r="KYA76" s="164"/>
      <c r="KYB76" s="164"/>
      <c r="KYC76" s="164"/>
      <c r="KYD76" s="164"/>
      <c r="KYE76" s="164"/>
      <c r="KYF76" s="164"/>
      <c r="KYG76" s="164"/>
      <c r="KYH76" s="164"/>
      <c r="KYI76" s="164"/>
      <c r="KYJ76" s="164"/>
      <c r="KYK76" s="164"/>
      <c r="KYL76" s="164"/>
      <c r="KYM76" s="164"/>
      <c r="KYN76" s="164"/>
      <c r="KYO76" s="164"/>
      <c r="KYP76" s="164"/>
      <c r="KYQ76" s="164"/>
      <c r="KYR76" s="164"/>
      <c r="KYS76" s="164"/>
      <c r="KYT76" s="164"/>
      <c r="KYU76" s="164"/>
      <c r="KYV76" s="164"/>
      <c r="KYW76" s="164"/>
      <c r="KYX76" s="164"/>
      <c r="KYY76" s="164"/>
      <c r="KYZ76" s="164"/>
      <c r="KZA76" s="164"/>
      <c r="KZB76" s="164"/>
      <c r="KZC76" s="164"/>
      <c r="KZD76" s="164"/>
      <c r="KZE76" s="164"/>
      <c r="KZF76" s="164"/>
      <c r="KZG76" s="164"/>
      <c r="KZH76" s="164"/>
      <c r="KZI76" s="164"/>
      <c r="KZJ76" s="164"/>
      <c r="KZK76" s="164"/>
      <c r="KZL76" s="164"/>
      <c r="KZM76" s="164"/>
      <c r="KZN76" s="164"/>
      <c r="KZO76" s="164"/>
      <c r="KZP76" s="164"/>
      <c r="KZQ76" s="164"/>
      <c r="KZR76" s="164"/>
      <c r="KZS76" s="164"/>
      <c r="KZT76" s="164"/>
      <c r="KZU76" s="164"/>
      <c r="KZV76" s="164"/>
      <c r="KZW76" s="164"/>
      <c r="KZX76" s="164"/>
      <c r="KZY76" s="164"/>
      <c r="KZZ76" s="164"/>
      <c r="LAA76" s="164"/>
      <c r="LAB76" s="164"/>
      <c r="LAC76" s="164"/>
      <c r="LAD76" s="164"/>
      <c r="LAE76" s="164"/>
      <c r="LAF76" s="164"/>
      <c r="LAG76" s="164"/>
      <c r="LAH76" s="164"/>
      <c r="LAI76" s="164"/>
      <c r="LAJ76" s="164"/>
      <c r="LAK76" s="164"/>
      <c r="LAL76" s="164"/>
      <c r="LAM76" s="164"/>
      <c r="LAN76" s="164"/>
      <c r="LAO76" s="164"/>
      <c r="LAP76" s="164"/>
      <c r="LAQ76" s="164"/>
      <c r="LAR76" s="164"/>
      <c r="LAS76" s="164"/>
      <c r="LAT76" s="164"/>
      <c r="LAU76" s="164"/>
      <c r="LAV76" s="164"/>
      <c r="LAW76" s="164"/>
      <c r="LAX76" s="164"/>
      <c r="LAY76" s="164"/>
      <c r="LAZ76" s="164"/>
      <c r="LBA76" s="164"/>
      <c r="LBB76" s="164"/>
      <c r="LBC76" s="164"/>
      <c r="LBD76" s="164"/>
      <c r="LBE76" s="164"/>
      <c r="LBF76" s="164"/>
      <c r="LBG76" s="164"/>
      <c r="LBH76" s="164"/>
      <c r="LBI76" s="164"/>
      <c r="LBJ76" s="164"/>
      <c r="LBK76" s="164"/>
      <c r="LBL76" s="164"/>
      <c r="LBM76" s="164"/>
      <c r="LBN76" s="164"/>
      <c r="LBO76" s="164"/>
      <c r="LBP76" s="164"/>
      <c r="LBQ76" s="164"/>
      <c r="LBR76" s="164"/>
      <c r="LBS76" s="164"/>
      <c r="LBT76" s="164"/>
      <c r="LBU76" s="164"/>
      <c r="LBV76" s="164"/>
      <c r="LBW76" s="164"/>
      <c r="LBX76" s="164"/>
      <c r="LBY76" s="164"/>
      <c r="LBZ76" s="164"/>
      <c r="LCA76" s="164"/>
      <c r="LCB76" s="164"/>
      <c r="LCC76" s="164"/>
      <c r="LCD76" s="164"/>
      <c r="LCE76" s="164"/>
      <c r="LCF76" s="164"/>
      <c r="LCG76" s="164"/>
      <c r="LCH76" s="164"/>
      <c r="LCI76" s="164"/>
      <c r="LCJ76" s="164"/>
      <c r="LCK76" s="164"/>
      <c r="LCL76" s="164"/>
      <c r="LCM76" s="164"/>
      <c r="LCN76" s="164"/>
      <c r="LCO76" s="164"/>
      <c r="LCP76" s="164"/>
      <c r="LCQ76" s="164"/>
      <c r="LCR76" s="164"/>
      <c r="LCS76" s="164"/>
      <c r="LCT76" s="164"/>
      <c r="LCU76" s="164"/>
      <c r="LCV76" s="164"/>
      <c r="LCW76" s="164"/>
      <c r="LCX76" s="164"/>
      <c r="LCY76" s="164"/>
      <c r="LCZ76" s="164"/>
      <c r="LDA76" s="164"/>
      <c r="LDB76" s="164"/>
      <c r="LDC76" s="164"/>
      <c r="LDD76" s="164"/>
      <c r="LDE76" s="164"/>
      <c r="LDF76" s="164"/>
      <c r="LDG76" s="164"/>
      <c r="LDH76" s="164"/>
      <c r="LDI76" s="164"/>
      <c r="LDJ76" s="164"/>
      <c r="LDK76" s="164"/>
      <c r="LDL76" s="164"/>
      <c r="LDM76" s="164"/>
      <c r="LDN76" s="164"/>
      <c r="LDO76" s="164"/>
      <c r="LDP76" s="164"/>
      <c r="LDQ76" s="164"/>
      <c r="LDR76" s="164"/>
      <c r="LDS76" s="164"/>
      <c r="LDT76" s="164"/>
      <c r="LDU76" s="164"/>
      <c r="LDV76" s="164"/>
      <c r="LDW76" s="164"/>
      <c r="LDX76" s="164"/>
      <c r="LDY76" s="164"/>
      <c r="LDZ76" s="164"/>
      <c r="LEA76" s="164"/>
      <c r="LEB76" s="164"/>
      <c r="LEC76" s="164"/>
      <c r="LED76" s="164"/>
      <c r="LEE76" s="164"/>
      <c r="LEF76" s="164"/>
      <c r="LEG76" s="164"/>
      <c r="LEH76" s="164"/>
      <c r="LEI76" s="164"/>
      <c r="LEJ76" s="164"/>
      <c r="LEK76" s="164"/>
      <c r="LEL76" s="164"/>
      <c r="LEM76" s="164"/>
      <c r="LEN76" s="164"/>
      <c r="LEO76" s="164"/>
      <c r="LEP76" s="164"/>
      <c r="LEQ76" s="164"/>
      <c r="LER76" s="164"/>
      <c r="LES76" s="164"/>
      <c r="LET76" s="164"/>
      <c r="LEU76" s="164"/>
      <c r="LEV76" s="164"/>
      <c r="LEW76" s="164"/>
      <c r="LEX76" s="164"/>
      <c r="LEY76" s="164"/>
      <c r="LEZ76" s="164"/>
      <c r="LFA76" s="164"/>
      <c r="LFB76" s="164"/>
      <c r="LFC76" s="164"/>
      <c r="LFD76" s="164"/>
      <c r="LFE76" s="164"/>
      <c r="LFF76" s="164"/>
      <c r="LFG76" s="164"/>
      <c r="LFH76" s="164"/>
      <c r="LFI76" s="164"/>
      <c r="LFJ76" s="164"/>
      <c r="LFK76" s="164"/>
      <c r="LFL76" s="164"/>
      <c r="LFM76" s="164"/>
      <c r="LFN76" s="164"/>
      <c r="LFO76" s="164"/>
      <c r="LFP76" s="164"/>
      <c r="LFQ76" s="164"/>
      <c r="LFR76" s="164"/>
      <c r="LFS76" s="164"/>
      <c r="LFT76" s="164"/>
      <c r="LFU76" s="164"/>
      <c r="LFV76" s="164"/>
      <c r="LFW76" s="164"/>
      <c r="LFX76" s="164"/>
      <c r="LFY76" s="164"/>
      <c r="LFZ76" s="164"/>
      <c r="LGA76" s="164"/>
      <c r="LGB76" s="164"/>
      <c r="LGC76" s="164"/>
      <c r="LGD76" s="164"/>
      <c r="LGE76" s="164"/>
      <c r="LGF76" s="164"/>
      <c r="LGG76" s="164"/>
      <c r="LGH76" s="164"/>
      <c r="LGI76" s="164"/>
      <c r="LGJ76" s="164"/>
      <c r="LGK76" s="164"/>
      <c r="LGL76" s="164"/>
      <c r="LGM76" s="164"/>
      <c r="LGN76" s="164"/>
      <c r="LGO76" s="164"/>
      <c r="LGP76" s="164"/>
      <c r="LGQ76" s="164"/>
      <c r="LGR76" s="164"/>
      <c r="LGS76" s="164"/>
      <c r="LGT76" s="164"/>
      <c r="LGU76" s="164"/>
      <c r="LGV76" s="164"/>
      <c r="LGW76" s="164"/>
      <c r="LGX76" s="164"/>
      <c r="LGY76" s="164"/>
      <c r="LGZ76" s="164"/>
      <c r="LHA76" s="164"/>
      <c r="LHB76" s="164"/>
      <c r="LHC76" s="164"/>
      <c r="LHD76" s="164"/>
      <c r="LHE76" s="164"/>
      <c r="LHF76" s="164"/>
      <c r="LHG76" s="164"/>
      <c r="LHH76" s="164"/>
      <c r="LHI76" s="164"/>
      <c r="LHJ76" s="164"/>
      <c r="LHK76" s="164"/>
      <c r="LHL76" s="164"/>
      <c r="LHM76" s="164"/>
      <c r="LHN76" s="164"/>
      <c r="LHO76" s="164"/>
      <c r="LHP76" s="164"/>
      <c r="LHQ76" s="164"/>
      <c r="LHR76" s="164"/>
      <c r="LHS76" s="164"/>
      <c r="LHT76" s="164"/>
      <c r="LHU76" s="164"/>
      <c r="LHV76" s="164"/>
      <c r="LHW76" s="164"/>
      <c r="LHX76" s="164"/>
      <c r="LHY76" s="164"/>
      <c r="LHZ76" s="164"/>
      <c r="LIA76" s="164"/>
      <c r="LIB76" s="164"/>
      <c r="LIC76" s="164"/>
      <c r="LID76" s="164"/>
      <c r="LIE76" s="164"/>
      <c r="LIF76" s="164"/>
      <c r="LIG76" s="164"/>
      <c r="LIH76" s="164"/>
      <c r="LII76" s="164"/>
      <c r="LIJ76" s="164"/>
      <c r="LIK76" s="164"/>
      <c r="LIL76" s="164"/>
      <c r="LIM76" s="164"/>
      <c r="LIN76" s="164"/>
      <c r="LIO76" s="164"/>
      <c r="LIP76" s="164"/>
      <c r="LIQ76" s="164"/>
      <c r="LIR76" s="164"/>
      <c r="LIS76" s="164"/>
      <c r="LIT76" s="164"/>
      <c r="LIU76" s="164"/>
      <c r="LIV76" s="164"/>
      <c r="LIW76" s="164"/>
      <c r="LIX76" s="164"/>
      <c r="LIY76" s="164"/>
      <c r="LIZ76" s="164"/>
      <c r="LJA76" s="164"/>
      <c r="LJB76" s="164"/>
      <c r="LJC76" s="164"/>
      <c r="LJD76" s="164"/>
      <c r="LJE76" s="164"/>
      <c r="LJF76" s="164"/>
      <c r="LJG76" s="164"/>
      <c r="LJH76" s="164"/>
      <c r="LJI76" s="164"/>
      <c r="LJJ76" s="164"/>
      <c r="LJK76" s="164"/>
      <c r="LJL76" s="164"/>
      <c r="LJM76" s="164"/>
      <c r="LJN76" s="164"/>
      <c r="LJO76" s="164"/>
      <c r="LJP76" s="164"/>
      <c r="LJQ76" s="164"/>
      <c r="LJR76" s="164"/>
      <c r="LJS76" s="164"/>
      <c r="LJT76" s="164"/>
      <c r="LJU76" s="164"/>
      <c r="LJV76" s="164"/>
      <c r="LJW76" s="164"/>
      <c r="LJX76" s="164"/>
      <c r="LJY76" s="164"/>
      <c r="LJZ76" s="164"/>
      <c r="LKA76" s="164"/>
      <c r="LKB76" s="164"/>
      <c r="LKC76" s="164"/>
      <c r="LKD76" s="164"/>
      <c r="LKE76" s="164"/>
      <c r="LKF76" s="164"/>
      <c r="LKG76" s="164"/>
      <c r="LKH76" s="164"/>
      <c r="LKI76" s="164"/>
      <c r="LKJ76" s="164"/>
      <c r="LKK76" s="164"/>
      <c r="LKL76" s="164"/>
      <c r="LKM76" s="164"/>
      <c r="LKN76" s="164"/>
      <c r="LKO76" s="164"/>
      <c r="LKP76" s="164"/>
      <c r="LKQ76" s="164"/>
      <c r="LKR76" s="164"/>
      <c r="LKS76" s="164"/>
      <c r="LKT76" s="164"/>
      <c r="LKU76" s="164"/>
      <c r="LKV76" s="164"/>
      <c r="LKW76" s="164"/>
      <c r="LKX76" s="164"/>
      <c r="LKY76" s="164"/>
      <c r="LKZ76" s="164"/>
      <c r="LLA76" s="164"/>
      <c r="LLB76" s="164"/>
      <c r="LLC76" s="164"/>
      <c r="LLD76" s="164"/>
      <c r="LLE76" s="164"/>
      <c r="LLF76" s="164"/>
      <c r="LLG76" s="164"/>
      <c r="LLH76" s="164"/>
      <c r="LLI76" s="164"/>
      <c r="LLJ76" s="164"/>
      <c r="LLK76" s="164"/>
      <c r="LLL76" s="164"/>
      <c r="LLM76" s="164"/>
      <c r="LLN76" s="164"/>
      <c r="LLO76" s="164"/>
      <c r="LLP76" s="164"/>
      <c r="LLQ76" s="164"/>
      <c r="LLR76" s="164"/>
      <c r="LLS76" s="164"/>
      <c r="LLT76" s="164"/>
      <c r="LLU76" s="164"/>
      <c r="LLV76" s="164"/>
      <c r="LLW76" s="164"/>
      <c r="LLX76" s="164"/>
      <c r="LLY76" s="164"/>
      <c r="LLZ76" s="164"/>
      <c r="LMA76" s="164"/>
      <c r="LMB76" s="164"/>
      <c r="LMC76" s="164"/>
      <c r="LMD76" s="164"/>
      <c r="LME76" s="164"/>
      <c r="LMF76" s="164"/>
      <c r="LMG76" s="164"/>
      <c r="LMH76" s="164"/>
      <c r="LMI76" s="164"/>
      <c r="LMJ76" s="164"/>
      <c r="LMK76" s="164"/>
      <c r="LML76" s="164"/>
      <c r="LMM76" s="164"/>
      <c r="LMN76" s="164"/>
      <c r="LMO76" s="164"/>
      <c r="LMP76" s="164"/>
      <c r="LMQ76" s="164"/>
      <c r="LMR76" s="164"/>
      <c r="LMS76" s="164"/>
      <c r="LMT76" s="164"/>
      <c r="LMU76" s="164"/>
      <c r="LMV76" s="164"/>
      <c r="LMW76" s="164"/>
      <c r="LMX76" s="164"/>
      <c r="LMY76" s="164"/>
      <c r="LMZ76" s="164"/>
      <c r="LNA76" s="164"/>
      <c r="LNB76" s="164"/>
      <c r="LNC76" s="164"/>
      <c r="LND76" s="164"/>
      <c r="LNE76" s="164"/>
      <c r="LNF76" s="164"/>
      <c r="LNG76" s="164"/>
      <c r="LNH76" s="164"/>
      <c r="LNI76" s="164"/>
      <c r="LNJ76" s="164"/>
      <c r="LNK76" s="164"/>
      <c r="LNL76" s="164"/>
      <c r="LNM76" s="164"/>
      <c r="LNN76" s="164"/>
      <c r="LNO76" s="164"/>
      <c r="LNP76" s="164"/>
      <c r="LNQ76" s="164"/>
      <c r="LNR76" s="164"/>
      <c r="LNS76" s="164"/>
      <c r="LNT76" s="164"/>
      <c r="LNU76" s="164"/>
      <c r="LNV76" s="164"/>
      <c r="LNW76" s="164"/>
      <c r="LNX76" s="164"/>
      <c r="LNY76" s="164"/>
      <c r="LNZ76" s="164"/>
      <c r="LOA76" s="164"/>
      <c r="LOB76" s="164"/>
      <c r="LOC76" s="164"/>
      <c r="LOD76" s="164"/>
      <c r="LOE76" s="164"/>
      <c r="LOF76" s="164"/>
      <c r="LOG76" s="164"/>
      <c r="LOH76" s="164"/>
      <c r="LOI76" s="164"/>
      <c r="LOJ76" s="164"/>
      <c r="LOK76" s="164"/>
      <c r="LOL76" s="164"/>
      <c r="LOM76" s="164"/>
      <c r="LON76" s="164"/>
      <c r="LOO76" s="164"/>
      <c r="LOP76" s="164"/>
      <c r="LOQ76" s="164"/>
      <c r="LOR76" s="164"/>
      <c r="LOS76" s="164"/>
      <c r="LOT76" s="164"/>
      <c r="LOU76" s="164"/>
      <c r="LOV76" s="164"/>
      <c r="LOW76" s="164"/>
      <c r="LOX76" s="164"/>
      <c r="LOY76" s="164"/>
      <c r="LOZ76" s="164"/>
      <c r="LPA76" s="164"/>
      <c r="LPB76" s="164"/>
      <c r="LPC76" s="164"/>
      <c r="LPD76" s="164"/>
      <c r="LPE76" s="164"/>
      <c r="LPF76" s="164"/>
      <c r="LPG76" s="164"/>
      <c r="LPH76" s="164"/>
      <c r="LPI76" s="164"/>
      <c r="LPJ76" s="164"/>
      <c r="LPK76" s="164"/>
      <c r="LPL76" s="164"/>
      <c r="LPM76" s="164"/>
      <c r="LPN76" s="164"/>
      <c r="LPO76" s="164"/>
      <c r="LPP76" s="164"/>
      <c r="LPQ76" s="164"/>
      <c r="LPR76" s="164"/>
      <c r="LPS76" s="164"/>
      <c r="LPT76" s="164"/>
      <c r="LPU76" s="164"/>
      <c r="LPV76" s="164"/>
      <c r="LPW76" s="164"/>
      <c r="LPX76" s="164"/>
      <c r="LPY76" s="164"/>
      <c r="LPZ76" s="164"/>
      <c r="LQA76" s="164"/>
      <c r="LQB76" s="164"/>
      <c r="LQC76" s="164"/>
      <c r="LQD76" s="164"/>
      <c r="LQE76" s="164"/>
      <c r="LQF76" s="164"/>
      <c r="LQG76" s="164"/>
      <c r="LQH76" s="164"/>
      <c r="LQI76" s="164"/>
      <c r="LQJ76" s="164"/>
      <c r="LQK76" s="164"/>
      <c r="LQL76" s="164"/>
      <c r="LQM76" s="164"/>
      <c r="LQN76" s="164"/>
      <c r="LQO76" s="164"/>
      <c r="LQP76" s="164"/>
      <c r="LQQ76" s="164"/>
      <c r="LQR76" s="164"/>
      <c r="LQS76" s="164"/>
      <c r="LQT76" s="164"/>
      <c r="LQU76" s="164"/>
      <c r="LQV76" s="164"/>
      <c r="LQW76" s="164"/>
      <c r="LQX76" s="164"/>
      <c r="LQY76" s="164"/>
      <c r="LQZ76" s="164"/>
      <c r="LRA76" s="164"/>
      <c r="LRB76" s="164"/>
      <c r="LRC76" s="164"/>
      <c r="LRD76" s="164"/>
      <c r="LRE76" s="164"/>
      <c r="LRF76" s="164"/>
      <c r="LRG76" s="164"/>
      <c r="LRH76" s="164"/>
      <c r="LRI76" s="164"/>
      <c r="LRJ76" s="164"/>
      <c r="LRK76" s="164"/>
      <c r="LRL76" s="164"/>
      <c r="LRM76" s="164"/>
      <c r="LRN76" s="164"/>
      <c r="LRO76" s="164"/>
      <c r="LRP76" s="164"/>
      <c r="LRQ76" s="164"/>
      <c r="LRR76" s="164"/>
      <c r="LRS76" s="164"/>
      <c r="LRT76" s="164"/>
      <c r="LRU76" s="164"/>
      <c r="LRV76" s="164"/>
      <c r="LRW76" s="164"/>
      <c r="LRX76" s="164"/>
      <c r="LRY76" s="164"/>
      <c r="LRZ76" s="164"/>
      <c r="LSA76" s="164"/>
      <c r="LSB76" s="164"/>
      <c r="LSC76" s="164"/>
      <c r="LSD76" s="164"/>
      <c r="LSE76" s="164"/>
      <c r="LSF76" s="164"/>
      <c r="LSG76" s="164"/>
      <c r="LSH76" s="164"/>
      <c r="LSI76" s="164"/>
      <c r="LSJ76" s="164"/>
      <c r="LSK76" s="164"/>
      <c r="LSL76" s="164"/>
      <c r="LSM76" s="164"/>
      <c r="LSN76" s="164"/>
      <c r="LSO76" s="164"/>
      <c r="LSP76" s="164"/>
      <c r="LSQ76" s="164"/>
      <c r="LSR76" s="164"/>
      <c r="LSS76" s="164"/>
      <c r="LST76" s="164"/>
      <c r="LSU76" s="164"/>
      <c r="LSV76" s="164"/>
      <c r="LSW76" s="164"/>
      <c r="LSX76" s="164"/>
      <c r="LSY76" s="164"/>
      <c r="LSZ76" s="164"/>
      <c r="LTA76" s="164"/>
      <c r="LTB76" s="164"/>
      <c r="LTC76" s="164"/>
      <c r="LTD76" s="164"/>
      <c r="LTE76" s="164"/>
      <c r="LTF76" s="164"/>
      <c r="LTG76" s="164"/>
      <c r="LTH76" s="164"/>
      <c r="LTI76" s="164"/>
      <c r="LTJ76" s="164"/>
      <c r="LTK76" s="164"/>
      <c r="LTL76" s="164"/>
      <c r="LTM76" s="164"/>
      <c r="LTN76" s="164"/>
      <c r="LTO76" s="164"/>
      <c r="LTP76" s="164"/>
      <c r="LTQ76" s="164"/>
      <c r="LTR76" s="164"/>
      <c r="LTS76" s="164"/>
      <c r="LTT76" s="164"/>
      <c r="LTU76" s="164"/>
      <c r="LTV76" s="164"/>
      <c r="LTW76" s="164"/>
      <c r="LTX76" s="164"/>
      <c r="LTY76" s="164"/>
      <c r="LTZ76" s="164"/>
      <c r="LUA76" s="164"/>
      <c r="LUB76" s="164"/>
      <c r="LUC76" s="164"/>
      <c r="LUD76" s="164"/>
      <c r="LUE76" s="164"/>
      <c r="LUF76" s="164"/>
      <c r="LUG76" s="164"/>
      <c r="LUH76" s="164"/>
      <c r="LUI76" s="164"/>
      <c r="LUJ76" s="164"/>
      <c r="LUK76" s="164"/>
      <c r="LUL76" s="164"/>
      <c r="LUM76" s="164"/>
      <c r="LUN76" s="164"/>
      <c r="LUO76" s="164"/>
      <c r="LUP76" s="164"/>
      <c r="LUQ76" s="164"/>
      <c r="LUR76" s="164"/>
      <c r="LUS76" s="164"/>
      <c r="LUT76" s="164"/>
      <c r="LUU76" s="164"/>
      <c r="LUV76" s="164"/>
      <c r="LUW76" s="164"/>
      <c r="LUX76" s="164"/>
      <c r="LUY76" s="164"/>
      <c r="LUZ76" s="164"/>
      <c r="LVA76" s="164"/>
      <c r="LVB76" s="164"/>
      <c r="LVC76" s="164"/>
      <c r="LVD76" s="164"/>
      <c r="LVE76" s="164"/>
      <c r="LVF76" s="164"/>
      <c r="LVG76" s="164"/>
      <c r="LVH76" s="164"/>
      <c r="LVI76" s="164"/>
      <c r="LVJ76" s="164"/>
      <c r="LVK76" s="164"/>
      <c r="LVL76" s="164"/>
      <c r="LVM76" s="164"/>
      <c r="LVN76" s="164"/>
      <c r="LVO76" s="164"/>
      <c r="LVP76" s="164"/>
      <c r="LVQ76" s="164"/>
      <c r="LVR76" s="164"/>
      <c r="LVS76" s="164"/>
      <c r="LVT76" s="164"/>
      <c r="LVU76" s="164"/>
      <c r="LVV76" s="164"/>
      <c r="LVW76" s="164"/>
      <c r="LVX76" s="164"/>
      <c r="LVY76" s="164"/>
      <c r="LVZ76" s="164"/>
      <c r="LWA76" s="164"/>
      <c r="LWB76" s="164"/>
      <c r="LWC76" s="164"/>
      <c r="LWD76" s="164"/>
      <c r="LWE76" s="164"/>
      <c r="LWF76" s="164"/>
      <c r="LWG76" s="164"/>
      <c r="LWH76" s="164"/>
      <c r="LWI76" s="164"/>
      <c r="LWJ76" s="164"/>
      <c r="LWK76" s="164"/>
      <c r="LWL76" s="164"/>
      <c r="LWM76" s="164"/>
      <c r="LWN76" s="164"/>
      <c r="LWO76" s="164"/>
      <c r="LWP76" s="164"/>
      <c r="LWQ76" s="164"/>
      <c r="LWR76" s="164"/>
      <c r="LWS76" s="164"/>
      <c r="LWT76" s="164"/>
      <c r="LWU76" s="164"/>
      <c r="LWV76" s="164"/>
      <c r="LWW76" s="164"/>
      <c r="LWX76" s="164"/>
      <c r="LWY76" s="164"/>
      <c r="LWZ76" s="164"/>
      <c r="LXA76" s="164"/>
      <c r="LXB76" s="164"/>
      <c r="LXC76" s="164"/>
      <c r="LXD76" s="164"/>
      <c r="LXE76" s="164"/>
      <c r="LXF76" s="164"/>
      <c r="LXG76" s="164"/>
      <c r="LXH76" s="164"/>
      <c r="LXI76" s="164"/>
      <c r="LXJ76" s="164"/>
      <c r="LXK76" s="164"/>
      <c r="LXL76" s="164"/>
      <c r="LXM76" s="164"/>
      <c r="LXN76" s="164"/>
      <c r="LXO76" s="164"/>
      <c r="LXP76" s="164"/>
      <c r="LXQ76" s="164"/>
      <c r="LXR76" s="164"/>
      <c r="LXS76" s="164"/>
      <c r="LXT76" s="164"/>
      <c r="LXU76" s="164"/>
      <c r="LXV76" s="164"/>
      <c r="LXW76" s="164"/>
      <c r="LXX76" s="164"/>
      <c r="LXY76" s="164"/>
      <c r="LXZ76" s="164"/>
      <c r="LYA76" s="164"/>
      <c r="LYB76" s="164"/>
      <c r="LYC76" s="164"/>
      <c r="LYD76" s="164"/>
      <c r="LYE76" s="164"/>
      <c r="LYF76" s="164"/>
      <c r="LYG76" s="164"/>
      <c r="LYH76" s="164"/>
      <c r="LYI76" s="164"/>
      <c r="LYJ76" s="164"/>
      <c r="LYK76" s="164"/>
      <c r="LYL76" s="164"/>
      <c r="LYM76" s="164"/>
      <c r="LYN76" s="164"/>
      <c r="LYO76" s="164"/>
      <c r="LYP76" s="164"/>
      <c r="LYQ76" s="164"/>
      <c r="LYR76" s="164"/>
      <c r="LYS76" s="164"/>
      <c r="LYT76" s="164"/>
      <c r="LYU76" s="164"/>
      <c r="LYV76" s="164"/>
      <c r="LYW76" s="164"/>
      <c r="LYX76" s="164"/>
      <c r="LYY76" s="164"/>
      <c r="LYZ76" s="164"/>
      <c r="LZA76" s="164"/>
      <c r="LZB76" s="164"/>
      <c r="LZC76" s="164"/>
      <c r="LZD76" s="164"/>
      <c r="LZE76" s="164"/>
      <c r="LZF76" s="164"/>
      <c r="LZG76" s="164"/>
      <c r="LZH76" s="164"/>
      <c r="LZI76" s="164"/>
      <c r="LZJ76" s="164"/>
      <c r="LZK76" s="164"/>
      <c r="LZL76" s="164"/>
      <c r="LZM76" s="164"/>
      <c r="LZN76" s="164"/>
      <c r="LZO76" s="164"/>
      <c r="LZP76" s="164"/>
      <c r="LZQ76" s="164"/>
      <c r="LZR76" s="164"/>
      <c r="LZS76" s="164"/>
      <c r="LZT76" s="164"/>
      <c r="LZU76" s="164"/>
      <c r="LZV76" s="164"/>
      <c r="LZW76" s="164"/>
      <c r="LZX76" s="164"/>
      <c r="LZY76" s="164"/>
      <c r="LZZ76" s="164"/>
      <c r="MAA76" s="164"/>
      <c r="MAB76" s="164"/>
      <c r="MAC76" s="164"/>
      <c r="MAD76" s="164"/>
      <c r="MAE76" s="164"/>
      <c r="MAF76" s="164"/>
      <c r="MAG76" s="164"/>
      <c r="MAH76" s="164"/>
      <c r="MAI76" s="164"/>
      <c r="MAJ76" s="164"/>
      <c r="MAK76" s="164"/>
      <c r="MAL76" s="164"/>
      <c r="MAM76" s="164"/>
      <c r="MAN76" s="164"/>
      <c r="MAO76" s="164"/>
      <c r="MAP76" s="164"/>
      <c r="MAQ76" s="164"/>
      <c r="MAR76" s="164"/>
      <c r="MAS76" s="164"/>
      <c r="MAT76" s="164"/>
      <c r="MAU76" s="164"/>
      <c r="MAV76" s="164"/>
      <c r="MAW76" s="164"/>
      <c r="MAX76" s="164"/>
      <c r="MAY76" s="164"/>
      <c r="MAZ76" s="164"/>
      <c r="MBA76" s="164"/>
      <c r="MBB76" s="164"/>
      <c r="MBC76" s="164"/>
      <c r="MBD76" s="164"/>
      <c r="MBE76" s="164"/>
      <c r="MBF76" s="164"/>
      <c r="MBG76" s="164"/>
      <c r="MBH76" s="164"/>
      <c r="MBI76" s="164"/>
      <c r="MBJ76" s="164"/>
      <c r="MBK76" s="164"/>
      <c r="MBL76" s="164"/>
      <c r="MBM76" s="164"/>
      <c r="MBN76" s="164"/>
      <c r="MBO76" s="164"/>
      <c r="MBP76" s="164"/>
      <c r="MBQ76" s="164"/>
      <c r="MBR76" s="164"/>
      <c r="MBS76" s="164"/>
      <c r="MBT76" s="164"/>
      <c r="MBU76" s="164"/>
      <c r="MBV76" s="164"/>
      <c r="MBW76" s="164"/>
      <c r="MBX76" s="164"/>
      <c r="MBY76" s="164"/>
      <c r="MBZ76" s="164"/>
      <c r="MCA76" s="164"/>
      <c r="MCB76" s="164"/>
      <c r="MCC76" s="164"/>
      <c r="MCD76" s="164"/>
      <c r="MCE76" s="164"/>
      <c r="MCF76" s="164"/>
      <c r="MCG76" s="164"/>
      <c r="MCH76" s="164"/>
      <c r="MCI76" s="164"/>
      <c r="MCJ76" s="164"/>
      <c r="MCK76" s="164"/>
      <c r="MCL76" s="164"/>
      <c r="MCM76" s="164"/>
      <c r="MCN76" s="164"/>
      <c r="MCO76" s="164"/>
      <c r="MCP76" s="164"/>
      <c r="MCQ76" s="164"/>
      <c r="MCR76" s="164"/>
      <c r="MCS76" s="164"/>
      <c r="MCT76" s="164"/>
      <c r="MCU76" s="164"/>
      <c r="MCV76" s="164"/>
      <c r="MCW76" s="164"/>
      <c r="MCX76" s="164"/>
      <c r="MCY76" s="164"/>
      <c r="MCZ76" s="164"/>
      <c r="MDA76" s="164"/>
      <c r="MDB76" s="164"/>
      <c r="MDC76" s="164"/>
      <c r="MDD76" s="164"/>
      <c r="MDE76" s="164"/>
      <c r="MDF76" s="164"/>
      <c r="MDG76" s="164"/>
      <c r="MDH76" s="164"/>
      <c r="MDI76" s="164"/>
      <c r="MDJ76" s="164"/>
      <c r="MDK76" s="164"/>
      <c r="MDL76" s="164"/>
      <c r="MDM76" s="164"/>
      <c r="MDN76" s="164"/>
      <c r="MDO76" s="164"/>
      <c r="MDP76" s="164"/>
      <c r="MDQ76" s="164"/>
      <c r="MDR76" s="164"/>
      <c r="MDS76" s="164"/>
      <c r="MDT76" s="164"/>
      <c r="MDU76" s="164"/>
      <c r="MDV76" s="164"/>
      <c r="MDW76" s="164"/>
      <c r="MDX76" s="164"/>
      <c r="MDY76" s="164"/>
      <c r="MDZ76" s="164"/>
      <c r="MEA76" s="164"/>
      <c r="MEB76" s="164"/>
      <c r="MEC76" s="164"/>
      <c r="MED76" s="164"/>
      <c r="MEE76" s="164"/>
      <c r="MEF76" s="164"/>
      <c r="MEG76" s="164"/>
      <c r="MEH76" s="164"/>
      <c r="MEI76" s="164"/>
      <c r="MEJ76" s="164"/>
      <c r="MEK76" s="164"/>
      <c r="MEL76" s="164"/>
      <c r="MEM76" s="164"/>
      <c r="MEN76" s="164"/>
      <c r="MEO76" s="164"/>
      <c r="MEP76" s="164"/>
      <c r="MEQ76" s="164"/>
      <c r="MER76" s="164"/>
      <c r="MES76" s="164"/>
      <c r="MET76" s="164"/>
      <c r="MEU76" s="164"/>
      <c r="MEV76" s="164"/>
      <c r="MEW76" s="164"/>
      <c r="MEX76" s="164"/>
      <c r="MEY76" s="164"/>
      <c r="MEZ76" s="164"/>
      <c r="MFA76" s="164"/>
      <c r="MFB76" s="164"/>
      <c r="MFC76" s="164"/>
      <c r="MFD76" s="164"/>
      <c r="MFE76" s="164"/>
      <c r="MFF76" s="164"/>
      <c r="MFG76" s="164"/>
      <c r="MFH76" s="164"/>
      <c r="MFI76" s="164"/>
      <c r="MFJ76" s="164"/>
      <c r="MFK76" s="164"/>
      <c r="MFL76" s="164"/>
      <c r="MFM76" s="164"/>
      <c r="MFN76" s="164"/>
      <c r="MFO76" s="164"/>
      <c r="MFP76" s="164"/>
      <c r="MFQ76" s="164"/>
      <c r="MFR76" s="164"/>
      <c r="MFS76" s="164"/>
      <c r="MFT76" s="164"/>
      <c r="MFU76" s="164"/>
      <c r="MFV76" s="164"/>
      <c r="MFW76" s="164"/>
      <c r="MFX76" s="164"/>
      <c r="MFY76" s="164"/>
      <c r="MFZ76" s="164"/>
      <c r="MGA76" s="164"/>
      <c r="MGB76" s="164"/>
      <c r="MGC76" s="164"/>
      <c r="MGD76" s="164"/>
      <c r="MGE76" s="164"/>
      <c r="MGF76" s="164"/>
      <c r="MGG76" s="164"/>
      <c r="MGH76" s="164"/>
      <c r="MGI76" s="164"/>
      <c r="MGJ76" s="164"/>
      <c r="MGK76" s="164"/>
      <c r="MGL76" s="164"/>
      <c r="MGM76" s="164"/>
      <c r="MGN76" s="164"/>
      <c r="MGO76" s="164"/>
      <c r="MGP76" s="164"/>
      <c r="MGQ76" s="164"/>
      <c r="MGR76" s="164"/>
      <c r="MGS76" s="164"/>
      <c r="MGT76" s="164"/>
      <c r="MGU76" s="164"/>
      <c r="MGV76" s="164"/>
      <c r="MGW76" s="164"/>
      <c r="MGX76" s="164"/>
      <c r="MGY76" s="164"/>
      <c r="MGZ76" s="164"/>
      <c r="MHA76" s="164"/>
      <c r="MHB76" s="164"/>
      <c r="MHC76" s="164"/>
      <c r="MHD76" s="164"/>
      <c r="MHE76" s="164"/>
      <c r="MHF76" s="164"/>
      <c r="MHG76" s="164"/>
      <c r="MHH76" s="164"/>
      <c r="MHI76" s="164"/>
      <c r="MHJ76" s="164"/>
      <c r="MHK76" s="164"/>
      <c r="MHL76" s="164"/>
      <c r="MHM76" s="164"/>
      <c r="MHN76" s="164"/>
      <c r="MHO76" s="164"/>
      <c r="MHP76" s="164"/>
      <c r="MHQ76" s="164"/>
      <c r="MHR76" s="164"/>
      <c r="MHS76" s="164"/>
      <c r="MHT76" s="164"/>
      <c r="MHU76" s="164"/>
      <c r="MHV76" s="164"/>
      <c r="MHW76" s="164"/>
      <c r="MHX76" s="164"/>
      <c r="MHY76" s="164"/>
      <c r="MHZ76" s="164"/>
      <c r="MIA76" s="164"/>
      <c r="MIB76" s="164"/>
      <c r="MIC76" s="164"/>
      <c r="MID76" s="164"/>
      <c r="MIE76" s="164"/>
      <c r="MIF76" s="164"/>
      <c r="MIG76" s="164"/>
      <c r="MIH76" s="164"/>
      <c r="MII76" s="164"/>
      <c r="MIJ76" s="164"/>
      <c r="MIK76" s="164"/>
      <c r="MIL76" s="164"/>
      <c r="MIM76" s="164"/>
      <c r="MIN76" s="164"/>
      <c r="MIO76" s="164"/>
      <c r="MIP76" s="164"/>
      <c r="MIQ76" s="164"/>
      <c r="MIR76" s="164"/>
      <c r="MIS76" s="164"/>
      <c r="MIT76" s="164"/>
      <c r="MIU76" s="164"/>
      <c r="MIV76" s="164"/>
      <c r="MIW76" s="164"/>
      <c r="MIX76" s="164"/>
      <c r="MIY76" s="164"/>
      <c r="MIZ76" s="164"/>
      <c r="MJA76" s="164"/>
      <c r="MJB76" s="164"/>
      <c r="MJC76" s="164"/>
      <c r="MJD76" s="164"/>
      <c r="MJE76" s="164"/>
      <c r="MJF76" s="164"/>
      <c r="MJG76" s="164"/>
      <c r="MJH76" s="164"/>
      <c r="MJI76" s="164"/>
      <c r="MJJ76" s="164"/>
      <c r="MJK76" s="164"/>
      <c r="MJL76" s="164"/>
      <c r="MJM76" s="164"/>
      <c r="MJN76" s="164"/>
      <c r="MJO76" s="164"/>
      <c r="MJP76" s="164"/>
      <c r="MJQ76" s="164"/>
      <c r="MJR76" s="164"/>
      <c r="MJS76" s="164"/>
      <c r="MJT76" s="164"/>
      <c r="MJU76" s="164"/>
      <c r="MJV76" s="164"/>
      <c r="MJW76" s="164"/>
      <c r="MJX76" s="164"/>
      <c r="MJY76" s="164"/>
      <c r="MJZ76" s="164"/>
      <c r="MKA76" s="164"/>
      <c r="MKB76" s="164"/>
      <c r="MKC76" s="164"/>
      <c r="MKD76" s="164"/>
      <c r="MKE76" s="164"/>
      <c r="MKF76" s="164"/>
      <c r="MKG76" s="164"/>
      <c r="MKH76" s="164"/>
      <c r="MKI76" s="164"/>
      <c r="MKJ76" s="164"/>
      <c r="MKK76" s="164"/>
      <c r="MKL76" s="164"/>
      <c r="MKM76" s="164"/>
      <c r="MKN76" s="164"/>
      <c r="MKO76" s="164"/>
      <c r="MKP76" s="164"/>
      <c r="MKQ76" s="164"/>
      <c r="MKR76" s="164"/>
      <c r="MKS76" s="164"/>
      <c r="MKT76" s="164"/>
      <c r="MKU76" s="164"/>
      <c r="MKV76" s="164"/>
      <c r="MKW76" s="164"/>
      <c r="MKX76" s="164"/>
      <c r="MKY76" s="164"/>
      <c r="MKZ76" s="164"/>
      <c r="MLA76" s="164"/>
      <c r="MLB76" s="164"/>
      <c r="MLC76" s="164"/>
      <c r="MLD76" s="164"/>
      <c r="MLE76" s="164"/>
      <c r="MLF76" s="164"/>
      <c r="MLG76" s="164"/>
      <c r="MLH76" s="164"/>
      <c r="MLI76" s="164"/>
      <c r="MLJ76" s="164"/>
      <c r="MLK76" s="164"/>
      <c r="MLL76" s="164"/>
      <c r="MLM76" s="164"/>
      <c r="MLN76" s="164"/>
      <c r="MLO76" s="164"/>
      <c r="MLP76" s="164"/>
      <c r="MLQ76" s="164"/>
      <c r="MLR76" s="164"/>
      <c r="MLS76" s="164"/>
      <c r="MLT76" s="164"/>
      <c r="MLU76" s="164"/>
      <c r="MLV76" s="164"/>
      <c r="MLW76" s="164"/>
      <c r="MLX76" s="164"/>
      <c r="MLY76" s="164"/>
      <c r="MLZ76" s="164"/>
      <c r="MMA76" s="164"/>
      <c r="MMB76" s="164"/>
      <c r="MMC76" s="164"/>
      <c r="MMD76" s="164"/>
      <c r="MME76" s="164"/>
      <c r="MMF76" s="164"/>
      <c r="MMG76" s="164"/>
      <c r="MMH76" s="164"/>
      <c r="MMI76" s="164"/>
      <c r="MMJ76" s="164"/>
      <c r="MMK76" s="164"/>
      <c r="MML76" s="164"/>
      <c r="MMM76" s="164"/>
      <c r="MMN76" s="164"/>
      <c r="MMO76" s="164"/>
      <c r="MMP76" s="164"/>
      <c r="MMQ76" s="164"/>
      <c r="MMR76" s="164"/>
      <c r="MMS76" s="164"/>
      <c r="MMT76" s="164"/>
      <c r="MMU76" s="164"/>
      <c r="MMV76" s="164"/>
      <c r="MMW76" s="164"/>
      <c r="MMX76" s="164"/>
      <c r="MMY76" s="164"/>
      <c r="MMZ76" s="164"/>
      <c r="MNA76" s="164"/>
      <c r="MNB76" s="164"/>
      <c r="MNC76" s="164"/>
      <c r="MND76" s="164"/>
      <c r="MNE76" s="164"/>
      <c r="MNF76" s="164"/>
      <c r="MNG76" s="164"/>
      <c r="MNH76" s="164"/>
      <c r="MNI76" s="164"/>
      <c r="MNJ76" s="164"/>
      <c r="MNK76" s="164"/>
      <c r="MNL76" s="164"/>
      <c r="MNM76" s="164"/>
      <c r="MNN76" s="164"/>
      <c r="MNO76" s="164"/>
      <c r="MNP76" s="164"/>
      <c r="MNQ76" s="164"/>
      <c r="MNR76" s="164"/>
      <c r="MNS76" s="164"/>
      <c r="MNT76" s="164"/>
      <c r="MNU76" s="164"/>
      <c r="MNV76" s="164"/>
      <c r="MNW76" s="164"/>
      <c r="MNX76" s="164"/>
      <c r="MNY76" s="164"/>
      <c r="MNZ76" s="164"/>
      <c r="MOA76" s="164"/>
      <c r="MOB76" s="164"/>
      <c r="MOC76" s="164"/>
      <c r="MOD76" s="164"/>
      <c r="MOE76" s="164"/>
      <c r="MOF76" s="164"/>
      <c r="MOG76" s="164"/>
      <c r="MOH76" s="164"/>
      <c r="MOI76" s="164"/>
      <c r="MOJ76" s="164"/>
      <c r="MOK76" s="164"/>
      <c r="MOL76" s="164"/>
      <c r="MOM76" s="164"/>
      <c r="MON76" s="164"/>
      <c r="MOO76" s="164"/>
      <c r="MOP76" s="164"/>
      <c r="MOQ76" s="164"/>
      <c r="MOR76" s="164"/>
      <c r="MOS76" s="164"/>
      <c r="MOT76" s="164"/>
      <c r="MOU76" s="164"/>
      <c r="MOV76" s="164"/>
      <c r="MOW76" s="164"/>
      <c r="MOX76" s="164"/>
      <c r="MOY76" s="164"/>
      <c r="MOZ76" s="164"/>
      <c r="MPA76" s="164"/>
      <c r="MPB76" s="164"/>
      <c r="MPC76" s="164"/>
      <c r="MPD76" s="164"/>
      <c r="MPE76" s="164"/>
      <c r="MPF76" s="164"/>
      <c r="MPG76" s="164"/>
      <c r="MPH76" s="164"/>
      <c r="MPI76" s="164"/>
      <c r="MPJ76" s="164"/>
      <c r="MPK76" s="164"/>
      <c r="MPL76" s="164"/>
      <c r="MPM76" s="164"/>
      <c r="MPN76" s="164"/>
      <c r="MPO76" s="164"/>
      <c r="MPP76" s="164"/>
      <c r="MPQ76" s="164"/>
      <c r="MPR76" s="164"/>
      <c r="MPS76" s="164"/>
      <c r="MPT76" s="164"/>
      <c r="MPU76" s="164"/>
      <c r="MPV76" s="164"/>
      <c r="MPW76" s="164"/>
      <c r="MPX76" s="164"/>
      <c r="MPY76" s="164"/>
      <c r="MPZ76" s="164"/>
      <c r="MQA76" s="164"/>
      <c r="MQB76" s="164"/>
      <c r="MQC76" s="164"/>
      <c r="MQD76" s="164"/>
      <c r="MQE76" s="164"/>
      <c r="MQF76" s="164"/>
      <c r="MQG76" s="164"/>
      <c r="MQH76" s="164"/>
      <c r="MQI76" s="164"/>
      <c r="MQJ76" s="164"/>
      <c r="MQK76" s="164"/>
      <c r="MQL76" s="164"/>
      <c r="MQM76" s="164"/>
      <c r="MQN76" s="164"/>
      <c r="MQO76" s="164"/>
      <c r="MQP76" s="164"/>
      <c r="MQQ76" s="164"/>
      <c r="MQR76" s="164"/>
      <c r="MQS76" s="164"/>
      <c r="MQT76" s="164"/>
      <c r="MQU76" s="164"/>
      <c r="MQV76" s="164"/>
      <c r="MQW76" s="164"/>
      <c r="MQX76" s="164"/>
      <c r="MQY76" s="164"/>
      <c r="MQZ76" s="164"/>
      <c r="MRA76" s="164"/>
      <c r="MRB76" s="164"/>
      <c r="MRC76" s="164"/>
      <c r="MRD76" s="164"/>
      <c r="MRE76" s="164"/>
      <c r="MRF76" s="164"/>
      <c r="MRG76" s="164"/>
      <c r="MRH76" s="164"/>
      <c r="MRI76" s="164"/>
      <c r="MRJ76" s="164"/>
      <c r="MRK76" s="164"/>
      <c r="MRL76" s="164"/>
      <c r="MRM76" s="164"/>
      <c r="MRN76" s="164"/>
      <c r="MRO76" s="164"/>
      <c r="MRP76" s="164"/>
      <c r="MRQ76" s="164"/>
      <c r="MRR76" s="164"/>
      <c r="MRS76" s="164"/>
      <c r="MRT76" s="164"/>
      <c r="MRU76" s="164"/>
      <c r="MRV76" s="164"/>
      <c r="MRW76" s="164"/>
      <c r="MRX76" s="164"/>
      <c r="MRY76" s="164"/>
      <c r="MRZ76" s="164"/>
      <c r="MSA76" s="164"/>
      <c r="MSB76" s="164"/>
      <c r="MSC76" s="164"/>
      <c r="MSD76" s="164"/>
      <c r="MSE76" s="164"/>
      <c r="MSF76" s="164"/>
      <c r="MSG76" s="164"/>
      <c r="MSH76" s="164"/>
      <c r="MSI76" s="164"/>
      <c r="MSJ76" s="164"/>
      <c r="MSK76" s="164"/>
      <c r="MSL76" s="164"/>
      <c r="MSM76" s="164"/>
      <c r="MSN76" s="164"/>
      <c r="MSO76" s="164"/>
      <c r="MSP76" s="164"/>
      <c r="MSQ76" s="164"/>
      <c r="MSR76" s="164"/>
      <c r="MSS76" s="164"/>
      <c r="MST76" s="164"/>
      <c r="MSU76" s="164"/>
      <c r="MSV76" s="164"/>
      <c r="MSW76" s="164"/>
      <c r="MSX76" s="164"/>
      <c r="MSY76" s="164"/>
      <c r="MSZ76" s="164"/>
      <c r="MTA76" s="164"/>
      <c r="MTB76" s="164"/>
      <c r="MTC76" s="164"/>
      <c r="MTD76" s="164"/>
      <c r="MTE76" s="164"/>
      <c r="MTF76" s="164"/>
      <c r="MTG76" s="164"/>
      <c r="MTH76" s="164"/>
      <c r="MTI76" s="164"/>
      <c r="MTJ76" s="164"/>
      <c r="MTK76" s="164"/>
      <c r="MTL76" s="164"/>
      <c r="MTM76" s="164"/>
      <c r="MTN76" s="164"/>
      <c r="MTO76" s="164"/>
      <c r="MTP76" s="164"/>
      <c r="MTQ76" s="164"/>
      <c r="MTR76" s="164"/>
      <c r="MTS76" s="164"/>
      <c r="MTT76" s="164"/>
      <c r="MTU76" s="164"/>
      <c r="MTV76" s="164"/>
      <c r="MTW76" s="164"/>
      <c r="MTX76" s="164"/>
      <c r="MTY76" s="164"/>
      <c r="MTZ76" s="164"/>
      <c r="MUA76" s="164"/>
      <c r="MUB76" s="164"/>
      <c r="MUC76" s="164"/>
      <c r="MUD76" s="164"/>
      <c r="MUE76" s="164"/>
      <c r="MUF76" s="164"/>
      <c r="MUG76" s="164"/>
      <c r="MUH76" s="164"/>
      <c r="MUI76" s="164"/>
      <c r="MUJ76" s="164"/>
      <c r="MUK76" s="164"/>
      <c r="MUL76" s="164"/>
      <c r="MUM76" s="164"/>
      <c r="MUN76" s="164"/>
      <c r="MUO76" s="164"/>
      <c r="MUP76" s="164"/>
      <c r="MUQ76" s="164"/>
      <c r="MUR76" s="164"/>
      <c r="MUS76" s="164"/>
      <c r="MUT76" s="164"/>
      <c r="MUU76" s="164"/>
      <c r="MUV76" s="164"/>
      <c r="MUW76" s="164"/>
      <c r="MUX76" s="164"/>
      <c r="MUY76" s="164"/>
      <c r="MUZ76" s="164"/>
      <c r="MVA76" s="164"/>
      <c r="MVB76" s="164"/>
      <c r="MVC76" s="164"/>
      <c r="MVD76" s="164"/>
      <c r="MVE76" s="164"/>
      <c r="MVF76" s="164"/>
      <c r="MVG76" s="164"/>
      <c r="MVH76" s="164"/>
      <c r="MVI76" s="164"/>
      <c r="MVJ76" s="164"/>
      <c r="MVK76" s="164"/>
      <c r="MVL76" s="164"/>
      <c r="MVM76" s="164"/>
      <c r="MVN76" s="164"/>
      <c r="MVO76" s="164"/>
      <c r="MVP76" s="164"/>
      <c r="MVQ76" s="164"/>
      <c r="MVR76" s="164"/>
      <c r="MVS76" s="164"/>
      <c r="MVT76" s="164"/>
      <c r="MVU76" s="164"/>
      <c r="MVV76" s="164"/>
      <c r="MVW76" s="164"/>
      <c r="MVX76" s="164"/>
      <c r="MVY76" s="164"/>
      <c r="MVZ76" s="164"/>
      <c r="MWA76" s="164"/>
      <c r="MWB76" s="164"/>
      <c r="MWC76" s="164"/>
      <c r="MWD76" s="164"/>
      <c r="MWE76" s="164"/>
      <c r="MWF76" s="164"/>
      <c r="MWG76" s="164"/>
      <c r="MWH76" s="164"/>
      <c r="MWI76" s="164"/>
      <c r="MWJ76" s="164"/>
      <c r="MWK76" s="164"/>
      <c r="MWL76" s="164"/>
      <c r="MWM76" s="164"/>
      <c r="MWN76" s="164"/>
      <c r="MWO76" s="164"/>
      <c r="MWP76" s="164"/>
      <c r="MWQ76" s="164"/>
      <c r="MWR76" s="164"/>
      <c r="MWS76" s="164"/>
      <c r="MWT76" s="164"/>
      <c r="MWU76" s="164"/>
      <c r="MWV76" s="164"/>
      <c r="MWW76" s="164"/>
      <c r="MWX76" s="164"/>
      <c r="MWY76" s="164"/>
      <c r="MWZ76" s="164"/>
      <c r="MXA76" s="164"/>
      <c r="MXB76" s="164"/>
      <c r="MXC76" s="164"/>
      <c r="MXD76" s="164"/>
      <c r="MXE76" s="164"/>
      <c r="MXF76" s="164"/>
      <c r="MXG76" s="164"/>
      <c r="MXH76" s="164"/>
      <c r="MXI76" s="164"/>
      <c r="MXJ76" s="164"/>
      <c r="MXK76" s="164"/>
      <c r="MXL76" s="164"/>
      <c r="MXM76" s="164"/>
      <c r="MXN76" s="164"/>
      <c r="MXO76" s="164"/>
      <c r="MXP76" s="164"/>
      <c r="MXQ76" s="164"/>
      <c r="MXR76" s="164"/>
      <c r="MXS76" s="164"/>
      <c r="MXT76" s="164"/>
      <c r="MXU76" s="164"/>
      <c r="MXV76" s="164"/>
      <c r="MXW76" s="164"/>
      <c r="MXX76" s="164"/>
      <c r="MXY76" s="164"/>
      <c r="MXZ76" s="164"/>
      <c r="MYA76" s="164"/>
      <c r="MYB76" s="164"/>
      <c r="MYC76" s="164"/>
      <c r="MYD76" s="164"/>
      <c r="MYE76" s="164"/>
      <c r="MYF76" s="164"/>
      <c r="MYG76" s="164"/>
      <c r="MYH76" s="164"/>
      <c r="MYI76" s="164"/>
      <c r="MYJ76" s="164"/>
      <c r="MYK76" s="164"/>
      <c r="MYL76" s="164"/>
      <c r="MYM76" s="164"/>
      <c r="MYN76" s="164"/>
      <c r="MYO76" s="164"/>
      <c r="MYP76" s="164"/>
      <c r="MYQ76" s="164"/>
      <c r="MYR76" s="164"/>
      <c r="MYS76" s="164"/>
      <c r="MYT76" s="164"/>
      <c r="MYU76" s="164"/>
      <c r="MYV76" s="164"/>
      <c r="MYW76" s="164"/>
      <c r="MYX76" s="164"/>
      <c r="MYY76" s="164"/>
      <c r="MYZ76" s="164"/>
      <c r="MZA76" s="164"/>
      <c r="MZB76" s="164"/>
      <c r="MZC76" s="164"/>
      <c r="MZD76" s="164"/>
      <c r="MZE76" s="164"/>
      <c r="MZF76" s="164"/>
      <c r="MZG76" s="164"/>
      <c r="MZH76" s="164"/>
      <c r="MZI76" s="164"/>
      <c r="MZJ76" s="164"/>
      <c r="MZK76" s="164"/>
      <c r="MZL76" s="164"/>
      <c r="MZM76" s="164"/>
      <c r="MZN76" s="164"/>
      <c r="MZO76" s="164"/>
      <c r="MZP76" s="164"/>
      <c r="MZQ76" s="164"/>
      <c r="MZR76" s="164"/>
      <c r="MZS76" s="164"/>
      <c r="MZT76" s="164"/>
      <c r="MZU76" s="164"/>
      <c r="MZV76" s="164"/>
      <c r="MZW76" s="164"/>
      <c r="MZX76" s="164"/>
      <c r="MZY76" s="164"/>
      <c r="MZZ76" s="164"/>
      <c r="NAA76" s="164"/>
      <c r="NAB76" s="164"/>
      <c r="NAC76" s="164"/>
      <c r="NAD76" s="164"/>
      <c r="NAE76" s="164"/>
      <c r="NAF76" s="164"/>
      <c r="NAG76" s="164"/>
      <c r="NAH76" s="164"/>
      <c r="NAI76" s="164"/>
      <c r="NAJ76" s="164"/>
      <c r="NAK76" s="164"/>
      <c r="NAL76" s="164"/>
      <c r="NAM76" s="164"/>
      <c r="NAN76" s="164"/>
      <c r="NAO76" s="164"/>
      <c r="NAP76" s="164"/>
      <c r="NAQ76" s="164"/>
      <c r="NAR76" s="164"/>
      <c r="NAS76" s="164"/>
      <c r="NAT76" s="164"/>
      <c r="NAU76" s="164"/>
      <c r="NAV76" s="164"/>
      <c r="NAW76" s="164"/>
      <c r="NAX76" s="164"/>
      <c r="NAY76" s="164"/>
      <c r="NAZ76" s="164"/>
      <c r="NBA76" s="164"/>
      <c r="NBB76" s="164"/>
      <c r="NBC76" s="164"/>
      <c r="NBD76" s="164"/>
      <c r="NBE76" s="164"/>
      <c r="NBF76" s="164"/>
      <c r="NBG76" s="164"/>
      <c r="NBH76" s="164"/>
      <c r="NBI76" s="164"/>
      <c r="NBJ76" s="164"/>
      <c r="NBK76" s="164"/>
      <c r="NBL76" s="164"/>
      <c r="NBM76" s="164"/>
      <c r="NBN76" s="164"/>
      <c r="NBO76" s="164"/>
      <c r="NBP76" s="164"/>
      <c r="NBQ76" s="164"/>
      <c r="NBR76" s="164"/>
      <c r="NBS76" s="164"/>
      <c r="NBT76" s="164"/>
      <c r="NBU76" s="164"/>
      <c r="NBV76" s="164"/>
      <c r="NBW76" s="164"/>
      <c r="NBX76" s="164"/>
      <c r="NBY76" s="164"/>
      <c r="NBZ76" s="164"/>
      <c r="NCA76" s="164"/>
      <c r="NCB76" s="164"/>
      <c r="NCC76" s="164"/>
      <c r="NCD76" s="164"/>
      <c r="NCE76" s="164"/>
      <c r="NCF76" s="164"/>
      <c r="NCG76" s="164"/>
      <c r="NCH76" s="164"/>
      <c r="NCI76" s="164"/>
      <c r="NCJ76" s="164"/>
      <c r="NCK76" s="164"/>
      <c r="NCL76" s="164"/>
      <c r="NCM76" s="164"/>
      <c r="NCN76" s="164"/>
      <c r="NCO76" s="164"/>
      <c r="NCP76" s="164"/>
      <c r="NCQ76" s="164"/>
      <c r="NCR76" s="164"/>
      <c r="NCS76" s="164"/>
      <c r="NCT76" s="164"/>
      <c r="NCU76" s="164"/>
      <c r="NCV76" s="164"/>
      <c r="NCW76" s="164"/>
      <c r="NCX76" s="164"/>
      <c r="NCY76" s="164"/>
      <c r="NCZ76" s="164"/>
      <c r="NDA76" s="164"/>
      <c r="NDB76" s="164"/>
      <c r="NDC76" s="164"/>
      <c r="NDD76" s="164"/>
      <c r="NDE76" s="164"/>
      <c r="NDF76" s="164"/>
      <c r="NDG76" s="164"/>
      <c r="NDH76" s="164"/>
      <c r="NDI76" s="164"/>
      <c r="NDJ76" s="164"/>
      <c r="NDK76" s="164"/>
      <c r="NDL76" s="164"/>
      <c r="NDM76" s="164"/>
      <c r="NDN76" s="164"/>
      <c r="NDO76" s="164"/>
      <c r="NDP76" s="164"/>
      <c r="NDQ76" s="164"/>
      <c r="NDR76" s="164"/>
      <c r="NDS76" s="164"/>
      <c r="NDT76" s="164"/>
      <c r="NDU76" s="164"/>
      <c r="NDV76" s="164"/>
      <c r="NDW76" s="164"/>
      <c r="NDX76" s="164"/>
      <c r="NDY76" s="164"/>
      <c r="NDZ76" s="164"/>
      <c r="NEA76" s="164"/>
      <c r="NEB76" s="164"/>
      <c r="NEC76" s="164"/>
      <c r="NED76" s="164"/>
      <c r="NEE76" s="164"/>
      <c r="NEF76" s="164"/>
      <c r="NEG76" s="164"/>
      <c r="NEH76" s="164"/>
      <c r="NEI76" s="164"/>
      <c r="NEJ76" s="164"/>
      <c r="NEK76" s="164"/>
      <c r="NEL76" s="164"/>
      <c r="NEM76" s="164"/>
      <c r="NEN76" s="164"/>
      <c r="NEO76" s="164"/>
      <c r="NEP76" s="164"/>
      <c r="NEQ76" s="164"/>
      <c r="NER76" s="164"/>
      <c r="NES76" s="164"/>
      <c r="NET76" s="164"/>
      <c r="NEU76" s="164"/>
      <c r="NEV76" s="164"/>
      <c r="NEW76" s="164"/>
      <c r="NEX76" s="164"/>
      <c r="NEY76" s="164"/>
      <c r="NEZ76" s="164"/>
      <c r="NFA76" s="164"/>
      <c r="NFB76" s="164"/>
      <c r="NFC76" s="164"/>
      <c r="NFD76" s="164"/>
      <c r="NFE76" s="164"/>
      <c r="NFF76" s="164"/>
      <c r="NFG76" s="164"/>
      <c r="NFH76" s="164"/>
      <c r="NFI76" s="164"/>
      <c r="NFJ76" s="164"/>
      <c r="NFK76" s="164"/>
      <c r="NFL76" s="164"/>
      <c r="NFM76" s="164"/>
      <c r="NFN76" s="164"/>
      <c r="NFO76" s="164"/>
      <c r="NFP76" s="164"/>
      <c r="NFQ76" s="164"/>
      <c r="NFR76" s="164"/>
      <c r="NFS76" s="164"/>
      <c r="NFT76" s="164"/>
      <c r="NFU76" s="164"/>
      <c r="NFV76" s="164"/>
      <c r="NFW76" s="164"/>
      <c r="NFX76" s="164"/>
      <c r="NFY76" s="164"/>
      <c r="NFZ76" s="164"/>
      <c r="NGA76" s="164"/>
      <c r="NGB76" s="164"/>
      <c r="NGC76" s="164"/>
      <c r="NGD76" s="164"/>
      <c r="NGE76" s="164"/>
      <c r="NGF76" s="164"/>
      <c r="NGG76" s="164"/>
      <c r="NGH76" s="164"/>
      <c r="NGI76" s="164"/>
      <c r="NGJ76" s="164"/>
      <c r="NGK76" s="164"/>
      <c r="NGL76" s="164"/>
      <c r="NGM76" s="164"/>
      <c r="NGN76" s="164"/>
      <c r="NGO76" s="164"/>
      <c r="NGP76" s="164"/>
      <c r="NGQ76" s="164"/>
      <c r="NGR76" s="164"/>
      <c r="NGS76" s="164"/>
      <c r="NGT76" s="164"/>
      <c r="NGU76" s="164"/>
      <c r="NGV76" s="164"/>
      <c r="NGW76" s="164"/>
      <c r="NGX76" s="164"/>
      <c r="NGY76" s="164"/>
      <c r="NGZ76" s="164"/>
      <c r="NHA76" s="164"/>
      <c r="NHB76" s="164"/>
      <c r="NHC76" s="164"/>
      <c r="NHD76" s="164"/>
      <c r="NHE76" s="164"/>
      <c r="NHF76" s="164"/>
      <c r="NHG76" s="164"/>
      <c r="NHH76" s="164"/>
      <c r="NHI76" s="164"/>
      <c r="NHJ76" s="164"/>
      <c r="NHK76" s="164"/>
      <c r="NHL76" s="164"/>
      <c r="NHM76" s="164"/>
      <c r="NHN76" s="164"/>
      <c r="NHO76" s="164"/>
      <c r="NHP76" s="164"/>
      <c r="NHQ76" s="164"/>
      <c r="NHR76" s="164"/>
      <c r="NHS76" s="164"/>
      <c r="NHT76" s="164"/>
      <c r="NHU76" s="164"/>
      <c r="NHV76" s="164"/>
      <c r="NHW76" s="164"/>
      <c r="NHX76" s="164"/>
      <c r="NHY76" s="164"/>
      <c r="NHZ76" s="164"/>
      <c r="NIA76" s="164"/>
      <c r="NIB76" s="164"/>
      <c r="NIC76" s="164"/>
      <c r="NID76" s="164"/>
      <c r="NIE76" s="164"/>
      <c r="NIF76" s="164"/>
      <c r="NIG76" s="164"/>
      <c r="NIH76" s="164"/>
      <c r="NII76" s="164"/>
      <c r="NIJ76" s="164"/>
      <c r="NIK76" s="164"/>
      <c r="NIL76" s="164"/>
      <c r="NIM76" s="164"/>
      <c r="NIN76" s="164"/>
      <c r="NIO76" s="164"/>
      <c r="NIP76" s="164"/>
      <c r="NIQ76" s="164"/>
      <c r="NIR76" s="164"/>
      <c r="NIS76" s="164"/>
      <c r="NIT76" s="164"/>
      <c r="NIU76" s="164"/>
      <c r="NIV76" s="164"/>
      <c r="NIW76" s="164"/>
      <c r="NIX76" s="164"/>
      <c r="NIY76" s="164"/>
      <c r="NIZ76" s="164"/>
      <c r="NJA76" s="164"/>
      <c r="NJB76" s="164"/>
      <c r="NJC76" s="164"/>
      <c r="NJD76" s="164"/>
      <c r="NJE76" s="164"/>
      <c r="NJF76" s="164"/>
      <c r="NJG76" s="164"/>
      <c r="NJH76" s="164"/>
      <c r="NJI76" s="164"/>
      <c r="NJJ76" s="164"/>
      <c r="NJK76" s="164"/>
      <c r="NJL76" s="164"/>
      <c r="NJM76" s="164"/>
      <c r="NJN76" s="164"/>
      <c r="NJO76" s="164"/>
      <c r="NJP76" s="164"/>
      <c r="NJQ76" s="164"/>
      <c r="NJR76" s="164"/>
      <c r="NJS76" s="164"/>
      <c r="NJT76" s="164"/>
      <c r="NJU76" s="164"/>
      <c r="NJV76" s="164"/>
      <c r="NJW76" s="164"/>
      <c r="NJX76" s="164"/>
      <c r="NJY76" s="164"/>
      <c r="NJZ76" s="164"/>
      <c r="NKA76" s="164"/>
      <c r="NKB76" s="164"/>
      <c r="NKC76" s="164"/>
      <c r="NKD76" s="164"/>
      <c r="NKE76" s="164"/>
      <c r="NKF76" s="164"/>
      <c r="NKG76" s="164"/>
      <c r="NKH76" s="164"/>
      <c r="NKI76" s="164"/>
      <c r="NKJ76" s="164"/>
      <c r="NKK76" s="164"/>
      <c r="NKL76" s="164"/>
      <c r="NKM76" s="164"/>
      <c r="NKN76" s="164"/>
      <c r="NKO76" s="164"/>
      <c r="NKP76" s="164"/>
      <c r="NKQ76" s="164"/>
      <c r="NKR76" s="164"/>
      <c r="NKS76" s="164"/>
      <c r="NKT76" s="164"/>
      <c r="NKU76" s="164"/>
      <c r="NKV76" s="164"/>
      <c r="NKW76" s="164"/>
      <c r="NKX76" s="164"/>
      <c r="NKY76" s="164"/>
      <c r="NKZ76" s="164"/>
      <c r="NLA76" s="164"/>
      <c r="NLB76" s="164"/>
      <c r="NLC76" s="164"/>
      <c r="NLD76" s="164"/>
      <c r="NLE76" s="164"/>
      <c r="NLF76" s="164"/>
      <c r="NLG76" s="164"/>
      <c r="NLH76" s="164"/>
      <c r="NLI76" s="164"/>
      <c r="NLJ76" s="164"/>
      <c r="NLK76" s="164"/>
      <c r="NLL76" s="164"/>
      <c r="NLM76" s="164"/>
      <c r="NLN76" s="164"/>
      <c r="NLO76" s="164"/>
      <c r="NLP76" s="164"/>
      <c r="NLQ76" s="164"/>
      <c r="NLR76" s="164"/>
      <c r="NLS76" s="164"/>
      <c r="NLT76" s="164"/>
      <c r="NLU76" s="164"/>
      <c r="NLV76" s="164"/>
      <c r="NLW76" s="164"/>
      <c r="NLX76" s="164"/>
      <c r="NLY76" s="164"/>
      <c r="NLZ76" s="164"/>
      <c r="NMA76" s="164"/>
      <c r="NMB76" s="164"/>
      <c r="NMC76" s="164"/>
      <c r="NMD76" s="164"/>
      <c r="NME76" s="164"/>
      <c r="NMF76" s="164"/>
      <c r="NMG76" s="164"/>
      <c r="NMH76" s="164"/>
      <c r="NMI76" s="164"/>
      <c r="NMJ76" s="164"/>
      <c r="NMK76" s="164"/>
      <c r="NML76" s="164"/>
      <c r="NMM76" s="164"/>
      <c r="NMN76" s="164"/>
      <c r="NMO76" s="164"/>
      <c r="NMP76" s="164"/>
      <c r="NMQ76" s="164"/>
      <c r="NMR76" s="164"/>
      <c r="NMS76" s="164"/>
      <c r="NMT76" s="164"/>
      <c r="NMU76" s="164"/>
      <c r="NMV76" s="164"/>
      <c r="NMW76" s="164"/>
      <c r="NMX76" s="164"/>
      <c r="NMY76" s="164"/>
      <c r="NMZ76" s="164"/>
      <c r="NNA76" s="164"/>
      <c r="NNB76" s="164"/>
      <c r="NNC76" s="164"/>
      <c r="NND76" s="164"/>
      <c r="NNE76" s="164"/>
      <c r="NNF76" s="164"/>
      <c r="NNG76" s="164"/>
      <c r="NNH76" s="164"/>
      <c r="NNI76" s="164"/>
      <c r="NNJ76" s="164"/>
      <c r="NNK76" s="164"/>
      <c r="NNL76" s="164"/>
      <c r="NNM76" s="164"/>
      <c r="NNN76" s="164"/>
      <c r="NNO76" s="164"/>
      <c r="NNP76" s="164"/>
      <c r="NNQ76" s="164"/>
      <c r="NNR76" s="164"/>
      <c r="NNS76" s="164"/>
      <c r="NNT76" s="164"/>
      <c r="NNU76" s="164"/>
      <c r="NNV76" s="164"/>
      <c r="NNW76" s="164"/>
      <c r="NNX76" s="164"/>
      <c r="NNY76" s="164"/>
      <c r="NNZ76" s="164"/>
      <c r="NOA76" s="164"/>
      <c r="NOB76" s="164"/>
      <c r="NOC76" s="164"/>
      <c r="NOD76" s="164"/>
      <c r="NOE76" s="164"/>
      <c r="NOF76" s="164"/>
      <c r="NOG76" s="164"/>
      <c r="NOH76" s="164"/>
      <c r="NOI76" s="164"/>
      <c r="NOJ76" s="164"/>
      <c r="NOK76" s="164"/>
      <c r="NOL76" s="164"/>
      <c r="NOM76" s="164"/>
      <c r="NON76" s="164"/>
      <c r="NOO76" s="164"/>
      <c r="NOP76" s="164"/>
      <c r="NOQ76" s="164"/>
      <c r="NOR76" s="164"/>
      <c r="NOS76" s="164"/>
      <c r="NOT76" s="164"/>
      <c r="NOU76" s="164"/>
      <c r="NOV76" s="164"/>
      <c r="NOW76" s="164"/>
      <c r="NOX76" s="164"/>
      <c r="NOY76" s="164"/>
      <c r="NOZ76" s="164"/>
      <c r="NPA76" s="164"/>
      <c r="NPB76" s="164"/>
      <c r="NPC76" s="164"/>
      <c r="NPD76" s="164"/>
      <c r="NPE76" s="164"/>
      <c r="NPF76" s="164"/>
      <c r="NPG76" s="164"/>
      <c r="NPH76" s="164"/>
      <c r="NPI76" s="164"/>
      <c r="NPJ76" s="164"/>
      <c r="NPK76" s="164"/>
      <c r="NPL76" s="164"/>
      <c r="NPM76" s="164"/>
      <c r="NPN76" s="164"/>
      <c r="NPO76" s="164"/>
      <c r="NPP76" s="164"/>
      <c r="NPQ76" s="164"/>
      <c r="NPR76" s="164"/>
      <c r="NPS76" s="164"/>
      <c r="NPT76" s="164"/>
      <c r="NPU76" s="164"/>
      <c r="NPV76" s="164"/>
      <c r="NPW76" s="164"/>
      <c r="NPX76" s="164"/>
      <c r="NPY76" s="164"/>
      <c r="NPZ76" s="164"/>
      <c r="NQA76" s="164"/>
      <c r="NQB76" s="164"/>
      <c r="NQC76" s="164"/>
      <c r="NQD76" s="164"/>
      <c r="NQE76" s="164"/>
      <c r="NQF76" s="164"/>
      <c r="NQG76" s="164"/>
      <c r="NQH76" s="164"/>
      <c r="NQI76" s="164"/>
      <c r="NQJ76" s="164"/>
      <c r="NQK76" s="164"/>
      <c r="NQL76" s="164"/>
      <c r="NQM76" s="164"/>
      <c r="NQN76" s="164"/>
      <c r="NQO76" s="164"/>
      <c r="NQP76" s="164"/>
      <c r="NQQ76" s="164"/>
      <c r="NQR76" s="164"/>
      <c r="NQS76" s="164"/>
      <c r="NQT76" s="164"/>
      <c r="NQU76" s="164"/>
      <c r="NQV76" s="164"/>
      <c r="NQW76" s="164"/>
      <c r="NQX76" s="164"/>
      <c r="NQY76" s="164"/>
      <c r="NQZ76" s="164"/>
      <c r="NRA76" s="164"/>
      <c r="NRB76" s="164"/>
      <c r="NRC76" s="164"/>
      <c r="NRD76" s="164"/>
      <c r="NRE76" s="164"/>
      <c r="NRF76" s="164"/>
      <c r="NRG76" s="164"/>
      <c r="NRH76" s="164"/>
      <c r="NRI76" s="164"/>
      <c r="NRJ76" s="164"/>
      <c r="NRK76" s="164"/>
      <c r="NRL76" s="164"/>
      <c r="NRM76" s="164"/>
      <c r="NRN76" s="164"/>
      <c r="NRO76" s="164"/>
      <c r="NRP76" s="164"/>
      <c r="NRQ76" s="164"/>
      <c r="NRR76" s="164"/>
      <c r="NRS76" s="164"/>
      <c r="NRT76" s="164"/>
      <c r="NRU76" s="164"/>
      <c r="NRV76" s="164"/>
      <c r="NRW76" s="164"/>
      <c r="NRX76" s="164"/>
      <c r="NRY76" s="164"/>
      <c r="NRZ76" s="164"/>
      <c r="NSA76" s="164"/>
      <c r="NSB76" s="164"/>
      <c r="NSC76" s="164"/>
      <c r="NSD76" s="164"/>
      <c r="NSE76" s="164"/>
      <c r="NSF76" s="164"/>
      <c r="NSG76" s="164"/>
      <c r="NSH76" s="164"/>
      <c r="NSI76" s="164"/>
      <c r="NSJ76" s="164"/>
      <c r="NSK76" s="164"/>
      <c r="NSL76" s="164"/>
      <c r="NSM76" s="164"/>
      <c r="NSN76" s="164"/>
      <c r="NSO76" s="164"/>
      <c r="NSP76" s="164"/>
      <c r="NSQ76" s="164"/>
      <c r="NSR76" s="164"/>
      <c r="NSS76" s="164"/>
      <c r="NST76" s="164"/>
      <c r="NSU76" s="164"/>
      <c r="NSV76" s="164"/>
      <c r="NSW76" s="164"/>
      <c r="NSX76" s="164"/>
      <c r="NSY76" s="164"/>
      <c r="NSZ76" s="164"/>
      <c r="NTA76" s="164"/>
      <c r="NTB76" s="164"/>
      <c r="NTC76" s="164"/>
      <c r="NTD76" s="164"/>
      <c r="NTE76" s="164"/>
      <c r="NTF76" s="164"/>
      <c r="NTG76" s="164"/>
      <c r="NTH76" s="164"/>
      <c r="NTI76" s="164"/>
      <c r="NTJ76" s="164"/>
      <c r="NTK76" s="164"/>
      <c r="NTL76" s="164"/>
      <c r="NTM76" s="164"/>
      <c r="NTN76" s="164"/>
      <c r="NTO76" s="164"/>
      <c r="NTP76" s="164"/>
      <c r="NTQ76" s="164"/>
      <c r="NTR76" s="164"/>
      <c r="NTS76" s="164"/>
      <c r="NTT76" s="164"/>
      <c r="NTU76" s="164"/>
      <c r="NTV76" s="164"/>
      <c r="NTW76" s="164"/>
      <c r="NTX76" s="164"/>
      <c r="NTY76" s="164"/>
      <c r="NTZ76" s="164"/>
      <c r="NUA76" s="164"/>
      <c r="NUB76" s="164"/>
      <c r="NUC76" s="164"/>
      <c r="NUD76" s="164"/>
      <c r="NUE76" s="164"/>
      <c r="NUF76" s="164"/>
      <c r="NUG76" s="164"/>
      <c r="NUH76" s="164"/>
      <c r="NUI76" s="164"/>
      <c r="NUJ76" s="164"/>
      <c r="NUK76" s="164"/>
      <c r="NUL76" s="164"/>
      <c r="NUM76" s="164"/>
      <c r="NUN76" s="164"/>
      <c r="NUO76" s="164"/>
      <c r="NUP76" s="164"/>
      <c r="NUQ76" s="164"/>
      <c r="NUR76" s="164"/>
      <c r="NUS76" s="164"/>
      <c r="NUT76" s="164"/>
      <c r="NUU76" s="164"/>
      <c r="NUV76" s="164"/>
      <c r="NUW76" s="164"/>
      <c r="NUX76" s="164"/>
      <c r="NUY76" s="164"/>
      <c r="NUZ76" s="164"/>
      <c r="NVA76" s="164"/>
      <c r="NVB76" s="164"/>
      <c r="NVC76" s="164"/>
      <c r="NVD76" s="164"/>
      <c r="NVE76" s="164"/>
      <c r="NVF76" s="164"/>
      <c r="NVG76" s="164"/>
      <c r="NVH76" s="164"/>
      <c r="NVI76" s="164"/>
      <c r="NVJ76" s="164"/>
      <c r="NVK76" s="164"/>
      <c r="NVL76" s="164"/>
      <c r="NVM76" s="164"/>
      <c r="NVN76" s="164"/>
      <c r="NVO76" s="164"/>
      <c r="NVP76" s="164"/>
      <c r="NVQ76" s="164"/>
      <c r="NVR76" s="164"/>
      <c r="NVS76" s="164"/>
      <c r="NVT76" s="164"/>
      <c r="NVU76" s="164"/>
      <c r="NVV76" s="164"/>
      <c r="NVW76" s="164"/>
      <c r="NVX76" s="164"/>
      <c r="NVY76" s="164"/>
      <c r="NVZ76" s="164"/>
      <c r="NWA76" s="164"/>
      <c r="NWB76" s="164"/>
      <c r="NWC76" s="164"/>
      <c r="NWD76" s="164"/>
      <c r="NWE76" s="164"/>
      <c r="NWF76" s="164"/>
      <c r="NWG76" s="164"/>
      <c r="NWH76" s="164"/>
      <c r="NWI76" s="164"/>
      <c r="NWJ76" s="164"/>
      <c r="NWK76" s="164"/>
      <c r="NWL76" s="164"/>
      <c r="NWM76" s="164"/>
      <c r="NWN76" s="164"/>
      <c r="NWO76" s="164"/>
      <c r="NWP76" s="164"/>
      <c r="NWQ76" s="164"/>
      <c r="NWR76" s="164"/>
      <c r="NWS76" s="164"/>
      <c r="NWT76" s="164"/>
      <c r="NWU76" s="164"/>
      <c r="NWV76" s="164"/>
      <c r="NWW76" s="164"/>
      <c r="NWX76" s="164"/>
      <c r="NWY76" s="164"/>
      <c r="NWZ76" s="164"/>
      <c r="NXA76" s="164"/>
      <c r="NXB76" s="164"/>
      <c r="NXC76" s="164"/>
      <c r="NXD76" s="164"/>
      <c r="NXE76" s="164"/>
      <c r="NXF76" s="164"/>
      <c r="NXG76" s="164"/>
      <c r="NXH76" s="164"/>
      <c r="NXI76" s="164"/>
      <c r="NXJ76" s="164"/>
      <c r="NXK76" s="164"/>
      <c r="NXL76" s="164"/>
      <c r="NXM76" s="164"/>
      <c r="NXN76" s="164"/>
      <c r="NXO76" s="164"/>
      <c r="NXP76" s="164"/>
      <c r="NXQ76" s="164"/>
      <c r="NXR76" s="164"/>
      <c r="NXS76" s="164"/>
      <c r="NXT76" s="164"/>
      <c r="NXU76" s="164"/>
      <c r="NXV76" s="164"/>
      <c r="NXW76" s="164"/>
      <c r="NXX76" s="164"/>
      <c r="NXY76" s="164"/>
      <c r="NXZ76" s="164"/>
      <c r="NYA76" s="164"/>
      <c r="NYB76" s="164"/>
      <c r="NYC76" s="164"/>
      <c r="NYD76" s="164"/>
      <c r="NYE76" s="164"/>
      <c r="NYF76" s="164"/>
      <c r="NYG76" s="164"/>
      <c r="NYH76" s="164"/>
      <c r="NYI76" s="164"/>
      <c r="NYJ76" s="164"/>
      <c r="NYK76" s="164"/>
      <c r="NYL76" s="164"/>
      <c r="NYM76" s="164"/>
      <c r="NYN76" s="164"/>
      <c r="NYO76" s="164"/>
      <c r="NYP76" s="164"/>
      <c r="NYQ76" s="164"/>
      <c r="NYR76" s="164"/>
      <c r="NYS76" s="164"/>
      <c r="NYT76" s="164"/>
      <c r="NYU76" s="164"/>
      <c r="NYV76" s="164"/>
      <c r="NYW76" s="164"/>
      <c r="NYX76" s="164"/>
      <c r="NYY76" s="164"/>
      <c r="NYZ76" s="164"/>
      <c r="NZA76" s="164"/>
      <c r="NZB76" s="164"/>
      <c r="NZC76" s="164"/>
      <c r="NZD76" s="164"/>
      <c r="NZE76" s="164"/>
      <c r="NZF76" s="164"/>
      <c r="NZG76" s="164"/>
      <c r="NZH76" s="164"/>
      <c r="NZI76" s="164"/>
      <c r="NZJ76" s="164"/>
      <c r="NZK76" s="164"/>
      <c r="NZL76" s="164"/>
      <c r="NZM76" s="164"/>
      <c r="NZN76" s="164"/>
      <c r="NZO76" s="164"/>
      <c r="NZP76" s="164"/>
      <c r="NZQ76" s="164"/>
      <c r="NZR76" s="164"/>
      <c r="NZS76" s="164"/>
      <c r="NZT76" s="164"/>
      <c r="NZU76" s="164"/>
      <c r="NZV76" s="164"/>
      <c r="NZW76" s="164"/>
      <c r="NZX76" s="164"/>
      <c r="NZY76" s="164"/>
      <c r="NZZ76" s="164"/>
      <c r="OAA76" s="164"/>
      <c r="OAB76" s="164"/>
      <c r="OAC76" s="164"/>
      <c r="OAD76" s="164"/>
      <c r="OAE76" s="164"/>
      <c r="OAF76" s="164"/>
      <c r="OAG76" s="164"/>
      <c r="OAH76" s="164"/>
      <c r="OAI76" s="164"/>
      <c r="OAJ76" s="164"/>
      <c r="OAK76" s="164"/>
      <c r="OAL76" s="164"/>
      <c r="OAM76" s="164"/>
      <c r="OAN76" s="164"/>
      <c r="OAO76" s="164"/>
      <c r="OAP76" s="164"/>
      <c r="OAQ76" s="164"/>
      <c r="OAR76" s="164"/>
      <c r="OAS76" s="164"/>
      <c r="OAT76" s="164"/>
      <c r="OAU76" s="164"/>
      <c r="OAV76" s="164"/>
      <c r="OAW76" s="164"/>
      <c r="OAX76" s="164"/>
      <c r="OAY76" s="164"/>
      <c r="OAZ76" s="164"/>
      <c r="OBA76" s="164"/>
      <c r="OBB76" s="164"/>
      <c r="OBC76" s="164"/>
      <c r="OBD76" s="164"/>
      <c r="OBE76" s="164"/>
      <c r="OBF76" s="164"/>
      <c r="OBG76" s="164"/>
      <c r="OBH76" s="164"/>
      <c r="OBI76" s="164"/>
      <c r="OBJ76" s="164"/>
      <c r="OBK76" s="164"/>
      <c r="OBL76" s="164"/>
      <c r="OBM76" s="164"/>
      <c r="OBN76" s="164"/>
      <c r="OBO76" s="164"/>
      <c r="OBP76" s="164"/>
      <c r="OBQ76" s="164"/>
      <c r="OBR76" s="164"/>
      <c r="OBS76" s="164"/>
      <c r="OBT76" s="164"/>
      <c r="OBU76" s="164"/>
      <c r="OBV76" s="164"/>
      <c r="OBW76" s="164"/>
      <c r="OBX76" s="164"/>
      <c r="OBY76" s="164"/>
      <c r="OBZ76" s="164"/>
      <c r="OCA76" s="164"/>
      <c r="OCB76" s="164"/>
      <c r="OCC76" s="164"/>
      <c r="OCD76" s="164"/>
      <c r="OCE76" s="164"/>
      <c r="OCF76" s="164"/>
      <c r="OCG76" s="164"/>
      <c r="OCH76" s="164"/>
      <c r="OCI76" s="164"/>
      <c r="OCJ76" s="164"/>
      <c r="OCK76" s="164"/>
      <c r="OCL76" s="164"/>
      <c r="OCM76" s="164"/>
      <c r="OCN76" s="164"/>
      <c r="OCO76" s="164"/>
      <c r="OCP76" s="164"/>
      <c r="OCQ76" s="164"/>
      <c r="OCR76" s="164"/>
      <c r="OCS76" s="164"/>
      <c r="OCT76" s="164"/>
      <c r="OCU76" s="164"/>
      <c r="OCV76" s="164"/>
      <c r="OCW76" s="164"/>
      <c r="OCX76" s="164"/>
      <c r="OCY76" s="164"/>
      <c r="OCZ76" s="164"/>
      <c r="ODA76" s="164"/>
      <c r="ODB76" s="164"/>
      <c r="ODC76" s="164"/>
      <c r="ODD76" s="164"/>
      <c r="ODE76" s="164"/>
      <c r="ODF76" s="164"/>
      <c r="ODG76" s="164"/>
      <c r="ODH76" s="164"/>
      <c r="ODI76" s="164"/>
      <c r="ODJ76" s="164"/>
      <c r="ODK76" s="164"/>
      <c r="ODL76" s="164"/>
      <c r="ODM76" s="164"/>
      <c r="ODN76" s="164"/>
      <c r="ODO76" s="164"/>
      <c r="ODP76" s="164"/>
      <c r="ODQ76" s="164"/>
      <c r="ODR76" s="164"/>
      <c r="ODS76" s="164"/>
      <c r="ODT76" s="164"/>
      <c r="ODU76" s="164"/>
      <c r="ODV76" s="164"/>
      <c r="ODW76" s="164"/>
      <c r="ODX76" s="164"/>
      <c r="ODY76" s="164"/>
      <c r="ODZ76" s="164"/>
      <c r="OEA76" s="164"/>
      <c r="OEB76" s="164"/>
      <c r="OEC76" s="164"/>
      <c r="OED76" s="164"/>
      <c r="OEE76" s="164"/>
      <c r="OEF76" s="164"/>
      <c r="OEG76" s="164"/>
      <c r="OEH76" s="164"/>
      <c r="OEI76" s="164"/>
      <c r="OEJ76" s="164"/>
      <c r="OEK76" s="164"/>
      <c r="OEL76" s="164"/>
      <c r="OEM76" s="164"/>
      <c r="OEN76" s="164"/>
      <c r="OEO76" s="164"/>
      <c r="OEP76" s="164"/>
      <c r="OEQ76" s="164"/>
      <c r="OER76" s="164"/>
      <c r="OES76" s="164"/>
      <c r="OET76" s="164"/>
      <c r="OEU76" s="164"/>
      <c r="OEV76" s="164"/>
      <c r="OEW76" s="164"/>
      <c r="OEX76" s="164"/>
      <c r="OEY76" s="164"/>
      <c r="OEZ76" s="164"/>
      <c r="OFA76" s="164"/>
      <c r="OFB76" s="164"/>
      <c r="OFC76" s="164"/>
      <c r="OFD76" s="164"/>
      <c r="OFE76" s="164"/>
      <c r="OFF76" s="164"/>
      <c r="OFG76" s="164"/>
      <c r="OFH76" s="164"/>
      <c r="OFI76" s="164"/>
      <c r="OFJ76" s="164"/>
      <c r="OFK76" s="164"/>
      <c r="OFL76" s="164"/>
      <c r="OFM76" s="164"/>
      <c r="OFN76" s="164"/>
      <c r="OFO76" s="164"/>
      <c r="OFP76" s="164"/>
      <c r="OFQ76" s="164"/>
      <c r="OFR76" s="164"/>
      <c r="OFS76" s="164"/>
      <c r="OFT76" s="164"/>
      <c r="OFU76" s="164"/>
      <c r="OFV76" s="164"/>
      <c r="OFW76" s="164"/>
      <c r="OFX76" s="164"/>
      <c r="OFY76" s="164"/>
      <c r="OFZ76" s="164"/>
      <c r="OGA76" s="164"/>
      <c r="OGB76" s="164"/>
      <c r="OGC76" s="164"/>
      <c r="OGD76" s="164"/>
      <c r="OGE76" s="164"/>
      <c r="OGF76" s="164"/>
      <c r="OGG76" s="164"/>
      <c r="OGH76" s="164"/>
      <c r="OGI76" s="164"/>
      <c r="OGJ76" s="164"/>
      <c r="OGK76" s="164"/>
      <c r="OGL76" s="164"/>
      <c r="OGM76" s="164"/>
      <c r="OGN76" s="164"/>
      <c r="OGO76" s="164"/>
      <c r="OGP76" s="164"/>
      <c r="OGQ76" s="164"/>
      <c r="OGR76" s="164"/>
      <c r="OGS76" s="164"/>
      <c r="OGT76" s="164"/>
      <c r="OGU76" s="164"/>
      <c r="OGV76" s="164"/>
      <c r="OGW76" s="164"/>
      <c r="OGX76" s="164"/>
      <c r="OGY76" s="164"/>
      <c r="OGZ76" s="164"/>
      <c r="OHA76" s="164"/>
      <c r="OHB76" s="164"/>
      <c r="OHC76" s="164"/>
      <c r="OHD76" s="164"/>
      <c r="OHE76" s="164"/>
      <c r="OHF76" s="164"/>
      <c r="OHG76" s="164"/>
      <c r="OHH76" s="164"/>
      <c r="OHI76" s="164"/>
      <c r="OHJ76" s="164"/>
      <c r="OHK76" s="164"/>
      <c r="OHL76" s="164"/>
      <c r="OHM76" s="164"/>
      <c r="OHN76" s="164"/>
      <c r="OHO76" s="164"/>
      <c r="OHP76" s="164"/>
      <c r="OHQ76" s="164"/>
      <c r="OHR76" s="164"/>
      <c r="OHS76" s="164"/>
      <c r="OHT76" s="164"/>
      <c r="OHU76" s="164"/>
      <c r="OHV76" s="164"/>
      <c r="OHW76" s="164"/>
      <c r="OHX76" s="164"/>
      <c r="OHY76" s="164"/>
      <c r="OHZ76" s="164"/>
      <c r="OIA76" s="164"/>
      <c r="OIB76" s="164"/>
      <c r="OIC76" s="164"/>
      <c r="OID76" s="164"/>
      <c r="OIE76" s="164"/>
      <c r="OIF76" s="164"/>
      <c r="OIG76" s="164"/>
      <c r="OIH76" s="164"/>
      <c r="OII76" s="164"/>
      <c r="OIJ76" s="164"/>
      <c r="OIK76" s="164"/>
      <c r="OIL76" s="164"/>
      <c r="OIM76" s="164"/>
      <c r="OIN76" s="164"/>
      <c r="OIO76" s="164"/>
      <c r="OIP76" s="164"/>
      <c r="OIQ76" s="164"/>
      <c r="OIR76" s="164"/>
      <c r="OIS76" s="164"/>
      <c r="OIT76" s="164"/>
      <c r="OIU76" s="164"/>
      <c r="OIV76" s="164"/>
      <c r="OIW76" s="164"/>
      <c r="OIX76" s="164"/>
      <c r="OIY76" s="164"/>
      <c r="OIZ76" s="164"/>
      <c r="OJA76" s="164"/>
      <c r="OJB76" s="164"/>
      <c r="OJC76" s="164"/>
      <c r="OJD76" s="164"/>
      <c r="OJE76" s="164"/>
      <c r="OJF76" s="164"/>
      <c r="OJG76" s="164"/>
      <c r="OJH76" s="164"/>
      <c r="OJI76" s="164"/>
      <c r="OJJ76" s="164"/>
      <c r="OJK76" s="164"/>
      <c r="OJL76" s="164"/>
      <c r="OJM76" s="164"/>
      <c r="OJN76" s="164"/>
      <c r="OJO76" s="164"/>
      <c r="OJP76" s="164"/>
      <c r="OJQ76" s="164"/>
      <c r="OJR76" s="164"/>
      <c r="OJS76" s="164"/>
      <c r="OJT76" s="164"/>
      <c r="OJU76" s="164"/>
      <c r="OJV76" s="164"/>
      <c r="OJW76" s="164"/>
      <c r="OJX76" s="164"/>
      <c r="OJY76" s="164"/>
      <c r="OJZ76" s="164"/>
      <c r="OKA76" s="164"/>
      <c r="OKB76" s="164"/>
      <c r="OKC76" s="164"/>
      <c r="OKD76" s="164"/>
      <c r="OKE76" s="164"/>
      <c r="OKF76" s="164"/>
      <c r="OKG76" s="164"/>
      <c r="OKH76" s="164"/>
      <c r="OKI76" s="164"/>
      <c r="OKJ76" s="164"/>
      <c r="OKK76" s="164"/>
      <c r="OKL76" s="164"/>
      <c r="OKM76" s="164"/>
      <c r="OKN76" s="164"/>
      <c r="OKO76" s="164"/>
      <c r="OKP76" s="164"/>
      <c r="OKQ76" s="164"/>
      <c r="OKR76" s="164"/>
      <c r="OKS76" s="164"/>
      <c r="OKT76" s="164"/>
      <c r="OKU76" s="164"/>
      <c r="OKV76" s="164"/>
      <c r="OKW76" s="164"/>
      <c r="OKX76" s="164"/>
      <c r="OKY76" s="164"/>
      <c r="OKZ76" s="164"/>
      <c r="OLA76" s="164"/>
      <c r="OLB76" s="164"/>
      <c r="OLC76" s="164"/>
      <c r="OLD76" s="164"/>
      <c r="OLE76" s="164"/>
      <c r="OLF76" s="164"/>
      <c r="OLG76" s="164"/>
      <c r="OLH76" s="164"/>
      <c r="OLI76" s="164"/>
      <c r="OLJ76" s="164"/>
      <c r="OLK76" s="164"/>
      <c r="OLL76" s="164"/>
      <c r="OLM76" s="164"/>
      <c r="OLN76" s="164"/>
      <c r="OLO76" s="164"/>
      <c r="OLP76" s="164"/>
      <c r="OLQ76" s="164"/>
      <c r="OLR76" s="164"/>
      <c r="OLS76" s="164"/>
      <c r="OLT76" s="164"/>
      <c r="OLU76" s="164"/>
      <c r="OLV76" s="164"/>
      <c r="OLW76" s="164"/>
      <c r="OLX76" s="164"/>
      <c r="OLY76" s="164"/>
      <c r="OLZ76" s="164"/>
      <c r="OMA76" s="164"/>
      <c r="OMB76" s="164"/>
      <c r="OMC76" s="164"/>
      <c r="OMD76" s="164"/>
      <c r="OME76" s="164"/>
      <c r="OMF76" s="164"/>
      <c r="OMG76" s="164"/>
      <c r="OMH76" s="164"/>
      <c r="OMI76" s="164"/>
      <c r="OMJ76" s="164"/>
      <c r="OMK76" s="164"/>
      <c r="OML76" s="164"/>
      <c r="OMM76" s="164"/>
      <c r="OMN76" s="164"/>
      <c r="OMO76" s="164"/>
      <c r="OMP76" s="164"/>
      <c r="OMQ76" s="164"/>
      <c r="OMR76" s="164"/>
      <c r="OMS76" s="164"/>
      <c r="OMT76" s="164"/>
      <c r="OMU76" s="164"/>
      <c r="OMV76" s="164"/>
      <c r="OMW76" s="164"/>
      <c r="OMX76" s="164"/>
      <c r="OMY76" s="164"/>
      <c r="OMZ76" s="164"/>
      <c r="ONA76" s="164"/>
      <c r="ONB76" s="164"/>
      <c r="ONC76" s="164"/>
      <c r="OND76" s="164"/>
      <c r="ONE76" s="164"/>
      <c r="ONF76" s="164"/>
      <c r="ONG76" s="164"/>
      <c r="ONH76" s="164"/>
      <c r="ONI76" s="164"/>
      <c r="ONJ76" s="164"/>
      <c r="ONK76" s="164"/>
      <c r="ONL76" s="164"/>
      <c r="ONM76" s="164"/>
      <c r="ONN76" s="164"/>
      <c r="ONO76" s="164"/>
      <c r="ONP76" s="164"/>
      <c r="ONQ76" s="164"/>
      <c r="ONR76" s="164"/>
      <c r="ONS76" s="164"/>
      <c r="ONT76" s="164"/>
      <c r="ONU76" s="164"/>
      <c r="ONV76" s="164"/>
      <c r="ONW76" s="164"/>
      <c r="ONX76" s="164"/>
      <c r="ONY76" s="164"/>
      <c r="ONZ76" s="164"/>
      <c r="OOA76" s="164"/>
      <c r="OOB76" s="164"/>
      <c r="OOC76" s="164"/>
      <c r="OOD76" s="164"/>
      <c r="OOE76" s="164"/>
      <c r="OOF76" s="164"/>
      <c r="OOG76" s="164"/>
      <c r="OOH76" s="164"/>
      <c r="OOI76" s="164"/>
      <c r="OOJ76" s="164"/>
      <c r="OOK76" s="164"/>
      <c r="OOL76" s="164"/>
      <c r="OOM76" s="164"/>
      <c r="OON76" s="164"/>
      <c r="OOO76" s="164"/>
      <c r="OOP76" s="164"/>
      <c r="OOQ76" s="164"/>
      <c r="OOR76" s="164"/>
      <c r="OOS76" s="164"/>
      <c r="OOT76" s="164"/>
      <c r="OOU76" s="164"/>
      <c r="OOV76" s="164"/>
      <c r="OOW76" s="164"/>
      <c r="OOX76" s="164"/>
      <c r="OOY76" s="164"/>
      <c r="OOZ76" s="164"/>
      <c r="OPA76" s="164"/>
      <c r="OPB76" s="164"/>
      <c r="OPC76" s="164"/>
      <c r="OPD76" s="164"/>
      <c r="OPE76" s="164"/>
      <c r="OPF76" s="164"/>
      <c r="OPG76" s="164"/>
      <c r="OPH76" s="164"/>
      <c r="OPI76" s="164"/>
      <c r="OPJ76" s="164"/>
      <c r="OPK76" s="164"/>
      <c r="OPL76" s="164"/>
      <c r="OPM76" s="164"/>
      <c r="OPN76" s="164"/>
      <c r="OPO76" s="164"/>
      <c r="OPP76" s="164"/>
      <c r="OPQ76" s="164"/>
      <c r="OPR76" s="164"/>
      <c r="OPS76" s="164"/>
      <c r="OPT76" s="164"/>
      <c r="OPU76" s="164"/>
      <c r="OPV76" s="164"/>
      <c r="OPW76" s="164"/>
      <c r="OPX76" s="164"/>
      <c r="OPY76" s="164"/>
      <c r="OPZ76" s="164"/>
      <c r="OQA76" s="164"/>
      <c r="OQB76" s="164"/>
      <c r="OQC76" s="164"/>
      <c r="OQD76" s="164"/>
      <c r="OQE76" s="164"/>
      <c r="OQF76" s="164"/>
      <c r="OQG76" s="164"/>
      <c r="OQH76" s="164"/>
      <c r="OQI76" s="164"/>
      <c r="OQJ76" s="164"/>
      <c r="OQK76" s="164"/>
      <c r="OQL76" s="164"/>
      <c r="OQM76" s="164"/>
      <c r="OQN76" s="164"/>
      <c r="OQO76" s="164"/>
      <c r="OQP76" s="164"/>
      <c r="OQQ76" s="164"/>
      <c r="OQR76" s="164"/>
      <c r="OQS76" s="164"/>
      <c r="OQT76" s="164"/>
      <c r="OQU76" s="164"/>
      <c r="OQV76" s="164"/>
      <c r="OQW76" s="164"/>
      <c r="OQX76" s="164"/>
      <c r="OQY76" s="164"/>
      <c r="OQZ76" s="164"/>
      <c r="ORA76" s="164"/>
      <c r="ORB76" s="164"/>
      <c r="ORC76" s="164"/>
      <c r="ORD76" s="164"/>
      <c r="ORE76" s="164"/>
      <c r="ORF76" s="164"/>
      <c r="ORG76" s="164"/>
      <c r="ORH76" s="164"/>
      <c r="ORI76" s="164"/>
      <c r="ORJ76" s="164"/>
      <c r="ORK76" s="164"/>
      <c r="ORL76" s="164"/>
      <c r="ORM76" s="164"/>
      <c r="ORN76" s="164"/>
      <c r="ORO76" s="164"/>
      <c r="ORP76" s="164"/>
      <c r="ORQ76" s="164"/>
      <c r="ORR76" s="164"/>
      <c r="ORS76" s="164"/>
      <c r="ORT76" s="164"/>
      <c r="ORU76" s="164"/>
      <c r="ORV76" s="164"/>
      <c r="ORW76" s="164"/>
      <c r="ORX76" s="164"/>
      <c r="ORY76" s="164"/>
      <c r="ORZ76" s="164"/>
      <c r="OSA76" s="164"/>
      <c r="OSB76" s="164"/>
      <c r="OSC76" s="164"/>
      <c r="OSD76" s="164"/>
      <c r="OSE76" s="164"/>
      <c r="OSF76" s="164"/>
      <c r="OSG76" s="164"/>
      <c r="OSH76" s="164"/>
      <c r="OSI76" s="164"/>
      <c r="OSJ76" s="164"/>
      <c r="OSK76" s="164"/>
      <c r="OSL76" s="164"/>
      <c r="OSM76" s="164"/>
      <c r="OSN76" s="164"/>
      <c r="OSO76" s="164"/>
      <c r="OSP76" s="164"/>
      <c r="OSQ76" s="164"/>
      <c r="OSR76" s="164"/>
      <c r="OSS76" s="164"/>
      <c r="OST76" s="164"/>
      <c r="OSU76" s="164"/>
      <c r="OSV76" s="164"/>
      <c r="OSW76" s="164"/>
      <c r="OSX76" s="164"/>
      <c r="OSY76" s="164"/>
      <c r="OSZ76" s="164"/>
      <c r="OTA76" s="164"/>
      <c r="OTB76" s="164"/>
      <c r="OTC76" s="164"/>
      <c r="OTD76" s="164"/>
      <c r="OTE76" s="164"/>
      <c r="OTF76" s="164"/>
      <c r="OTG76" s="164"/>
      <c r="OTH76" s="164"/>
      <c r="OTI76" s="164"/>
      <c r="OTJ76" s="164"/>
      <c r="OTK76" s="164"/>
      <c r="OTL76" s="164"/>
      <c r="OTM76" s="164"/>
      <c r="OTN76" s="164"/>
      <c r="OTO76" s="164"/>
      <c r="OTP76" s="164"/>
      <c r="OTQ76" s="164"/>
      <c r="OTR76" s="164"/>
      <c r="OTS76" s="164"/>
      <c r="OTT76" s="164"/>
      <c r="OTU76" s="164"/>
      <c r="OTV76" s="164"/>
      <c r="OTW76" s="164"/>
      <c r="OTX76" s="164"/>
      <c r="OTY76" s="164"/>
      <c r="OTZ76" s="164"/>
      <c r="OUA76" s="164"/>
      <c r="OUB76" s="164"/>
      <c r="OUC76" s="164"/>
      <c r="OUD76" s="164"/>
      <c r="OUE76" s="164"/>
      <c r="OUF76" s="164"/>
      <c r="OUG76" s="164"/>
      <c r="OUH76" s="164"/>
      <c r="OUI76" s="164"/>
      <c r="OUJ76" s="164"/>
      <c r="OUK76" s="164"/>
      <c r="OUL76" s="164"/>
      <c r="OUM76" s="164"/>
      <c r="OUN76" s="164"/>
      <c r="OUO76" s="164"/>
      <c r="OUP76" s="164"/>
      <c r="OUQ76" s="164"/>
      <c r="OUR76" s="164"/>
      <c r="OUS76" s="164"/>
      <c r="OUT76" s="164"/>
      <c r="OUU76" s="164"/>
      <c r="OUV76" s="164"/>
      <c r="OUW76" s="164"/>
      <c r="OUX76" s="164"/>
      <c r="OUY76" s="164"/>
      <c r="OUZ76" s="164"/>
      <c r="OVA76" s="164"/>
      <c r="OVB76" s="164"/>
      <c r="OVC76" s="164"/>
      <c r="OVD76" s="164"/>
      <c r="OVE76" s="164"/>
      <c r="OVF76" s="164"/>
      <c r="OVG76" s="164"/>
      <c r="OVH76" s="164"/>
      <c r="OVI76" s="164"/>
      <c r="OVJ76" s="164"/>
      <c r="OVK76" s="164"/>
      <c r="OVL76" s="164"/>
      <c r="OVM76" s="164"/>
      <c r="OVN76" s="164"/>
      <c r="OVO76" s="164"/>
      <c r="OVP76" s="164"/>
      <c r="OVQ76" s="164"/>
      <c r="OVR76" s="164"/>
      <c r="OVS76" s="164"/>
      <c r="OVT76" s="164"/>
      <c r="OVU76" s="164"/>
      <c r="OVV76" s="164"/>
      <c r="OVW76" s="164"/>
      <c r="OVX76" s="164"/>
      <c r="OVY76" s="164"/>
      <c r="OVZ76" s="164"/>
      <c r="OWA76" s="164"/>
      <c r="OWB76" s="164"/>
      <c r="OWC76" s="164"/>
      <c r="OWD76" s="164"/>
      <c r="OWE76" s="164"/>
      <c r="OWF76" s="164"/>
      <c r="OWG76" s="164"/>
      <c r="OWH76" s="164"/>
      <c r="OWI76" s="164"/>
      <c r="OWJ76" s="164"/>
      <c r="OWK76" s="164"/>
      <c r="OWL76" s="164"/>
      <c r="OWM76" s="164"/>
      <c r="OWN76" s="164"/>
      <c r="OWO76" s="164"/>
      <c r="OWP76" s="164"/>
      <c r="OWQ76" s="164"/>
      <c r="OWR76" s="164"/>
      <c r="OWS76" s="164"/>
      <c r="OWT76" s="164"/>
      <c r="OWU76" s="164"/>
      <c r="OWV76" s="164"/>
      <c r="OWW76" s="164"/>
      <c r="OWX76" s="164"/>
      <c r="OWY76" s="164"/>
      <c r="OWZ76" s="164"/>
      <c r="OXA76" s="164"/>
      <c r="OXB76" s="164"/>
      <c r="OXC76" s="164"/>
      <c r="OXD76" s="164"/>
      <c r="OXE76" s="164"/>
      <c r="OXF76" s="164"/>
      <c r="OXG76" s="164"/>
      <c r="OXH76" s="164"/>
      <c r="OXI76" s="164"/>
      <c r="OXJ76" s="164"/>
      <c r="OXK76" s="164"/>
      <c r="OXL76" s="164"/>
      <c r="OXM76" s="164"/>
      <c r="OXN76" s="164"/>
      <c r="OXO76" s="164"/>
      <c r="OXP76" s="164"/>
      <c r="OXQ76" s="164"/>
      <c r="OXR76" s="164"/>
      <c r="OXS76" s="164"/>
      <c r="OXT76" s="164"/>
      <c r="OXU76" s="164"/>
      <c r="OXV76" s="164"/>
      <c r="OXW76" s="164"/>
      <c r="OXX76" s="164"/>
      <c r="OXY76" s="164"/>
      <c r="OXZ76" s="164"/>
      <c r="OYA76" s="164"/>
      <c r="OYB76" s="164"/>
      <c r="OYC76" s="164"/>
      <c r="OYD76" s="164"/>
      <c r="OYE76" s="164"/>
      <c r="OYF76" s="164"/>
      <c r="OYG76" s="164"/>
      <c r="OYH76" s="164"/>
      <c r="OYI76" s="164"/>
      <c r="OYJ76" s="164"/>
      <c r="OYK76" s="164"/>
      <c r="OYL76" s="164"/>
      <c r="OYM76" s="164"/>
      <c r="OYN76" s="164"/>
      <c r="OYO76" s="164"/>
      <c r="OYP76" s="164"/>
      <c r="OYQ76" s="164"/>
      <c r="OYR76" s="164"/>
      <c r="OYS76" s="164"/>
      <c r="OYT76" s="164"/>
      <c r="OYU76" s="164"/>
      <c r="OYV76" s="164"/>
      <c r="OYW76" s="164"/>
      <c r="OYX76" s="164"/>
      <c r="OYY76" s="164"/>
      <c r="OYZ76" s="164"/>
      <c r="OZA76" s="164"/>
      <c r="OZB76" s="164"/>
      <c r="OZC76" s="164"/>
      <c r="OZD76" s="164"/>
      <c r="OZE76" s="164"/>
      <c r="OZF76" s="164"/>
      <c r="OZG76" s="164"/>
      <c r="OZH76" s="164"/>
      <c r="OZI76" s="164"/>
      <c r="OZJ76" s="164"/>
      <c r="OZK76" s="164"/>
      <c r="OZL76" s="164"/>
      <c r="OZM76" s="164"/>
      <c r="OZN76" s="164"/>
      <c r="OZO76" s="164"/>
      <c r="OZP76" s="164"/>
      <c r="OZQ76" s="164"/>
      <c r="OZR76" s="164"/>
      <c r="OZS76" s="164"/>
      <c r="OZT76" s="164"/>
      <c r="OZU76" s="164"/>
      <c r="OZV76" s="164"/>
      <c r="OZW76" s="164"/>
      <c r="OZX76" s="164"/>
      <c r="OZY76" s="164"/>
      <c r="OZZ76" s="164"/>
      <c r="PAA76" s="164"/>
      <c r="PAB76" s="164"/>
      <c r="PAC76" s="164"/>
      <c r="PAD76" s="164"/>
      <c r="PAE76" s="164"/>
      <c r="PAF76" s="164"/>
      <c r="PAG76" s="164"/>
      <c r="PAH76" s="164"/>
      <c r="PAI76" s="164"/>
      <c r="PAJ76" s="164"/>
      <c r="PAK76" s="164"/>
      <c r="PAL76" s="164"/>
      <c r="PAM76" s="164"/>
      <c r="PAN76" s="164"/>
      <c r="PAO76" s="164"/>
      <c r="PAP76" s="164"/>
      <c r="PAQ76" s="164"/>
      <c r="PAR76" s="164"/>
      <c r="PAS76" s="164"/>
      <c r="PAT76" s="164"/>
      <c r="PAU76" s="164"/>
      <c r="PAV76" s="164"/>
      <c r="PAW76" s="164"/>
      <c r="PAX76" s="164"/>
      <c r="PAY76" s="164"/>
      <c r="PAZ76" s="164"/>
      <c r="PBA76" s="164"/>
      <c r="PBB76" s="164"/>
      <c r="PBC76" s="164"/>
      <c r="PBD76" s="164"/>
      <c r="PBE76" s="164"/>
      <c r="PBF76" s="164"/>
      <c r="PBG76" s="164"/>
      <c r="PBH76" s="164"/>
      <c r="PBI76" s="164"/>
      <c r="PBJ76" s="164"/>
      <c r="PBK76" s="164"/>
      <c r="PBL76" s="164"/>
      <c r="PBM76" s="164"/>
      <c r="PBN76" s="164"/>
      <c r="PBO76" s="164"/>
      <c r="PBP76" s="164"/>
      <c r="PBQ76" s="164"/>
      <c r="PBR76" s="164"/>
      <c r="PBS76" s="164"/>
      <c r="PBT76" s="164"/>
      <c r="PBU76" s="164"/>
      <c r="PBV76" s="164"/>
      <c r="PBW76" s="164"/>
      <c r="PBX76" s="164"/>
      <c r="PBY76" s="164"/>
      <c r="PBZ76" s="164"/>
      <c r="PCA76" s="164"/>
      <c r="PCB76" s="164"/>
      <c r="PCC76" s="164"/>
      <c r="PCD76" s="164"/>
      <c r="PCE76" s="164"/>
      <c r="PCF76" s="164"/>
      <c r="PCG76" s="164"/>
      <c r="PCH76" s="164"/>
      <c r="PCI76" s="164"/>
      <c r="PCJ76" s="164"/>
      <c r="PCK76" s="164"/>
      <c r="PCL76" s="164"/>
      <c r="PCM76" s="164"/>
      <c r="PCN76" s="164"/>
      <c r="PCO76" s="164"/>
      <c r="PCP76" s="164"/>
      <c r="PCQ76" s="164"/>
      <c r="PCR76" s="164"/>
      <c r="PCS76" s="164"/>
      <c r="PCT76" s="164"/>
      <c r="PCU76" s="164"/>
      <c r="PCV76" s="164"/>
      <c r="PCW76" s="164"/>
      <c r="PCX76" s="164"/>
      <c r="PCY76" s="164"/>
      <c r="PCZ76" s="164"/>
      <c r="PDA76" s="164"/>
      <c r="PDB76" s="164"/>
      <c r="PDC76" s="164"/>
      <c r="PDD76" s="164"/>
      <c r="PDE76" s="164"/>
      <c r="PDF76" s="164"/>
      <c r="PDG76" s="164"/>
      <c r="PDH76" s="164"/>
      <c r="PDI76" s="164"/>
      <c r="PDJ76" s="164"/>
      <c r="PDK76" s="164"/>
      <c r="PDL76" s="164"/>
      <c r="PDM76" s="164"/>
      <c r="PDN76" s="164"/>
      <c r="PDO76" s="164"/>
      <c r="PDP76" s="164"/>
      <c r="PDQ76" s="164"/>
      <c r="PDR76" s="164"/>
      <c r="PDS76" s="164"/>
      <c r="PDT76" s="164"/>
      <c r="PDU76" s="164"/>
      <c r="PDV76" s="164"/>
      <c r="PDW76" s="164"/>
      <c r="PDX76" s="164"/>
      <c r="PDY76" s="164"/>
      <c r="PDZ76" s="164"/>
      <c r="PEA76" s="164"/>
      <c r="PEB76" s="164"/>
      <c r="PEC76" s="164"/>
      <c r="PED76" s="164"/>
      <c r="PEE76" s="164"/>
      <c r="PEF76" s="164"/>
      <c r="PEG76" s="164"/>
      <c r="PEH76" s="164"/>
      <c r="PEI76" s="164"/>
      <c r="PEJ76" s="164"/>
      <c r="PEK76" s="164"/>
      <c r="PEL76" s="164"/>
      <c r="PEM76" s="164"/>
      <c r="PEN76" s="164"/>
      <c r="PEO76" s="164"/>
      <c r="PEP76" s="164"/>
      <c r="PEQ76" s="164"/>
      <c r="PER76" s="164"/>
      <c r="PES76" s="164"/>
      <c r="PET76" s="164"/>
      <c r="PEU76" s="164"/>
      <c r="PEV76" s="164"/>
      <c r="PEW76" s="164"/>
      <c r="PEX76" s="164"/>
      <c r="PEY76" s="164"/>
      <c r="PEZ76" s="164"/>
      <c r="PFA76" s="164"/>
      <c r="PFB76" s="164"/>
      <c r="PFC76" s="164"/>
      <c r="PFD76" s="164"/>
      <c r="PFE76" s="164"/>
      <c r="PFF76" s="164"/>
      <c r="PFG76" s="164"/>
      <c r="PFH76" s="164"/>
      <c r="PFI76" s="164"/>
      <c r="PFJ76" s="164"/>
      <c r="PFK76" s="164"/>
      <c r="PFL76" s="164"/>
      <c r="PFM76" s="164"/>
      <c r="PFN76" s="164"/>
      <c r="PFO76" s="164"/>
      <c r="PFP76" s="164"/>
      <c r="PFQ76" s="164"/>
      <c r="PFR76" s="164"/>
      <c r="PFS76" s="164"/>
      <c r="PFT76" s="164"/>
      <c r="PFU76" s="164"/>
      <c r="PFV76" s="164"/>
      <c r="PFW76" s="164"/>
      <c r="PFX76" s="164"/>
      <c r="PFY76" s="164"/>
      <c r="PFZ76" s="164"/>
      <c r="PGA76" s="164"/>
      <c r="PGB76" s="164"/>
      <c r="PGC76" s="164"/>
      <c r="PGD76" s="164"/>
      <c r="PGE76" s="164"/>
      <c r="PGF76" s="164"/>
      <c r="PGG76" s="164"/>
      <c r="PGH76" s="164"/>
      <c r="PGI76" s="164"/>
      <c r="PGJ76" s="164"/>
      <c r="PGK76" s="164"/>
      <c r="PGL76" s="164"/>
      <c r="PGM76" s="164"/>
      <c r="PGN76" s="164"/>
      <c r="PGO76" s="164"/>
      <c r="PGP76" s="164"/>
      <c r="PGQ76" s="164"/>
      <c r="PGR76" s="164"/>
      <c r="PGS76" s="164"/>
      <c r="PGT76" s="164"/>
      <c r="PGU76" s="164"/>
      <c r="PGV76" s="164"/>
      <c r="PGW76" s="164"/>
      <c r="PGX76" s="164"/>
      <c r="PGY76" s="164"/>
      <c r="PGZ76" s="164"/>
      <c r="PHA76" s="164"/>
      <c r="PHB76" s="164"/>
      <c r="PHC76" s="164"/>
      <c r="PHD76" s="164"/>
      <c r="PHE76" s="164"/>
      <c r="PHF76" s="164"/>
      <c r="PHG76" s="164"/>
      <c r="PHH76" s="164"/>
      <c r="PHI76" s="164"/>
      <c r="PHJ76" s="164"/>
      <c r="PHK76" s="164"/>
      <c r="PHL76" s="164"/>
      <c r="PHM76" s="164"/>
      <c r="PHN76" s="164"/>
      <c r="PHO76" s="164"/>
      <c r="PHP76" s="164"/>
      <c r="PHQ76" s="164"/>
      <c r="PHR76" s="164"/>
      <c r="PHS76" s="164"/>
      <c r="PHT76" s="164"/>
      <c r="PHU76" s="164"/>
      <c r="PHV76" s="164"/>
      <c r="PHW76" s="164"/>
      <c r="PHX76" s="164"/>
      <c r="PHY76" s="164"/>
      <c r="PHZ76" s="164"/>
      <c r="PIA76" s="164"/>
      <c r="PIB76" s="164"/>
      <c r="PIC76" s="164"/>
      <c r="PID76" s="164"/>
      <c r="PIE76" s="164"/>
      <c r="PIF76" s="164"/>
      <c r="PIG76" s="164"/>
      <c r="PIH76" s="164"/>
      <c r="PII76" s="164"/>
      <c r="PIJ76" s="164"/>
      <c r="PIK76" s="164"/>
      <c r="PIL76" s="164"/>
      <c r="PIM76" s="164"/>
      <c r="PIN76" s="164"/>
      <c r="PIO76" s="164"/>
      <c r="PIP76" s="164"/>
      <c r="PIQ76" s="164"/>
      <c r="PIR76" s="164"/>
      <c r="PIS76" s="164"/>
      <c r="PIT76" s="164"/>
      <c r="PIU76" s="164"/>
      <c r="PIV76" s="164"/>
      <c r="PIW76" s="164"/>
      <c r="PIX76" s="164"/>
      <c r="PIY76" s="164"/>
      <c r="PIZ76" s="164"/>
      <c r="PJA76" s="164"/>
      <c r="PJB76" s="164"/>
      <c r="PJC76" s="164"/>
      <c r="PJD76" s="164"/>
      <c r="PJE76" s="164"/>
      <c r="PJF76" s="164"/>
      <c r="PJG76" s="164"/>
      <c r="PJH76" s="164"/>
      <c r="PJI76" s="164"/>
      <c r="PJJ76" s="164"/>
      <c r="PJK76" s="164"/>
      <c r="PJL76" s="164"/>
      <c r="PJM76" s="164"/>
      <c r="PJN76" s="164"/>
      <c r="PJO76" s="164"/>
      <c r="PJP76" s="164"/>
      <c r="PJQ76" s="164"/>
      <c r="PJR76" s="164"/>
      <c r="PJS76" s="164"/>
      <c r="PJT76" s="164"/>
      <c r="PJU76" s="164"/>
      <c r="PJV76" s="164"/>
      <c r="PJW76" s="164"/>
      <c r="PJX76" s="164"/>
      <c r="PJY76" s="164"/>
      <c r="PJZ76" s="164"/>
      <c r="PKA76" s="164"/>
      <c r="PKB76" s="164"/>
      <c r="PKC76" s="164"/>
      <c r="PKD76" s="164"/>
      <c r="PKE76" s="164"/>
      <c r="PKF76" s="164"/>
      <c r="PKG76" s="164"/>
      <c r="PKH76" s="164"/>
      <c r="PKI76" s="164"/>
      <c r="PKJ76" s="164"/>
      <c r="PKK76" s="164"/>
      <c r="PKL76" s="164"/>
      <c r="PKM76" s="164"/>
      <c r="PKN76" s="164"/>
      <c r="PKO76" s="164"/>
      <c r="PKP76" s="164"/>
      <c r="PKQ76" s="164"/>
      <c r="PKR76" s="164"/>
      <c r="PKS76" s="164"/>
      <c r="PKT76" s="164"/>
      <c r="PKU76" s="164"/>
      <c r="PKV76" s="164"/>
      <c r="PKW76" s="164"/>
      <c r="PKX76" s="164"/>
      <c r="PKY76" s="164"/>
      <c r="PKZ76" s="164"/>
      <c r="PLA76" s="164"/>
      <c r="PLB76" s="164"/>
      <c r="PLC76" s="164"/>
      <c r="PLD76" s="164"/>
      <c r="PLE76" s="164"/>
      <c r="PLF76" s="164"/>
      <c r="PLG76" s="164"/>
      <c r="PLH76" s="164"/>
      <c r="PLI76" s="164"/>
      <c r="PLJ76" s="164"/>
      <c r="PLK76" s="164"/>
      <c r="PLL76" s="164"/>
      <c r="PLM76" s="164"/>
      <c r="PLN76" s="164"/>
      <c r="PLO76" s="164"/>
      <c r="PLP76" s="164"/>
      <c r="PLQ76" s="164"/>
      <c r="PLR76" s="164"/>
      <c r="PLS76" s="164"/>
      <c r="PLT76" s="164"/>
      <c r="PLU76" s="164"/>
      <c r="PLV76" s="164"/>
      <c r="PLW76" s="164"/>
      <c r="PLX76" s="164"/>
      <c r="PLY76" s="164"/>
      <c r="PLZ76" s="164"/>
      <c r="PMA76" s="164"/>
      <c r="PMB76" s="164"/>
      <c r="PMC76" s="164"/>
      <c r="PMD76" s="164"/>
      <c r="PME76" s="164"/>
      <c r="PMF76" s="164"/>
      <c r="PMG76" s="164"/>
      <c r="PMH76" s="164"/>
      <c r="PMI76" s="164"/>
      <c r="PMJ76" s="164"/>
      <c r="PMK76" s="164"/>
      <c r="PML76" s="164"/>
      <c r="PMM76" s="164"/>
      <c r="PMN76" s="164"/>
      <c r="PMO76" s="164"/>
      <c r="PMP76" s="164"/>
      <c r="PMQ76" s="164"/>
      <c r="PMR76" s="164"/>
      <c r="PMS76" s="164"/>
      <c r="PMT76" s="164"/>
      <c r="PMU76" s="164"/>
      <c r="PMV76" s="164"/>
      <c r="PMW76" s="164"/>
      <c r="PMX76" s="164"/>
      <c r="PMY76" s="164"/>
      <c r="PMZ76" s="164"/>
      <c r="PNA76" s="164"/>
      <c r="PNB76" s="164"/>
      <c r="PNC76" s="164"/>
      <c r="PND76" s="164"/>
      <c r="PNE76" s="164"/>
      <c r="PNF76" s="164"/>
      <c r="PNG76" s="164"/>
      <c r="PNH76" s="164"/>
      <c r="PNI76" s="164"/>
      <c r="PNJ76" s="164"/>
      <c r="PNK76" s="164"/>
      <c r="PNL76" s="164"/>
      <c r="PNM76" s="164"/>
      <c r="PNN76" s="164"/>
      <c r="PNO76" s="164"/>
      <c r="PNP76" s="164"/>
      <c r="PNQ76" s="164"/>
      <c r="PNR76" s="164"/>
      <c r="PNS76" s="164"/>
      <c r="PNT76" s="164"/>
      <c r="PNU76" s="164"/>
      <c r="PNV76" s="164"/>
      <c r="PNW76" s="164"/>
      <c r="PNX76" s="164"/>
      <c r="PNY76" s="164"/>
      <c r="PNZ76" s="164"/>
      <c r="POA76" s="164"/>
      <c r="POB76" s="164"/>
      <c r="POC76" s="164"/>
      <c r="POD76" s="164"/>
      <c r="POE76" s="164"/>
      <c r="POF76" s="164"/>
      <c r="POG76" s="164"/>
      <c r="POH76" s="164"/>
      <c r="POI76" s="164"/>
      <c r="POJ76" s="164"/>
      <c r="POK76" s="164"/>
      <c r="POL76" s="164"/>
      <c r="POM76" s="164"/>
      <c r="PON76" s="164"/>
      <c r="POO76" s="164"/>
      <c r="POP76" s="164"/>
      <c r="POQ76" s="164"/>
      <c r="POR76" s="164"/>
      <c r="POS76" s="164"/>
      <c r="POT76" s="164"/>
      <c r="POU76" s="164"/>
      <c r="POV76" s="164"/>
      <c r="POW76" s="164"/>
      <c r="POX76" s="164"/>
      <c r="POY76" s="164"/>
      <c r="POZ76" s="164"/>
      <c r="PPA76" s="164"/>
      <c r="PPB76" s="164"/>
      <c r="PPC76" s="164"/>
      <c r="PPD76" s="164"/>
      <c r="PPE76" s="164"/>
      <c r="PPF76" s="164"/>
      <c r="PPG76" s="164"/>
      <c r="PPH76" s="164"/>
      <c r="PPI76" s="164"/>
      <c r="PPJ76" s="164"/>
      <c r="PPK76" s="164"/>
      <c r="PPL76" s="164"/>
      <c r="PPM76" s="164"/>
      <c r="PPN76" s="164"/>
      <c r="PPO76" s="164"/>
      <c r="PPP76" s="164"/>
      <c r="PPQ76" s="164"/>
      <c r="PPR76" s="164"/>
      <c r="PPS76" s="164"/>
      <c r="PPT76" s="164"/>
      <c r="PPU76" s="164"/>
      <c r="PPV76" s="164"/>
      <c r="PPW76" s="164"/>
      <c r="PPX76" s="164"/>
      <c r="PPY76" s="164"/>
      <c r="PPZ76" s="164"/>
      <c r="PQA76" s="164"/>
      <c r="PQB76" s="164"/>
      <c r="PQC76" s="164"/>
      <c r="PQD76" s="164"/>
      <c r="PQE76" s="164"/>
      <c r="PQF76" s="164"/>
      <c r="PQG76" s="164"/>
      <c r="PQH76" s="164"/>
      <c r="PQI76" s="164"/>
      <c r="PQJ76" s="164"/>
      <c r="PQK76" s="164"/>
      <c r="PQL76" s="164"/>
      <c r="PQM76" s="164"/>
      <c r="PQN76" s="164"/>
      <c r="PQO76" s="164"/>
      <c r="PQP76" s="164"/>
      <c r="PQQ76" s="164"/>
      <c r="PQR76" s="164"/>
      <c r="PQS76" s="164"/>
      <c r="PQT76" s="164"/>
      <c r="PQU76" s="164"/>
      <c r="PQV76" s="164"/>
      <c r="PQW76" s="164"/>
      <c r="PQX76" s="164"/>
      <c r="PQY76" s="164"/>
      <c r="PQZ76" s="164"/>
      <c r="PRA76" s="164"/>
      <c r="PRB76" s="164"/>
      <c r="PRC76" s="164"/>
      <c r="PRD76" s="164"/>
      <c r="PRE76" s="164"/>
      <c r="PRF76" s="164"/>
      <c r="PRG76" s="164"/>
      <c r="PRH76" s="164"/>
      <c r="PRI76" s="164"/>
      <c r="PRJ76" s="164"/>
      <c r="PRK76" s="164"/>
      <c r="PRL76" s="164"/>
      <c r="PRM76" s="164"/>
      <c r="PRN76" s="164"/>
      <c r="PRO76" s="164"/>
      <c r="PRP76" s="164"/>
      <c r="PRQ76" s="164"/>
      <c r="PRR76" s="164"/>
      <c r="PRS76" s="164"/>
      <c r="PRT76" s="164"/>
      <c r="PRU76" s="164"/>
      <c r="PRV76" s="164"/>
      <c r="PRW76" s="164"/>
      <c r="PRX76" s="164"/>
      <c r="PRY76" s="164"/>
      <c r="PRZ76" s="164"/>
      <c r="PSA76" s="164"/>
      <c r="PSB76" s="164"/>
      <c r="PSC76" s="164"/>
      <c r="PSD76" s="164"/>
      <c r="PSE76" s="164"/>
      <c r="PSF76" s="164"/>
      <c r="PSG76" s="164"/>
      <c r="PSH76" s="164"/>
      <c r="PSI76" s="164"/>
      <c r="PSJ76" s="164"/>
      <c r="PSK76" s="164"/>
      <c r="PSL76" s="164"/>
      <c r="PSM76" s="164"/>
      <c r="PSN76" s="164"/>
      <c r="PSO76" s="164"/>
      <c r="PSP76" s="164"/>
      <c r="PSQ76" s="164"/>
      <c r="PSR76" s="164"/>
      <c r="PSS76" s="164"/>
      <c r="PST76" s="164"/>
      <c r="PSU76" s="164"/>
      <c r="PSV76" s="164"/>
      <c r="PSW76" s="164"/>
      <c r="PSX76" s="164"/>
      <c r="PSY76" s="164"/>
      <c r="PSZ76" s="164"/>
      <c r="PTA76" s="164"/>
      <c r="PTB76" s="164"/>
      <c r="PTC76" s="164"/>
      <c r="PTD76" s="164"/>
      <c r="PTE76" s="164"/>
      <c r="PTF76" s="164"/>
      <c r="PTG76" s="164"/>
      <c r="PTH76" s="164"/>
      <c r="PTI76" s="164"/>
      <c r="PTJ76" s="164"/>
      <c r="PTK76" s="164"/>
      <c r="PTL76" s="164"/>
      <c r="PTM76" s="164"/>
      <c r="PTN76" s="164"/>
      <c r="PTO76" s="164"/>
      <c r="PTP76" s="164"/>
      <c r="PTQ76" s="164"/>
      <c r="PTR76" s="164"/>
      <c r="PTS76" s="164"/>
      <c r="PTT76" s="164"/>
      <c r="PTU76" s="164"/>
      <c r="PTV76" s="164"/>
      <c r="PTW76" s="164"/>
      <c r="PTX76" s="164"/>
      <c r="PTY76" s="164"/>
      <c r="PTZ76" s="164"/>
      <c r="PUA76" s="164"/>
      <c r="PUB76" s="164"/>
      <c r="PUC76" s="164"/>
      <c r="PUD76" s="164"/>
      <c r="PUE76" s="164"/>
      <c r="PUF76" s="164"/>
      <c r="PUG76" s="164"/>
      <c r="PUH76" s="164"/>
      <c r="PUI76" s="164"/>
      <c r="PUJ76" s="164"/>
      <c r="PUK76" s="164"/>
      <c r="PUL76" s="164"/>
      <c r="PUM76" s="164"/>
      <c r="PUN76" s="164"/>
      <c r="PUO76" s="164"/>
      <c r="PUP76" s="164"/>
      <c r="PUQ76" s="164"/>
      <c r="PUR76" s="164"/>
      <c r="PUS76" s="164"/>
      <c r="PUT76" s="164"/>
      <c r="PUU76" s="164"/>
      <c r="PUV76" s="164"/>
      <c r="PUW76" s="164"/>
      <c r="PUX76" s="164"/>
      <c r="PUY76" s="164"/>
      <c r="PUZ76" s="164"/>
      <c r="PVA76" s="164"/>
      <c r="PVB76" s="164"/>
      <c r="PVC76" s="164"/>
      <c r="PVD76" s="164"/>
      <c r="PVE76" s="164"/>
      <c r="PVF76" s="164"/>
      <c r="PVG76" s="164"/>
      <c r="PVH76" s="164"/>
      <c r="PVI76" s="164"/>
      <c r="PVJ76" s="164"/>
      <c r="PVK76" s="164"/>
      <c r="PVL76" s="164"/>
      <c r="PVM76" s="164"/>
      <c r="PVN76" s="164"/>
      <c r="PVO76" s="164"/>
      <c r="PVP76" s="164"/>
      <c r="PVQ76" s="164"/>
      <c r="PVR76" s="164"/>
      <c r="PVS76" s="164"/>
      <c r="PVT76" s="164"/>
      <c r="PVU76" s="164"/>
      <c r="PVV76" s="164"/>
      <c r="PVW76" s="164"/>
      <c r="PVX76" s="164"/>
      <c r="PVY76" s="164"/>
      <c r="PVZ76" s="164"/>
      <c r="PWA76" s="164"/>
      <c r="PWB76" s="164"/>
      <c r="PWC76" s="164"/>
      <c r="PWD76" s="164"/>
      <c r="PWE76" s="164"/>
      <c r="PWF76" s="164"/>
      <c r="PWG76" s="164"/>
      <c r="PWH76" s="164"/>
      <c r="PWI76" s="164"/>
      <c r="PWJ76" s="164"/>
      <c r="PWK76" s="164"/>
      <c r="PWL76" s="164"/>
      <c r="PWM76" s="164"/>
      <c r="PWN76" s="164"/>
      <c r="PWO76" s="164"/>
      <c r="PWP76" s="164"/>
      <c r="PWQ76" s="164"/>
      <c r="PWR76" s="164"/>
      <c r="PWS76" s="164"/>
      <c r="PWT76" s="164"/>
      <c r="PWU76" s="164"/>
      <c r="PWV76" s="164"/>
      <c r="PWW76" s="164"/>
      <c r="PWX76" s="164"/>
      <c r="PWY76" s="164"/>
      <c r="PWZ76" s="164"/>
      <c r="PXA76" s="164"/>
      <c r="PXB76" s="164"/>
      <c r="PXC76" s="164"/>
      <c r="PXD76" s="164"/>
      <c r="PXE76" s="164"/>
      <c r="PXF76" s="164"/>
      <c r="PXG76" s="164"/>
      <c r="PXH76" s="164"/>
      <c r="PXI76" s="164"/>
      <c r="PXJ76" s="164"/>
      <c r="PXK76" s="164"/>
      <c r="PXL76" s="164"/>
      <c r="PXM76" s="164"/>
      <c r="PXN76" s="164"/>
      <c r="PXO76" s="164"/>
      <c r="PXP76" s="164"/>
      <c r="PXQ76" s="164"/>
      <c r="PXR76" s="164"/>
      <c r="PXS76" s="164"/>
      <c r="PXT76" s="164"/>
      <c r="PXU76" s="164"/>
      <c r="PXV76" s="164"/>
      <c r="PXW76" s="164"/>
      <c r="PXX76" s="164"/>
      <c r="PXY76" s="164"/>
      <c r="PXZ76" s="164"/>
      <c r="PYA76" s="164"/>
      <c r="PYB76" s="164"/>
      <c r="PYC76" s="164"/>
      <c r="PYD76" s="164"/>
      <c r="PYE76" s="164"/>
      <c r="PYF76" s="164"/>
      <c r="PYG76" s="164"/>
      <c r="PYH76" s="164"/>
      <c r="PYI76" s="164"/>
      <c r="PYJ76" s="164"/>
      <c r="PYK76" s="164"/>
      <c r="PYL76" s="164"/>
      <c r="PYM76" s="164"/>
      <c r="PYN76" s="164"/>
      <c r="PYO76" s="164"/>
      <c r="PYP76" s="164"/>
      <c r="PYQ76" s="164"/>
      <c r="PYR76" s="164"/>
      <c r="PYS76" s="164"/>
      <c r="PYT76" s="164"/>
      <c r="PYU76" s="164"/>
      <c r="PYV76" s="164"/>
      <c r="PYW76" s="164"/>
      <c r="PYX76" s="164"/>
      <c r="PYY76" s="164"/>
      <c r="PYZ76" s="164"/>
      <c r="PZA76" s="164"/>
      <c r="PZB76" s="164"/>
      <c r="PZC76" s="164"/>
      <c r="PZD76" s="164"/>
      <c r="PZE76" s="164"/>
      <c r="PZF76" s="164"/>
      <c r="PZG76" s="164"/>
      <c r="PZH76" s="164"/>
      <c r="PZI76" s="164"/>
      <c r="PZJ76" s="164"/>
      <c r="PZK76" s="164"/>
      <c r="PZL76" s="164"/>
      <c r="PZM76" s="164"/>
      <c r="PZN76" s="164"/>
      <c r="PZO76" s="164"/>
      <c r="PZP76" s="164"/>
      <c r="PZQ76" s="164"/>
      <c r="PZR76" s="164"/>
      <c r="PZS76" s="164"/>
      <c r="PZT76" s="164"/>
      <c r="PZU76" s="164"/>
      <c r="PZV76" s="164"/>
      <c r="PZW76" s="164"/>
      <c r="PZX76" s="164"/>
      <c r="PZY76" s="164"/>
      <c r="PZZ76" s="164"/>
      <c r="QAA76" s="164"/>
      <c r="QAB76" s="164"/>
      <c r="QAC76" s="164"/>
      <c r="QAD76" s="164"/>
      <c r="QAE76" s="164"/>
      <c r="QAF76" s="164"/>
      <c r="QAG76" s="164"/>
      <c r="QAH76" s="164"/>
      <c r="QAI76" s="164"/>
      <c r="QAJ76" s="164"/>
      <c r="QAK76" s="164"/>
      <c r="QAL76" s="164"/>
      <c r="QAM76" s="164"/>
      <c r="QAN76" s="164"/>
      <c r="QAO76" s="164"/>
      <c r="QAP76" s="164"/>
      <c r="QAQ76" s="164"/>
      <c r="QAR76" s="164"/>
      <c r="QAS76" s="164"/>
      <c r="QAT76" s="164"/>
      <c r="QAU76" s="164"/>
      <c r="QAV76" s="164"/>
      <c r="QAW76" s="164"/>
      <c r="QAX76" s="164"/>
      <c r="QAY76" s="164"/>
      <c r="QAZ76" s="164"/>
      <c r="QBA76" s="164"/>
      <c r="QBB76" s="164"/>
      <c r="QBC76" s="164"/>
      <c r="QBD76" s="164"/>
      <c r="QBE76" s="164"/>
      <c r="QBF76" s="164"/>
      <c r="QBG76" s="164"/>
      <c r="QBH76" s="164"/>
      <c r="QBI76" s="164"/>
      <c r="QBJ76" s="164"/>
      <c r="QBK76" s="164"/>
      <c r="QBL76" s="164"/>
      <c r="QBM76" s="164"/>
      <c r="QBN76" s="164"/>
      <c r="QBO76" s="164"/>
      <c r="QBP76" s="164"/>
      <c r="QBQ76" s="164"/>
      <c r="QBR76" s="164"/>
      <c r="QBS76" s="164"/>
      <c r="QBT76" s="164"/>
      <c r="QBU76" s="164"/>
      <c r="QBV76" s="164"/>
      <c r="QBW76" s="164"/>
      <c r="QBX76" s="164"/>
      <c r="QBY76" s="164"/>
      <c r="QBZ76" s="164"/>
      <c r="QCA76" s="164"/>
      <c r="QCB76" s="164"/>
      <c r="QCC76" s="164"/>
      <c r="QCD76" s="164"/>
      <c r="QCE76" s="164"/>
      <c r="QCF76" s="164"/>
      <c r="QCG76" s="164"/>
      <c r="QCH76" s="164"/>
      <c r="QCI76" s="164"/>
      <c r="QCJ76" s="164"/>
      <c r="QCK76" s="164"/>
      <c r="QCL76" s="164"/>
      <c r="QCM76" s="164"/>
      <c r="QCN76" s="164"/>
      <c r="QCO76" s="164"/>
      <c r="QCP76" s="164"/>
      <c r="QCQ76" s="164"/>
      <c r="QCR76" s="164"/>
      <c r="QCS76" s="164"/>
      <c r="QCT76" s="164"/>
      <c r="QCU76" s="164"/>
      <c r="QCV76" s="164"/>
      <c r="QCW76" s="164"/>
      <c r="QCX76" s="164"/>
      <c r="QCY76" s="164"/>
      <c r="QCZ76" s="164"/>
      <c r="QDA76" s="164"/>
      <c r="QDB76" s="164"/>
      <c r="QDC76" s="164"/>
      <c r="QDD76" s="164"/>
      <c r="QDE76" s="164"/>
      <c r="QDF76" s="164"/>
      <c r="QDG76" s="164"/>
      <c r="QDH76" s="164"/>
      <c r="QDI76" s="164"/>
      <c r="QDJ76" s="164"/>
      <c r="QDK76" s="164"/>
      <c r="QDL76" s="164"/>
      <c r="QDM76" s="164"/>
      <c r="QDN76" s="164"/>
      <c r="QDO76" s="164"/>
      <c r="QDP76" s="164"/>
      <c r="QDQ76" s="164"/>
      <c r="QDR76" s="164"/>
      <c r="QDS76" s="164"/>
      <c r="QDT76" s="164"/>
      <c r="QDU76" s="164"/>
      <c r="QDV76" s="164"/>
      <c r="QDW76" s="164"/>
      <c r="QDX76" s="164"/>
      <c r="QDY76" s="164"/>
      <c r="QDZ76" s="164"/>
      <c r="QEA76" s="164"/>
      <c r="QEB76" s="164"/>
      <c r="QEC76" s="164"/>
      <c r="QED76" s="164"/>
      <c r="QEE76" s="164"/>
      <c r="QEF76" s="164"/>
      <c r="QEG76" s="164"/>
      <c r="QEH76" s="164"/>
      <c r="QEI76" s="164"/>
      <c r="QEJ76" s="164"/>
      <c r="QEK76" s="164"/>
      <c r="QEL76" s="164"/>
      <c r="QEM76" s="164"/>
      <c r="QEN76" s="164"/>
      <c r="QEO76" s="164"/>
      <c r="QEP76" s="164"/>
      <c r="QEQ76" s="164"/>
      <c r="QER76" s="164"/>
      <c r="QES76" s="164"/>
      <c r="QET76" s="164"/>
      <c r="QEU76" s="164"/>
      <c r="QEV76" s="164"/>
      <c r="QEW76" s="164"/>
      <c r="QEX76" s="164"/>
      <c r="QEY76" s="164"/>
      <c r="QEZ76" s="164"/>
      <c r="QFA76" s="164"/>
      <c r="QFB76" s="164"/>
      <c r="QFC76" s="164"/>
      <c r="QFD76" s="164"/>
      <c r="QFE76" s="164"/>
      <c r="QFF76" s="164"/>
      <c r="QFG76" s="164"/>
      <c r="QFH76" s="164"/>
      <c r="QFI76" s="164"/>
      <c r="QFJ76" s="164"/>
      <c r="QFK76" s="164"/>
      <c r="QFL76" s="164"/>
      <c r="QFM76" s="164"/>
      <c r="QFN76" s="164"/>
      <c r="QFO76" s="164"/>
      <c r="QFP76" s="164"/>
      <c r="QFQ76" s="164"/>
      <c r="QFR76" s="164"/>
      <c r="QFS76" s="164"/>
      <c r="QFT76" s="164"/>
      <c r="QFU76" s="164"/>
      <c r="QFV76" s="164"/>
      <c r="QFW76" s="164"/>
      <c r="QFX76" s="164"/>
      <c r="QFY76" s="164"/>
      <c r="QFZ76" s="164"/>
      <c r="QGA76" s="164"/>
      <c r="QGB76" s="164"/>
      <c r="QGC76" s="164"/>
      <c r="QGD76" s="164"/>
      <c r="QGE76" s="164"/>
      <c r="QGF76" s="164"/>
      <c r="QGG76" s="164"/>
      <c r="QGH76" s="164"/>
      <c r="QGI76" s="164"/>
      <c r="QGJ76" s="164"/>
      <c r="QGK76" s="164"/>
      <c r="QGL76" s="164"/>
      <c r="QGM76" s="164"/>
      <c r="QGN76" s="164"/>
      <c r="QGO76" s="164"/>
      <c r="QGP76" s="164"/>
      <c r="QGQ76" s="164"/>
      <c r="QGR76" s="164"/>
      <c r="QGS76" s="164"/>
      <c r="QGT76" s="164"/>
      <c r="QGU76" s="164"/>
      <c r="QGV76" s="164"/>
      <c r="QGW76" s="164"/>
      <c r="QGX76" s="164"/>
      <c r="QGY76" s="164"/>
      <c r="QGZ76" s="164"/>
      <c r="QHA76" s="164"/>
      <c r="QHB76" s="164"/>
      <c r="QHC76" s="164"/>
      <c r="QHD76" s="164"/>
      <c r="QHE76" s="164"/>
      <c r="QHF76" s="164"/>
      <c r="QHG76" s="164"/>
      <c r="QHH76" s="164"/>
      <c r="QHI76" s="164"/>
      <c r="QHJ76" s="164"/>
      <c r="QHK76" s="164"/>
      <c r="QHL76" s="164"/>
      <c r="QHM76" s="164"/>
      <c r="QHN76" s="164"/>
      <c r="QHO76" s="164"/>
      <c r="QHP76" s="164"/>
      <c r="QHQ76" s="164"/>
      <c r="QHR76" s="164"/>
      <c r="QHS76" s="164"/>
      <c r="QHT76" s="164"/>
      <c r="QHU76" s="164"/>
      <c r="QHV76" s="164"/>
      <c r="QHW76" s="164"/>
      <c r="QHX76" s="164"/>
      <c r="QHY76" s="164"/>
      <c r="QHZ76" s="164"/>
      <c r="QIA76" s="164"/>
      <c r="QIB76" s="164"/>
      <c r="QIC76" s="164"/>
      <c r="QID76" s="164"/>
      <c r="QIE76" s="164"/>
      <c r="QIF76" s="164"/>
      <c r="QIG76" s="164"/>
      <c r="QIH76" s="164"/>
      <c r="QII76" s="164"/>
      <c r="QIJ76" s="164"/>
      <c r="QIK76" s="164"/>
      <c r="QIL76" s="164"/>
      <c r="QIM76" s="164"/>
      <c r="QIN76" s="164"/>
      <c r="QIO76" s="164"/>
      <c r="QIP76" s="164"/>
      <c r="QIQ76" s="164"/>
      <c r="QIR76" s="164"/>
      <c r="QIS76" s="164"/>
      <c r="QIT76" s="164"/>
      <c r="QIU76" s="164"/>
      <c r="QIV76" s="164"/>
      <c r="QIW76" s="164"/>
      <c r="QIX76" s="164"/>
      <c r="QIY76" s="164"/>
      <c r="QIZ76" s="164"/>
      <c r="QJA76" s="164"/>
      <c r="QJB76" s="164"/>
      <c r="QJC76" s="164"/>
      <c r="QJD76" s="164"/>
      <c r="QJE76" s="164"/>
      <c r="QJF76" s="164"/>
      <c r="QJG76" s="164"/>
      <c r="QJH76" s="164"/>
      <c r="QJI76" s="164"/>
      <c r="QJJ76" s="164"/>
      <c r="QJK76" s="164"/>
      <c r="QJL76" s="164"/>
      <c r="QJM76" s="164"/>
      <c r="QJN76" s="164"/>
      <c r="QJO76" s="164"/>
      <c r="QJP76" s="164"/>
      <c r="QJQ76" s="164"/>
      <c r="QJR76" s="164"/>
      <c r="QJS76" s="164"/>
      <c r="QJT76" s="164"/>
      <c r="QJU76" s="164"/>
      <c r="QJV76" s="164"/>
      <c r="QJW76" s="164"/>
      <c r="QJX76" s="164"/>
      <c r="QJY76" s="164"/>
      <c r="QJZ76" s="164"/>
      <c r="QKA76" s="164"/>
      <c r="QKB76" s="164"/>
      <c r="QKC76" s="164"/>
      <c r="QKD76" s="164"/>
      <c r="QKE76" s="164"/>
      <c r="QKF76" s="164"/>
      <c r="QKG76" s="164"/>
      <c r="QKH76" s="164"/>
      <c r="QKI76" s="164"/>
      <c r="QKJ76" s="164"/>
      <c r="QKK76" s="164"/>
      <c r="QKL76" s="164"/>
      <c r="QKM76" s="164"/>
      <c r="QKN76" s="164"/>
      <c r="QKO76" s="164"/>
      <c r="QKP76" s="164"/>
      <c r="QKQ76" s="164"/>
      <c r="QKR76" s="164"/>
      <c r="QKS76" s="164"/>
      <c r="QKT76" s="164"/>
      <c r="QKU76" s="164"/>
      <c r="QKV76" s="164"/>
      <c r="QKW76" s="164"/>
      <c r="QKX76" s="164"/>
      <c r="QKY76" s="164"/>
      <c r="QKZ76" s="164"/>
      <c r="QLA76" s="164"/>
      <c r="QLB76" s="164"/>
      <c r="QLC76" s="164"/>
      <c r="QLD76" s="164"/>
      <c r="QLE76" s="164"/>
      <c r="QLF76" s="164"/>
      <c r="QLG76" s="164"/>
      <c r="QLH76" s="164"/>
      <c r="QLI76" s="164"/>
      <c r="QLJ76" s="164"/>
      <c r="QLK76" s="164"/>
      <c r="QLL76" s="164"/>
      <c r="QLM76" s="164"/>
      <c r="QLN76" s="164"/>
      <c r="QLO76" s="164"/>
      <c r="QLP76" s="164"/>
      <c r="QLQ76" s="164"/>
      <c r="QLR76" s="164"/>
      <c r="QLS76" s="164"/>
      <c r="QLT76" s="164"/>
      <c r="QLU76" s="164"/>
      <c r="QLV76" s="164"/>
      <c r="QLW76" s="164"/>
      <c r="QLX76" s="164"/>
      <c r="QLY76" s="164"/>
      <c r="QLZ76" s="164"/>
      <c r="QMA76" s="164"/>
      <c r="QMB76" s="164"/>
      <c r="QMC76" s="164"/>
      <c r="QMD76" s="164"/>
      <c r="QME76" s="164"/>
      <c r="QMF76" s="164"/>
      <c r="QMG76" s="164"/>
      <c r="QMH76" s="164"/>
      <c r="QMI76" s="164"/>
      <c r="QMJ76" s="164"/>
      <c r="QMK76" s="164"/>
      <c r="QML76" s="164"/>
      <c r="QMM76" s="164"/>
      <c r="QMN76" s="164"/>
      <c r="QMO76" s="164"/>
      <c r="QMP76" s="164"/>
      <c r="QMQ76" s="164"/>
      <c r="QMR76" s="164"/>
      <c r="QMS76" s="164"/>
      <c r="QMT76" s="164"/>
      <c r="QMU76" s="164"/>
      <c r="QMV76" s="164"/>
      <c r="QMW76" s="164"/>
      <c r="QMX76" s="164"/>
      <c r="QMY76" s="164"/>
      <c r="QMZ76" s="164"/>
      <c r="QNA76" s="164"/>
      <c r="QNB76" s="164"/>
      <c r="QNC76" s="164"/>
      <c r="QND76" s="164"/>
      <c r="QNE76" s="164"/>
      <c r="QNF76" s="164"/>
      <c r="QNG76" s="164"/>
      <c r="QNH76" s="164"/>
      <c r="QNI76" s="164"/>
      <c r="QNJ76" s="164"/>
      <c r="QNK76" s="164"/>
      <c r="QNL76" s="164"/>
      <c r="QNM76" s="164"/>
      <c r="QNN76" s="164"/>
      <c r="QNO76" s="164"/>
      <c r="QNP76" s="164"/>
      <c r="QNQ76" s="164"/>
      <c r="QNR76" s="164"/>
      <c r="QNS76" s="164"/>
      <c r="QNT76" s="164"/>
      <c r="QNU76" s="164"/>
      <c r="QNV76" s="164"/>
      <c r="QNW76" s="164"/>
      <c r="QNX76" s="164"/>
      <c r="QNY76" s="164"/>
      <c r="QNZ76" s="164"/>
      <c r="QOA76" s="164"/>
      <c r="QOB76" s="164"/>
      <c r="QOC76" s="164"/>
      <c r="QOD76" s="164"/>
      <c r="QOE76" s="164"/>
      <c r="QOF76" s="164"/>
      <c r="QOG76" s="164"/>
      <c r="QOH76" s="164"/>
      <c r="QOI76" s="164"/>
      <c r="QOJ76" s="164"/>
      <c r="QOK76" s="164"/>
      <c r="QOL76" s="164"/>
      <c r="QOM76" s="164"/>
      <c r="QON76" s="164"/>
      <c r="QOO76" s="164"/>
      <c r="QOP76" s="164"/>
      <c r="QOQ76" s="164"/>
      <c r="QOR76" s="164"/>
      <c r="QOS76" s="164"/>
      <c r="QOT76" s="164"/>
      <c r="QOU76" s="164"/>
      <c r="QOV76" s="164"/>
      <c r="QOW76" s="164"/>
      <c r="QOX76" s="164"/>
      <c r="QOY76" s="164"/>
      <c r="QOZ76" s="164"/>
      <c r="QPA76" s="164"/>
      <c r="QPB76" s="164"/>
      <c r="QPC76" s="164"/>
      <c r="QPD76" s="164"/>
      <c r="QPE76" s="164"/>
      <c r="QPF76" s="164"/>
      <c r="QPG76" s="164"/>
      <c r="QPH76" s="164"/>
      <c r="QPI76" s="164"/>
      <c r="QPJ76" s="164"/>
      <c r="QPK76" s="164"/>
      <c r="QPL76" s="164"/>
      <c r="QPM76" s="164"/>
      <c r="QPN76" s="164"/>
      <c r="QPO76" s="164"/>
      <c r="QPP76" s="164"/>
      <c r="QPQ76" s="164"/>
      <c r="QPR76" s="164"/>
      <c r="QPS76" s="164"/>
      <c r="QPT76" s="164"/>
      <c r="QPU76" s="164"/>
      <c r="QPV76" s="164"/>
      <c r="QPW76" s="164"/>
      <c r="QPX76" s="164"/>
      <c r="QPY76" s="164"/>
      <c r="QPZ76" s="164"/>
      <c r="QQA76" s="164"/>
      <c r="QQB76" s="164"/>
      <c r="QQC76" s="164"/>
      <c r="QQD76" s="164"/>
      <c r="QQE76" s="164"/>
      <c r="QQF76" s="164"/>
      <c r="QQG76" s="164"/>
      <c r="QQH76" s="164"/>
      <c r="QQI76" s="164"/>
      <c r="QQJ76" s="164"/>
      <c r="QQK76" s="164"/>
      <c r="QQL76" s="164"/>
      <c r="QQM76" s="164"/>
      <c r="QQN76" s="164"/>
      <c r="QQO76" s="164"/>
      <c r="QQP76" s="164"/>
      <c r="QQQ76" s="164"/>
      <c r="QQR76" s="164"/>
      <c r="QQS76" s="164"/>
      <c r="QQT76" s="164"/>
      <c r="QQU76" s="164"/>
      <c r="QQV76" s="164"/>
      <c r="QQW76" s="164"/>
      <c r="QQX76" s="164"/>
      <c r="QQY76" s="164"/>
      <c r="QQZ76" s="164"/>
      <c r="QRA76" s="164"/>
      <c r="QRB76" s="164"/>
      <c r="QRC76" s="164"/>
      <c r="QRD76" s="164"/>
      <c r="QRE76" s="164"/>
      <c r="QRF76" s="164"/>
      <c r="QRG76" s="164"/>
      <c r="QRH76" s="164"/>
      <c r="QRI76" s="164"/>
      <c r="QRJ76" s="164"/>
      <c r="QRK76" s="164"/>
      <c r="QRL76" s="164"/>
      <c r="QRM76" s="164"/>
      <c r="QRN76" s="164"/>
      <c r="QRO76" s="164"/>
      <c r="QRP76" s="164"/>
      <c r="QRQ76" s="164"/>
      <c r="QRR76" s="164"/>
      <c r="QRS76" s="164"/>
      <c r="QRT76" s="164"/>
      <c r="QRU76" s="164"/>
      <c r="QRV76" s="164"/>
      <c r="QRW76" s="164"/>
      <c r="QRX76" s="164"/>
      <c r="QRY76" s="164"/>
      <c r="QRZ76" s="164"/>
      <c r="QSA76" s="164"/>
      <c r="QSB76" s="164"/>
      <c r="QSC76" s="164"/>
      <c r="QSD76" s="164"/>
      <c r="QSE76" s="164"/>
      <c r="QSF76" s="164"/>
      <c r="QSG76" s="164"/>
      <c r="QSH76" s="164"/>
      <c r="QSI76" s="164"/>
      <c r="QSJ76" s="164"/>
      <c r="QSK76" s="164"/>
      <c r="QSL76" s="164"/>
      <c r="QSM76" s="164"/>
      <c r="QSN76" s="164"/>
      <c r="QSO76" s="164"/>
      <c r="QSP76" s="164"/>
      <c r="QSQ76" s="164"/>
      <c r="QSR76" s="164"/>
      <c r="QSS76" s="164"/>
      <c r="QST76" s="164"/>
      <c r="QSU76" s="164"/>
      <c r="QSV76" s="164"/>
      <c r="QSW76" s="164"/>
      <c r="QSX76" s="164"/>
      <c r="QSY76" s="164"/>
      <c r="QSZ76" s="164"/>
      <c r="QTA76" s="164"/>
      <c r="QTB76" s="164"/>
      <c r="QTC76" s="164"/>
      <c r="QTD76" s="164"/>
      <c r="QTE76" s="164"/>
      <c r="QTF76" s="164"/>
      <c r="QTG76" s="164"/>
      <c r="QTH76" s="164"/>
      <c r="QTI76" s="164"/>
      <c r="QTJ76" s="164"/>
      <c r="QTK76" s="164"/>
      <c r="QTL76" s="164"/>
      <c r="QTM76" s="164"/>
      <c r="QTN76" s="164"/>
      <c r="QTO76" s="164"/>
      <c r="QTP76" s="164"/>
      <c r="QTQ76" s="164"/>
      <c r="QTR76" s="164"/>
      <c r="QTS76" s="164"/>
      <c r="QTT76" s="164"/>
      <c r="QTU76" s="164"/>
      <c r="QTV76" s="164"/>
      <c r="QTW76" s="164"/>
      <c r="QTX76" s="164"/>
      <c r="QTY76" s="164"/>
      <c r="QTZ76" s="164"/>
      <c r="QUA76" s="164"/>
      <c r="QUB76" s="164"/>
      <c r="QUC76" s="164"/>
      <c r="QUD76" s="164"/>
      <c r="QUE76" s="164"/>
      <c r="QUF76" s="164"/>
      <c r="QUG76" s="164"/>
      <c r="QUH76" s="164"/>
      <c r="QUI76" s="164"/>
      <c r="QUJ76" s="164"/>
      <c r="QUK76" s="164"/>
      <c r="QUL76" s="164"/>
      <c r="QUM76" s="164"/>
      <c r="QUN76" s="164"/>
      <c r="QUO76" s="164"/>
      <c r="QUP76" s="164"/>
      <c r="QUQ76" s="164"/>
      <c r="QUR76" s="164"/>
      <c r="QUS76" s="164"/>
      <c r="QUT76" s="164"/>
      <c r="QUU76" s="164"/>
      <c r="QUV76" s="164"/>
      <c r="QUW76" s="164"/>
      <c r="QUX76" s="164"/>
      <c r="QUY76" s="164"/>
      <c r="QUZ76" s="164"/>
      <c r="QVA76" s="164"/>
      <c r="QVB76" s="164"/>
      <c r="QVC76" s="164"/>
      <c r="QVD76" s="164"/>
      <c r="QVE76" s="164"/>
      <c r="QVF76" s="164"/>
      <c r="QVG76" s="164"/>
      <c r="QVH76" s="164"/>
      <c r="QVI76" s="164"/>
      <c r="QVJ76" s="164"/>
      <c r="QVK76" s="164"/>
      <c r="QVL76" s="164"/>
      <c r="QVM76" s="164"/>
      <c r="QVN76" s="164"/>
      <c r="QVO76" s="164"/>
      <c r="QVP76" s="164"/>
      <c r="QVQ76" s="164"/>
      <c r="QVR76" s="164"/>
      <c r="QVS76" s="164"/>
      <c r="QVT76" s="164"/>
      <c r="QVU76" s="164"/>
      <c r="QVV76" s="164"/>
      <c r="QVW76" s="164"/>
      <c r="QVX76" s="164"/>
      <c r="QVY76" s="164"/>
      <c r="QVZ76" s="164"/>
      <c r="QWA76" s="164"/>
      <c r="QWB76" s="164"/>
      <c r="QWC76" s="164"/>
      <c r="QWD76" s="164"/>
      <c r="QWE76" s="164"/>
      <c r="QWF76" s="164"/>
      <c r="QWG76" s="164"/>
      <c r="QWH76" s="164"/>
      <c r="QWI76" s="164"/>
      <c r="QWJ76" s="164"/>
      <c r="QWK76" s="164"/>
      <c r="QWL76" s="164"/>
      <c r="QWM76" s="164"/>
      <c r="QWN76" s="164"/>
      <c r="QWO76" s="164"/>
      <c r="QWP76" s="164"/>
      <c r="QWQ76" s="164"/>
      <c r="QWR76" s="164"/>
      <c r="QWS76" s="164"/>
      <c r="QWT76" s="164"/>
      <c r="QWU76" s="164"/>
      <c r="QWV76" s="164"/>
      <c r="QWW76" s="164"/>
      <c r="QWX76" s="164"/>
      <c r="QWY76" s="164"/>
      <c r="QWZ76" s="164"/>
      <c r="QXA76" s="164"/>
      <c r="QXB76" s="164"/>
      <c r="QXC76" s="164"/>
      <c r="QXD76" s="164"/>
      <c r="QXE76" s="164"/>
      <c r="QXF76" s="164"/>
      <c r="QXG76" s="164"/>
      <c r="QXH76" s="164"/>
      <c r="QXI76" s="164"/>
      <c r="QXJ76" s="164"/>
      <c r="QXK76" s="164"/>
      <c r="QXL76" s="164"/>
      <c r="QXM76" s="164"/>
      <c r="QXN76" s="164"/>
      <c r="QXO76" s="164"/>
      <c r="QXP76" s="164"/>
      <c r="QXQ76" s="164"/>
      <c r="QXR76" s="164"/>
      <c r="QXS76" s="164"/>
      <c r="QXT76" s="164"/>
      <c r="QXU76" s="164"/>
      <c r="QXV76" s="164"/>
      <c r="QXW76" s="164"/>
      <c r="QXX76" s="164"/>
      <c r="QXY76" s="164"/>
      <c r="QXZ76" s="164"/>
      <c r="QYA76" s="164"/>
      <c r="QYB76" s="164"/>
      <c r="QYC76" s="164"/>
      <c r="QYD76" s="164"/>
      <c r="QYE76" s="164"/>
      <c r="QYF76" s="164"/>
      <c r="QYG76" s="164"/>
      <c r="QYH76" s="164"/>
      <c r="QYI76" s="164"/>
      <c r="QYJ76" s="164"/>
      <c r="QYK76" s="164"/>
      <c r="QYL76" s="164"/>
      <c r="QYM76" s="164"/>
      <c r="QYN76" s="164"/>
      <c r="QYO76" s="164"/>
      <c r="QYP76" s="164"/>
      <c r="QYQ76" s="164"/>
      <c r="QYR76" s="164"/>
      <c r="QYS76" s="164"/>
      <c r="QYT76" s="164"/>
      <c r="QYU76" s="164"/>
      <c r="QYV76" s="164"/>
      <c r="QYW76" s="164"/>
      <c r="QYX76" s="164"/>
      <c r="QYY76" s="164"/>
      <c r="QYZ76" s="164"/>
      <c r="QZA76" s="164"/>
      <c r="QZB76" s="164"/>
      <c r="QZC76" s="164"/>
      <c r="QZD76" s="164"/>
      <c r="QZE76" s="164"/>
      <c r="QZF76" s="164"/>
      <c r="QZG76" s="164"/>
      <c r="QZH76" s="164"/>
      <c r="QZI76" s="164"/>
      <c r="QZJ76" s="164"/>
      <c r="QZK76" s="164"/>
      <c r="QZL76" s="164"/>
      <c r="QZM76" s="164"/>
      <c r="QZN76" s="164"/>
      <c r="QZO76" s="164"/>
      <c r="QZP76" s="164"/>
      <c r="QZQ76" s="164"/>
      <c r="QZR76" s="164"/>
      <c r="QZS76" s="164"/>
      <c r="QZT76" s="164"/>
      <c r="QZU76" s="164"/>
      <c r="QZV76" s="164"/>
      <c r="QZW76" s="164"/>
      <c r="QZX76" s="164"/>
      <c r="QZY76" s="164"/>
      <c r="QZZ76" s="164"/>
      <c r="RAA76" s="164"/>
      <c r="RAB76" s="164"/>
      <c r="RAC76" s="164"/>
      <c r="RAD76" s="164"/>
      <c r="RAE76" s="164"/>
      <c r="RAF76" s="164"/>
      <c r="RAG76" s="164"/>
      <c r="RAH76" s="164"/>
      <c r="RAI76" s="164"/>
      <c r="RAJ76" s="164"/>
      <c r="RAK76" s="164"/>
      <c r="RAL76" s="164"/>
      <c r="RAM76" s="164"/>
      <c r="RAN76" s="164"/>
      <c r="RAO76" s="164"/>
      <c r="RAP76" s="164"/>
      <c r="RAQ76" s="164"/>
      <c r="RAR76" s="164"/>
      <c r="RAS76" s="164"/>
      <c r="RAT76" s="164"/>
      <c r="RAU76" s="164"/>
      <c r="RAV76" s="164"/>
      <c r="RAW76" s="164"/>
      <c r="RAX76" s="164"/>
      <c r="RAY76" s="164"/>
      <c r="RAZ76" s="164"/>
      <c r="RBA76" s="164"/>
      <c r="RBB76" s="164"/>
      <c r="RBC76" s="164"/>
      <c r="RBD76" s="164"/>
      <c r="RBE76" s="164"/>
      <c r="RBF76" s="164"/>
      <c r="RBG76" s="164"/>
      <c r="RBH76" s="164"/>
      <c r="RBI76" s="164"/>
      <c r="RBJ76" s="164"/>
      <c r="RBK76" s="164"/>
      <c r="RBL76" s="164"/>
      <c r="RBM76" s="164"/>
      <c r="RBN76" s="164"/>
      <c r="RBO76" s="164"/>
      <c r="RBP76" s="164"/>
      <c r="RBQ76" s="164"/>
      <c r="RBR76" s="164"/>
      <c r="RBS76" s="164"/>
      <c r="RBT76" s="164"/>
      <c r="RBU76" s="164"/>
      <c r="RBV76" s="164"/>
      <c r="RBW76" s="164"/>
      <c r="RBX76" s="164"/>
      <c r="RBY76" s="164"/>
      <c r="RBZ76" s="164"/>
      <c r="RCA76" s="164"/>
      <c r="RCB76" s="164"/>
      <c r="RCC76" s="164"/>
      <c r="RCD76" s="164"/>
      <c r="RCE76" s="164"/>
      <c r="RCF76" s="164"/>
      <c r="RCG76" s="164"/>
      <c r="RCH76" s="164"/>
      <c r="RCI76" s="164"/>
      <c r="RCJ76" s="164"/>
      <c r="RCK76" s="164"/>
      <c r="RCL76" s="164"/>
      <c r="RCM76" s="164"/>
      <c r="RCN76" s="164"/>
      <c r="RCO76" s="164"/>
      <c r="RCP76" s="164"/>
      <c r="RCQ76" s="164"/>
      <c r="RCR76" s="164"/>
      <c r="RCS76" s="164"/>
      <c r="RCT76" s="164"/>
      <c r="RCU76" s="164"/>
      <c r="RCV76" s="164"/>
      <c r="RCW76" s="164"/>
      <c r="RCX76" s="164"/>
      <c r="RCY76" s="164"/>
      <c r="RCZ76" s="164"/>
      <c r="RDA76" s="164"/>
      <c r="RDB76" s="164"/>
      <c r="RDC76" s="164"/>
      <c r="RDD76" s="164"/>
      <c r="RDE76" s="164"/>
      <c r="RDF76" s="164"/>
      <c r="RDG76" s="164"/>
      <c r="RDH76" s="164"/>
      <c r="RDI76" s="164"/>
      <c r="RDJ76" s="164"/>
      <c r="RDK76" s="164"/>
      <c r="RDL76" s="164"/>
      <c r="RDM76" s="164"/>
      <c r="RDN76" s="164"/>
      <c r="RDO76" s="164"/>
      <c r="RDP76" s="164"/>
      <c r="RDQ76" s="164"/>
      <c r="RDR76" s="164"/>
      <c r="RDS76" s="164"/>
      <c r="RDT76" s="164"/>
      <c r="RDU76" s="164"/>
      <c r="RDV76" s="164"/>
      <c r="RDW76" s="164"/>
      <c r="RDX76" s="164"/>
      <c r="RDY76" s="164"/>
      <c r="RDZ76" s="164"/>
      <c r="REA76" s="164"/>
      <c r="REB76" s="164"/>
      <c r="REC76" s="164"/>
      <c r="RED76" s="164"/>
      <c r="REE76" s="164"/>
      <c r="REF76" s="164"/>
      <c r="REG76" s="164"/>
      <c r="REH76" s="164"/>
      <c r="REI76" s="164"/>
      <c r="REJ76" s="164"/>
      <c r="REK76" s="164"/>
      <c r="REL76" s="164"/>
      <c r="REM76" s="164"/>
      <c r="REN76" s="164"/>
      <c r="REO76" s="164"/>
      <c r="REP76" s="164"/>
      <c r="REQ76" s="164"/>
      <c r="RER76" s="164"/>
      <c r="RES76" s="164"/>
      <c r="RET76" s="164"/>
      <c r="REU76" s="164"/>
      <c r="REV76" s="164"/>
      <c r="REW76" s="164"/>
      <c r="REX76" s="164"/>
      <c r="REY76" s="164"/>
      <c r="REZ76" s="164"/>
      <c r="RFA76" s="164"/>
      <c r="RFB76" s="164"/>
      <c r="RFC76" s="164"/>
      <c r="RFD76" s="164"/>
      <c r="RFE76" s="164"/>
      <c r="RFF76" s="164"/>
      <c r="RFG76" s="164"/>
      <c r="RFH76" s="164"/>
      <c r="RFI76" s="164"/>
      <c r="RFJ76" s="164"/>
      <c r="RFK76" s="164"/>
      <c r="RFL76" s="164"/>
      <c r="RFM76" s="164"/>
      <c r="RFN76" s="164"/>
      <c r="RFO76" s="164"/>
      <c r="RFP76" s="164"/>
      <c r="RFQ76" s="164"/>
      <c r="RFR76" s="164"/>
      <c r="RFS76" s="164"/>
      <c r="RFT76" s="164"/>
      <c r="RFU76" s="164"/>
      <c r="RFV76" s="164"/>
      <c r="RFW76" s="164"/>
      <c r="RFX76" s="164"/>
      <c r="RFY76" s="164"/>
      <c r="RFZ76" s="164"/>
      <c r="RGA76" s="164"/>
      <c r="RGB76" s="164"/>
      <c r="RGC76" s="164"/>
      <c r="RGD76" s="164"/>
      <c r="RGE76" s="164"/>
      <c r="RGF76" s="164"/>
      <c r="RGG76" s="164"/>
      <c r="RGH76" s="164"/>
      <c r="RGI76" s="164"/>
      <c r="RGJ76" s="164"/>
      <c r="RGK76" s="164"/>
      <c r="RGL76" s="164"/>
      <c r="RGM76" s="164"/>
      <c r="RGN76" s="164"/>
      <c r="RGO76" s="164"/>
      <c r="RGP76" s="164"/>
      <c r="RGQ76" s="164"/>
      <c r="RGR76" s="164"/>
      <c r="RGS76" s="164"/>
      <c r="RGT76" s="164"/>
      <c r="RGU76" s="164"/>
      <c r="RGV76" s="164"/>
      <c r="RGW76" s="164"/>
      <c r="RGX76" s="164"/>
      <c r="RGY76" s="164"/>
      <c r="RGZ76" s="164"/>
      <c r="RHA76" s="164"/>
      <c r="RHB76" s="164"/>
      <c r="RHC76" s="164"/>
      <c r="RHD76" s="164"/>
      <c r="RHE76" s="164"/>
      <c r="RHF76" s="164"/>
      <c r="RHG76" s="164"/>
      <c r="RHH76" s="164"/>
      <c r="RHI76" s="164"/>
      <c r="RHJ76" s="164"/>
      <c r="RHK76" s="164"/>
      <c r="RHL76" s="164"/>
      <c r="RHM76" s="164"/>
      <c r="RHN76" s="164"/>
      <c r="RHO76" s="164"/>
      <c r="RHP76" s="164"/>
      <c r="RHQ76" s="164"/>
      <c r="RHR76" s="164"/>
      <c r="RHS76" s="164"/>
      <c r="RHT76" s="164"/>
      <c r="RHU76" s="164"/>
      <c r="RHV76" s="164"/>
      <c r="RHW76" s="164"/>
      <c r="RHX76" s="164"/>
      <c r="RHY76" s="164"/>
      <c r="RHZ76" s="164"/>
      <c r="RIA76" s="164"/>
      <c r="RIB76" s="164"/>
      <c r="RIC76" s="164"/>
      <c r="RID76" s="164"/>
      <c r="RIE76" s="164"/>
      <c r="RIF76" s="164"/>
      <c r="RIG76" s="164"/>
      <c r="RIH76" s="164"/>
      <c r="RII76" s="164"/>
      <c r="RIJ76" s="164"/>
      <c r="RIK76" s="164"/>
      <c r="RIL76" s="164"/>
      <c r="RIM76" s="164"/>
      <c r="RIN76" s="164"/>
      <c r="RIO76" s="164"/>
      <c r="RIP76" s="164"/>
      <c r="RIQ76" s="164"/>
      <c r="RIR76" s="164"/>
      <c r="RIS76" s="164"/>
      <c r="RIT76" s="164"/>
      <c r="RIU76" s="164"/>
      <c r="RIV76" s="164"/>
      <c r="RIW76" s="164"/>
      <c r="RIX76" s="164"/>
      <c r="RIY76" s="164"/>
      <c r="RIZ76" s="164"/>
      <c r="RJA76" s="164"/>
      <c r="RJB76" s="164"/>
      <c r="RJC76" s="164"/>
      <c r="RJD76" s="164"/>
      <c r="RJE76" s="164"/>
      <c r="RJF76" s="164"/>
      <c r="RJG76" s="164"/>
      <c r="RJH76" s="164"/>
      <c r="RJI76" s="164"/>
      <c r="RJJ76" s="164"/>
      <c r="RJK76" s="164"/>
      <c r="RJL76" s="164"/>
      <c r="RJM76" s="164"/>
      <c r="RJN76" s="164"/>
      <c r="RJO76" s="164"/>
      <c r="RJP76" s="164"/>
      <c r="RJQ76" s="164"/>
      <c r="RJR76" s="164"/>
      <c r="RJS76" s="164"/>
      <c r="RJT76" s="164"/>
      <c r="RJU76" s="164"/>
      <c r="RJV76" s="164"/>
      <c r="RJW76" s="164"/>
      <c r="RJX76" s="164"/>
      <c r="RJY76" s="164"/>
      <c r="RJZ76" s="164"/>
      <c r="RKA76" s="164"/>
      <c r="RKB76" s="164"/>
      <c r="RKC76" s="164"/>
      <c r="RKD76" s="164"/>
      <c r="RKE76" s="164"/>
      <c r="RKF76" s="164"/>
      <c r="RKG76" s="164"/>
      <c r="RKH76" s="164"/>
      <c r="RKI76" s="164"/>
      <c r="RKJ76" s="164"/>
      <c r="RKK76" s="164"/>
      <c r="RKL76" s="164"/>
      <c r="RKM76" s="164"/>
      <c r="RKN76" s="164"/>
      <c r="RKO76" s="164"/>
      <c r="RKP76" s="164"/>
      <c r="RKQ76" s="164"/>
      <c r="RKR76" s="164"/>
      <c r="RKS76" s="164"/>
      <c r="RKT76" s="164"/>
      <c r="RKU76" s="164"/>
      <c r="RKV76" s="164"/>
      <c r="RKW76" s="164"/>
      <c r="RKX76" s="164"/>
      <c r="RKY76" s="164"/>
      <c r="RKZ76" s="164"/>
      <c r="RLA76" s="164"/>
      <c r="RLB76" s="164"/>
      <c r="RLC76" s="164"/>
      <c r="RLD76" s="164"/>
      <c r="RLE76" s="164"/>
      <c r="RLF76" s="164"/>
      <c r="RLG76" s="164"/>
      <c r="RLH76" s="164"/>
      <c r="RLI76" s="164"/>
      <c r="RLJ76" s="164"/>
      <c r="RLK76" s="164"/>
      <c r="RLL76" s="164"/>
      <c r="RLM76" s="164"/>
      <c r="RLN76" s="164"/>
      <c r="RLO76" s="164"/>
      <c r="RLP76" s="164"/>
      <c r="RLQ76" s="164"/>
      <c r="RLR76" s="164"/>
      <c r="RLS76" s="164"/>
      <c r="RLT76" s="164"/>
      <c r="RLU76" s="164"/>
      <c r="RLV76" s="164"/>
      <c r="RLW76" s="164"/>
      <c r="RLX76" s="164"/>
      <c r="RLY76" s="164"/>
      <c r="RLZ76" s="164"/>
      <c r="RMA76" s="164"/>
      <c r="RMB76" s="164"/>
      <c r="RMC76" s="164"/>
      <c r="RMD76" s="164"/>
      <c r="RME76" s="164"/>
      <c r="RMF76" s="164"/>
      <c r="RMG76" s="164"/>
      <c r="RMH76" s="164"/>
      <c r="RMI76" s="164"/>
      <c r="RMJ76" s="164"/>
      <c r="RMK76" s="164"/>
      <c r="RML76" s="164"/>
      <c r="RMM76" s="164"/>
      <c r="RMN76" s="164"/>
      <c r="RMO76" s="164"/>
      <c r="RMP76" s="164"/>
      <c r="RMQ76" s="164"/>
      <c r="RMR76" s="164"/>
      <c r="RMS76" s="164"/>
      <c r="RMT76" s="164"/>
      <c r="RMU76" s="164"/>
      <c r="RMV76" s="164"/>
      <c r="RMW76" s="164"/>
      <c r="RMX76" s="164"/>
      <c r="RMY76" s="164"/>
      <c r="RMZ76" s="164"/>
      <c r="RNA76" s="164"/>
      <c r="RNB76" s="164"/>
      <c r="RNC76" s="164"/>
      <c r="RND76" s="164"/>
      <c r="RNE76" s="164"/>
      <c r="RNF76" s="164"/>
      <c r="RNG76" s="164"/>
      <c r="RNH76" s="164"/>
      <c r="RNI76" s="164"/>
      <c r="RNJ76" s="164"/>
      <c r="RNK76" s="164"/>
      <c r="RNL76" s="164"/>
      <c r="RNM76" s="164"/>
      <c r="RNN76" s="164"/>
      <c r="RNO76" s="164"/>
      <c r="RNP76" s="164"/>
      <c r="RNQ76" s="164"/>
      <c r="RNR76" s="164"/>
      <c r="RNS76" s="164"/>
      <c r="RNT76" s="164"/>
      <c r="RNU76" s="164"/>
      <c r="RNV76" s="164"/>
      <c r="RNW76" s="164"/>
      <c r="RNX76" s="164"/>
      <c r="RNY76" s="164"/>
      <c r="RNZ76" s="164"/>
      <c r="ROA76" s="164"/>
      <c r="ROB76" s="164"/>
      <c r="ROC76" s="164"/>
      <c r="ROD76" s="164"/>
      <c r="ROE76" s="164"/>
      <c r="ROF76" s="164"/>
      <c r="ROG76" s="164"/>
      <c r="ROH76" s="164"/>
      <c r="ROI76" s="164"/>
      <c r="ROJ76" s="164"/>
      <c r="ROK76" s="164"/>
      <c r="ROL76" s="164"/>
      <c r="ROM76" s="164"/>
      <c r="RON76" s="164"/>
      <c r="ROO76" s="164"/>
      <c r="ROP76" s="164"/>
      <c r="ROQ76" s="164"/>
      <c r="ROR76" s="164"/>
      <c r="ROS76" s="164"/>
      <c r="ROT76" s="164"/>
      <c r="ROU76" s="164"/>
      <c r="ROV76" s="164"/>
      <c r="ROW76" s="164"/>
      <c r="ROX76" s="164"/>
      <c r="ROY76" s="164"/>
      <c r="ROZ76" s="164"/>
      <c r="RPA76" s="164"/>
      <c r="RPB76" s="164"/>
      <c r="RPC76" s="164"/>
      <c r="RPD76" s="164"/>
      <c r="RPE76" s="164"/>
      <c r="RPF76" s="164"/>
      <c r="RPG76" s="164"/>
      <c r="RPH76" s="164"/>
      <c r="RPI76" s="164"/>
      <c r="RPJ76" s="164"/>
      <c r="RPK76" s="164"/>
      <c r="RPL76" s="164"/>
      <c r="RPM76" s="164"/>
      <c r="RPN76" s="164"/>
      <c r="RPO76" s="164"/>
      <c r="RPP76" s="164"/>
      <c r="RPQ76" s="164"/>
      <c r="RPR76" s="164"/>
      <c r="RPS76" s="164"/>
      <c r="RPT76" s="164"/>
      <c r="RPU76" s="164"/>
      <c r="RPV76" s="164"/>
      <c r="RPW76" s="164"/>
      <c r="RPX76" s="164"/>
      <c r="RPY76" s="164"/>
      <c r="RPZ76" s="164"/>
      <c r="RQA76" s="164"/>
      <c r="RQB76" s="164"/>
      <c r="RQC76" s="164"/>
      <c r="RQD76" s="164"/>
      <c r="RQE76" s="164"/>
      <c r="RQF76" s="164"/>
      <c r="RQG76" s="164"/>
      <c r="RQH76" s="164"/>
      <c r="RQI76" s="164"/>
      <c r="RQJ76" s="164"/>
      <c r="RQK76" s="164"/>
      <c r="RQL76" s="164"/>
      <c r="RQM76" s="164"/>
      <c r="RQN76" s="164"/>
      <c r="RQO76" s="164"/>
      <c r="RQP76" s="164"/>
      <c r="RQQ76" s="164"/>
      <c r="RQR76" s="164"/>
      <c r="RQS76" s="164"/>
      <c r="RQT76" s="164"/>
      <c r="RQU76" s="164"/>
      <c r="RQV76" s="164"/>
      <c r="RQW76" s="164"/>
      <c r="RQX76" s="164"/>
      <c r="RQY76" s="164"/>
      <c r="RQZ76" s="164"/>
      <c r="RRA76" s="164"/>
      <c r="RRB76" s="164"/>
      <c r="RRC76" s="164"/>
      <c r="RRD76" s="164"/>
      <c r="RRE76" s="164"/>
      <c r="RRF76" s="164"/>
      <c r="RRG76" s="164"/>
      <c r="RRH76" s="164"/>
      <c r="RRI76" s="164"/>
      <c r="RRJ76" s="164"/>
      <c r="RRK76" s="164"/>
      <c r="RRL76" s="164"/>
      <c r="RRM76" s="164"/>
      <c r="RRN76" s="164"/>
      <c r="RRO76" s="164"/>
      <c r="RRP76" s="164"/>
      <c r="RRQ76" s="164"/>
      <c r="RRR76" s="164"/>
      <c r="RRS76" s="164"/>
      <c r="RRT76" s="164"/>
      <c r="RRU76" s="164"/>
      <c r="RRV76" s="164"/>
      <c r="RRW76" s="164"/>
      <c r="RRX76" s="164"/>
      <c r="RRY76" s="164"/>
      <c r="RRZ76" s="164"/>
      <c r="RSA76" s="164"/>
      <c r="RSB76" s="164"/>
      <c r="RSC76" s="164"/>
      <c r="RSD76" s="164"/>
      <c r="RSE76" s="164"/>
      <c r="RSF76" s="164"/>
      <c r="RSG76" s="164"/>
      <c r="RSH76" s="164"/>
      <c r="RSI76" s="164"/>
      <c r="RSJ76" s="164"/>
      <c r="RSK76" s="164"/>
      <c r="RSL76" s="164"/>
      <c r="RSM76" s="164"/>
      <c r="RSN76" s="164"/>
      <c r="RSO76" s="164"/>
      <c r="RSP76" s="164"/>
      <c r="RSQ76" s="164"/>
      <c r="RSR76" s="164"/>
      <c r="RSS76" s="164"/>
      <c r="RST76" s="164"/>
      <c r="RSU76" s="164"/>
      <c r="RSV76" s="164"/>
      <c r="RSW76" s="164"/>
      <c r="RSX76" s="164"/>
      <c r="RSY76" s="164"/>
      <c r="RSZ76" s="164"/>
      <c r="RTA76" s="164"/>
      <c r="RTB76" s="164"/>
      <c r="RTC76" s="164"/>
      <c r="RTD76" s="164"/>
      <c r="RTE76" s="164"/>
      <c r="RTF76" s="164"/>
      <c r="RTG76" s="164"/>
      <c r="RTH76" s="164"/>
      <c r="RTI76" s="164"/>
      <c r="RTJ76" s="164"/>
      <c r="RTK76" s="164"/>
      <c r="RTL76" s="164"/>
      <c r="RTM76" s="164"/>
      <c r="RTN76" s="164"/>
      <c r="RTO76" s="164"/>
      <c r="RTP76" s="164"/>
      <c r="RTQ76" s="164"/>
      <c r="RTR76" s="164"/>
      <c r="RTS76" s="164"/>
      <c r="RTT76" s="164"/>
      <c r="RTU76" s="164"/>
      <c r="RTV76" s="164"/>
      <c r="RTW76" s="164"/>
      <c r="RTX76" s="164"/>
      <c r="RTY76" s="164"/>
      <c r="RTZ76" s="164"/>
      <c r="RUA76" s="164"/>
      <c r="RUB76" s="164"/>
      <c r="RUC76" s="164"/>
      <c r="RUD76" s="164"/>
      <c r="RUE76" s="164"/>
      <c r="RUF76" s="164"/>
      <c r="RUG76" s="164"/>
      <c r="RUH76" s="164"/>
      <c r="RUI76" s="164"/>
      <c r="RUJ76" s="164"/>
      <c r="RUK76" s="164"/>
      <c r="RUL76" s="164"/>
      <c r="RUM76" s="164"/>
      <c r="RUN76" s="164"/>
      <c r="RUO76" s="164"/>
      <c r="RUP76" s="164"/>
      <c r="RUQ76" s="164"/>
      <c r="RUR76" s="164"/>
      <c r="RUS76" s="164"/>
      <c r="RUT76" s="164"/>
      <c r="RUU76" s="164"/>
      <c r="RUV76" s="164"/>
      <c r="RUW76" s="164"/>
      <c r="RUX76" s="164"/>
      <c r="RUY76" s="164"/>
      <c r="RUZ76" s="164"/>
      <c r="RVA76" s="164"/>
      <c r="RVB76" s="164"/>
      <c r="RVC76" s="164"/>
      <c r="RVD76" s="164"/>
      <c r="RVE76" s="164"/>
      <c r="RVF76" s="164"/>
      <c r="RVG76" s="164"/>
      <c r="RVH76" s="164"/>
      <c r="RVI76" s="164"/>
      <c r="RVJ76" s="164"/>
      <c r="RVK76" s="164"/>
      <c r="RVL76" s="164"/>
      <c r="RVM76" s="164"/>
      <c r="RVN76" s="164"/>
      <c r="RVO76" s="164"/>
      <c r="RVP76" s="164"/>
      <c r="RVQ76" s="164"/>
      <c r="RVR76" s="164"/>
      <c r="RVS76" s="164"/>
      <c r="RVT76" s="164"/>
      <c r="RVU76" s="164"/>
      <c r="RVV76" s="164"/>
      <c r="RVW76" s="164"/>
      <c r="RVX76" s="164"/>
      <c r="RVY76" s="164"/>
      <c r="RVZ76" s="164"/>
      <c r="RWA76" s="164"/>
      <c r="RWB76" s="164"/>
      <c r="RWC76" s="164"/>
      <c r="RWD76" s="164"/>
      <c r="RWE76" s="164"/>
      <c r="RWF76" s="164"/>
      <c r="RWG76" s="164"/>
      <c r="RWH76" s="164"/>
      <c r="RWI76" s="164"/>
      <c r="RWJ76" s="164"/>
      <c r="RWK76" s="164"/>
      <c r="RWL76" s="164"/>
      <c r="RWM76" s="164"/>
      <c r="RWN76" s="164"/>
      <c r="RWO76" s="164"/>
      <c r="RWP76" s="164"/>
      <c r="RWQ76" s="164"/>
      <c r="RWR76" s="164"/>
      <c r="RWS76" s="164"/>
      <c r="RWT76" s="164"/>
      <c r="RWU76" s="164"/>
      <c r="RWV76" s="164"/>
      <c r="RWW76" s="164"/>
      <c r="RWX76" s="164"/>
      <c r="RWY76" s="164"/>
      <c r="RWZ76" s="164"/>
      <c r="RXA76" s="164"/>
      <c r="RXB76" s="164"/>
      <c r="RXC76" s="164"/>
      <c r="RXD76" s="164"/>
      <c r="RXE76" s="164"/>
      <c r="RXF76" s="164"/>
      <c r="RXG76" s="164"/>
      <c r="RXH76" s="164"/>
      <c r="RXI76" s="164"/>
      <c r="RXJ76" s="164"/>
      <c r="RXK76" s="164"/>
      <c r="RXL76" s="164"/>
      <c r="RXM76" s="164"/>
      <c r="RXN76" s="164"/>
      <c r="RXO76" s="164"/>
      <c r="RXP76" s="164"/>
      <c r="RXQ76" s="164"/>
      <c r="RXR76" s="164"/>
      <c r="RXS76" s="164"/>
      <c r="RXT76" s="164"/>
      <c r="RXU76" s="164"/>
      <c r="RXV76" s="164"/>
      <c r="RXW76" s="164"/>
      <c r="RXX76" s="164"/>
      <c r="RXY76" s="164"/>
      <c r="RXZ76" s="164"/>
      <c r="RYA76" s="164"/>
      <c r="RYB76" s="164"/>
      <c r="RYC76" s="164"/>
      <c r="RYD76" s="164"/>
      <c r="RYE76" s="164"/>
      <c r="RYF76" s="164"/>
      <c r="RYG76" s="164"/>
      <c r="RYH76" s="164"/>
      <c r="RYI76" s="164"/>
      <c r="RYJ76" s="164"/>
      <c r="RYK76" s="164"/>
      <c r="RYL76" s="164"/>
      <c r="RYM76" s="164"/>
      <c r="RYN76" s="164"/>
      <c r="RYO76" s="164"/>
      <c r="RYP76" s="164"/>
      <c r="RYQ76" s="164"/>
      <c r="RYR76" s="164"/>
      <c r="RYS76" s="164"/>
      <c r="RYT76" s="164"/>
      <c r="RYU76" s="164"/>
      <c r="RYV76" s="164"/>
      <c r="RYW76" s="164"/>
      <c r="RYX76" s="164"/>
      <c r="RYY76" s="164"/>
      <c r="RYZ76" s="164"/>
      <c r="RZA76" s="164"/>
      <c r="RZB76" s="164"/>
      <c r="RZC76" s="164"/>
      <c r="RZD76" s="164"/>
      <c r="RZE76" s="164"/>
      <c r="RZF76" s="164"/>
      <c r="RZG76" s="164"/>
      <c r="RZH76" s="164"/>
      <c r="RZI76" s="164"/>
      <c r="RZJ76" s="164"/>
      <c r="RZK76" s="164"/>
      <c r="RZL76" s="164"/>
      <c r="RZM76" s="164"/>
      <c r="RZN76" s="164"/>
      <c r="RZO76" s="164"/>
      <c r="RZP76" s="164"/>
      <c r="RZQ76" s="164"/>
      <c r="RZR76" s="164"/>
      <c r="RZS76" s="164"/>
      <c r="RZT76" s="164"/>
      <c r="RZU76" s="164"/>
      <c r="RZV76" s="164"/>
      <c r="RZW76" s="164"/>
      <c r="RZX76" s="164"/>
      <c r="RZY76" s="164"/>
      <c r="RZZ76" s="164"/>
      <c r="SAA76" s="164"/>
      <c r="SAB76" s="164"/>
      <c r="SAC76" s="164"/>
      <c r="SAD76" s="164"/>
      <c r="SAE76" s="164"/>
      <c r="SAF76" s="164"/>
      <c r="SAG76" s="164"/>
      <c r="SAH76" s="164"/>
      <c r="SAI76" s="164"/>
      <c r="SAJ76" s="164"/>
      <c r="SAK76" s="164"/>
      <c r="SAL76" s="164"/>
      <c r="SAM76" s="164"/>
      <c r="SAN76" s="164"/>
      <c r="SAO76" s="164"/>
      <c r="SAP76" s="164"/>
      <c r="SAQ76" s="164"/>
      <c r="SAR76" s="164"/>
      <c r="SAS76" s="164"/>
      <c r="SAT76" s="164"/>
      <c r="SAU76" s="164"/>
      <c r="SAV76" s="164"/>
      <c r="SAW76" s="164"/>
      <c r="SAX76" s="164"/>
      <c r="SAY76" s="164"/>
      <c r="SAZ76" s="164"/>
      <c r="SBA76" s="164"/>
      <c r="SBB76" s="164"/>
      <c r="SBC76" s="164"/>
      <c r="SBD76" s="164"/>
      <c r="SBE76" s="164"/>
      <c r="SBF76" s="164"/>
      <c r="SBG76" s="164"/>
      <c r="SBH76" s="164"/>
      <c r="SBI76" s="164"/>
      <c r="SBJ76" s="164"/>
      <c r="SBK76" s="164"/>
      <c r="SBL76" s="164"/>
      <c r="SBM76" s="164"/>
      <c r="SBN76" s="164"/>
      <c r="SBO76" s="164"/>
      <c r="SBP76" s="164"/>
      <c r="SBQ76" s="164"/>
      <c r="SBR76" s="164"/>
      <c r="SBS76" s="164"/>
      <c r="SBT76" s="164"/>
      <c r="SBU76" s="164"/>
      <c r="SBV76" s="164"/>
      <c r="SBW76" s="164"/>
      <c r="SBX76" s="164"/>
      <c r="SBY76" s="164"/>
      <c r="SBZ76" s="164"/>
      <c r="SCA76" s="164"/>
      <c r="SCB76" s="164"/>
      <c r="SCC76" s="164"/>
      <c r="SCD76" s="164"/>
      <c r="SCE76" s="164"/>
      <c r="SCF76" s="164"/>
      <c r="SCG76" s="164"/>
      <c r="SCH76" s="164"/>
      <c r="SCI76" s="164"/>
      <c r="SCJ76" s="164"/>
      <c r="SCK76" s="164"/>
      <c r="SCL76" s="164"/>
      <c r="SCM76" s="164"/>
      <c r="SCN76" s="164"/>
      <c r="SCO76" s="164"/>
      <c r="SCP76" s="164"/>
      <c r="SCQ76" s="164"/>
      <c r="SCR76" s="164"/>
      <c r="SCS76" s="164"/>
      <c r="SCT76" s="164"/>
      <c r="SCU76" s="164"/>
      <c r="SCV76" s="164"/>
      <c r="SCW76" s="164"/>
      <c r="SCX76" s="164"/>
      <c r="SCY76" s="164"/>
      <c r="SCZ76" s="164"/>
      <c r="SDA76" s="164"/>
      <c r="SDB76" s="164"/>
      <c r="SDC76" s="164"/>
      <c r="SDD76" s="164"/>
      <c r="SDE76" s="164"/>
      <c r="SDF76" s="164"/>
      <c r="SDG76" s="164"/>
      <c r="SDH76" s="164"/>
      <c r="SDI76" s="164"/>
      <c r="SDJ76" s="164"/>
      <c r="SDK76" s="164"/>
      <c r="SDL76" s="164"/>
      <c r="SDM76" s="164"/>
      <c r="SDN76" s="164"/>
      <c r="SDO76" s="164"/>
      <c r="SDP76" s="164"/>
      <c r="SDQ76" s="164"/>
      <c r="SDR76" s="164"/>
      <c r="SDS76" s="164"/>
      <c r="SDT76" s="164"/>
      <c r="SDU76" s="164"/>
      <c r="SDV76" s="164"/>
      <c r="SDW76" s="164"/>
      <c r="SDX76" s="164"/>
      <c r="SDY76" s="164"/>
      <c r="SDZ76" s="164"/>
      <c r="SEA76" s="164"/>
      <c r="SEB76" s="164"/>
      <c r="SEC76" s="164"/>
      <c r="SED76" s="164"/>
      <c r="SEE76" s="164"/>
      <c r="SEF76" s="164"/>
      <c r="SEG76" s="164"/>
      <c r="SEH76" s="164"/>
      <c r="SEI76" s="164"/>
      <c r="SEJ76" s="164"/>
      <c r="SEK76" s="164"/>
      <c r="SEL76" s="164"/>
      <c r="SEM76" s="164"/>
      <c r="SEN76" s="164"/>
      <c r="SEO76" s="164"/>
      <c r="SEP76" s="164"/>
      <c r="SEQ76" s="164"/>
      <c r="SER76" s="164"/>
      <c r="SES76" s="164"/>
      <c r="SET76" s="164"/>
      <c r="SEU76" s="164"/>
      <c r="SEV76" s="164"/>
      <c r="SEW76" s="164"/>
      <c r="SEX76" s="164"/>
      <c r="SEY76" s="164"/>
      <c r="SEZ76" s="164"/>
      <c r="SFA76" s="164"/>
      <c r="SFB76" s="164"/>
      <c r="SFC76" s="164"/>
      <c r="SFD76" s="164"/>
      <c r="SFE76" s="164"/>
      <c r="SFF76" s="164"/>
      <c r="SFG76" s="164"/>
      <c r="SFH76" s="164"/>
      <c r="SFI76" s="164"/>
      <c r="SFJ76" s="164"/>
      <c r="SFK76" s="164"/>
      <c r="SFL76" s="164"/>
      <c r="SFM76" s="164"/>
      <c r="SFN76" s="164"/>
      <c r="SFO76" s="164"/>
      <c r="SFP76" s="164"/>
      <c r="SFQ76" s="164"/>
      <c r="SFR76" s="164"/>
      <c r="SFS76" s="164"/>
      <c r="SFT76" s="164"/>
      <c r="SFU76" s="164"/>
      <c r="SFV76" s="164"/>
      <c r="SFW76" s="164"/>
      <c r="SFX76" s="164"/>
      <c r="SFY76" s="164"/>
      <c r="SFZ76" s="164"/>
      <c r="SGA76" s="164"/>
      <c r="SGB76" s="164"/>
      <c r="SGC76" s="164"/>
      <c r="SGD76" s="164"/>
      <c r="SGE76" s="164"/>
      <c r="SGF76" s="164"/>
      <c r="SGG76" s="164"/>
      <c r="SGH76" s="164"/>
      <c r="SGI76" s="164"/>
      <c r="SGJ76" s="164"/>
      <c r="SGK76" s="164"/>
      <c r="SGL76" s="164"/>
      <c r="SGM76" s="164"/>
      <c r="SGN76" s="164"/>
      <c r="SGO76" s="164"/>
      <c r="SGP76" s="164"/>
      <c r="SGQ76" s="164"/>
      <c r="SGR76" s="164"/>
      <c r="SGS76" s="164"/>
      <c r="SGT76" s="164"/>
      <c r="SGU76" s="164"/>
      <c r="SGV76" s="164"/>
      <c r="SGW76" s="164"/>
      <c r="SGX76" s="164"/>
      <c r="SGY76" s="164"/>
      <c r="SGZ76" s="164"/>
      <c r="SHA76" s="164"/>
      <c r="SHB76" s="164"/>
      <c r="SHC76" s="164"/>
      <c r="SHD76" s="164"/>
      <c r="SHE76" s="164"/>
      <c r="SHF76" s="164"/>
      <c r="SHG76" s="164"/>
      <c r="SHH76" s="164"/>
      <c r="SHI76" s="164"/>
      <c r="SHJ76" s="164"/>
      <c r="SHK76" s="164"/>
      <c r="SHL76" s="164"/>
      <c r="SHM76" s="164"/>
      <c r="SHN76" s="164"/>
      <c r="SHO76" s="164"/>
      <c r="SHP76" s="164"/>
      <c r="SHQ76" s="164"/>
      <c r="SHR76" s="164"/>
      <c r="SHS76" s="164"/>
      <c r="SHT76" s="164"/>
      <c r="SHU76" s="164"/>
      <c r="SHV76" s="164"/>
      <c r="SHW76" s="164"/>
      <c r="SHX76" s="164"/>
      <c r="SHY76" s="164"/>
      <c r="SHZ76" s="164"/>
      <c r="SIA76" s="164"/>
      <c r="SIB76" s="164"/>
      <c r="SIC76" s="164"/>
      <c r="SID76" s="164"/>
      <c r="SIE76" s="164"/>
      <c r="SIF76" s="164"/>
      <c r="SIG76" s="164"/>
      <c r="SIH76" s="164"/>
      <c r="SII76" s="164"/>
      <c r="SIJ76" s="164"/>
      <c r="SIK76" s="164"/>
      <c r="SIL76" s="164"/>
      <c r="SIM76" s="164"/>
      <c r="SIN76" s="164"/>
      <c r="SIO76" s="164"/>
      <c r="SIP76" s="164"/>
      <c r="SIQ76" s="164"/>
      <c r="SIR76" s="164"/>
      <c r="SIS76" s="164"/>
      <c r="SIT76" s="164"/>
      <c r="SIU76" s="164"/>
      <c r="SIV76" s="164"/>
      <c r="SIW76" s="164"/>
      <c r="SIX76" s="164"/>
      <c r="SIY76" s="164"/>
      <c r="SIZ76" s="164"/>
      <c r="SJA76" s="164"/>
      <c r="SJB76" s="164"/>
      <c r="SJC76" s="164"/>
      <c r="SJD76" s="164"/>
      <c r="SJE76" s="164"/>
      <c r="SJF76" s="164"/>
      <c r="SJG76" s="164"/>
      <c r="SJH76" s="164"/>
      <c r="SJI76" s="164"/>
      <c r="SJJ76" s="164"/>
      <c r="SJK76" s="164"/>
      <c r="SJL76" s="164"/>
      <c r="SJM76" s="164"/>
      <c r="SJN76" s="164"/>
      <c r="SJO76" s="164"/>
      <c r="SJP76" s="164"/>
      <c r="SJQ76" s="164"/>
      <c r="SJR76" s="164"/>
      <c r="SJS76" s="164"/>
      <c r="SJT76" s="164"/>
      <c r="SJU76" s="164"/>
      <c r="SJV76" s="164"/>
      <c r="SJW76" s="164"/>
      <c r="SJX76" s="164"/>
      <c r="SJY76" s="164"/>
      <c r="SJZ76" s="164"/>
      <c r="SKA76" s="164"/>
      <c r="SKB76" s="164"/>
      <c r="SKC76" s="164"/>
      <c r="SKD76" s="164"/>
      <c r="SKE76" s="164"/>
      <c r="SKF76" s="164"/>
      <c r="SKG76" s="164"/>
      <c r="SKH76" s="164"/>
      <c r="SKI76" s="164"/>
      <c r="SKJ76" s="164"/>
      <c r="SKK76" s="164"/>
      <c r="SKL76" s="164"/>
      <c r="SKM76" s="164"/>
      <c r="SKN76" s="164"/>
      <c r="SKO76" s="164"/>
      <c r="SKP76" s="164"/>
      <c r="SKQ76" s="164"/>
      <c r="SKR76" s="164"/>
      <c r="SKS76" s="164"/>
      <c r="SKT76" s="164"/>
      <c r="SKU76" s="164"/>
      <c r="SKV76" s="164"/>
      <c r="SKW76" s="164"/>
      <c r="SKX76" s="164"/>
      <c r="SKY76" s="164"/>
      <c r="SKZ76" s="164"/>
      <c r="SLA76" s="164"/>
      <c r="SLB76" s="164"/>
      <c r="SLC76" s="164"/>
      <c r="SLD76" s="164"/>
      <c r="SLE76" s="164"/>
      <c r="SLF76" s="164"/>
      <c r="SLG76" s="164"/>
      <c r="SLH76" s="164"/>
      <c r="SLI76" s="164"/>
      <c r="SLJ76" s="164"/>
      <c r="SLK76" s="164"/>
      <c r="SLL76" s="164"/>
      <c r="SLM76" s="164"/>
      <c r="SLN76" s="164"/>
      <c r="SLO76" s="164"/>
      <c r="SLP76" s="164"/>
      <c r="SLQ76" s="164"/>
      <c r="SLR76" s="164"/>
      <c r="SLS76" s="164"/>
      <c r="SLT76" s="164"/>
      <c r="SLU76" s="164"/>
      <c r="SLV76" s="164"/>
      <c r="SLW76" s="164"/>
      <c r="SLX76" s="164"/>
      <c r="SLY76" s="164"/>
      <c r="SLZ76" s="164"/>
      <c r="SMA76" s="164"/>
      <c r="SMB76" s="164"/>
      <c r="SMC76" s="164"/>
      <c r="SMD76" s="164"/>
      <c r="SME76" s="164"/>
      <c r="SMF76" s="164"/>
      <c r="SMG76" s="164"/>
      <c r="SMH76" s="164"/>
      <c r="SMI76" s="164"/>
      <c r="SMJ76" s="164"/>
      <c r="SMK76" s="164"/>
      <c r="SML76" s="164"/>
      <c r="SMM76" s="164"/>
      <c r="SMN76" s="164"/>
      <c r="SMO76" s="164"/>
      <c r="SMP76" s="164"/>
      <c r="SMQ76" s="164"/>
      <c r="SMR76" s="164"/>
      <c r="SMS76" s="164"/>
      <c r="SMT76" s="164"/>
      <c r="SMU76" s="164"/>
      <c r="SMV76" s="164"/>
      <c r="SMW76" s="164"/>
      <c r="SMX76" s="164"/>
      <c r="SMY76" s="164"/>
      <c r="SMZ76" s="164"/>
      <c r="SNA76" s="164"/>
      <c r="SNB76" s="164"/>
      <c r="SNC76" s="164"/>
      <c r="SND76" s="164"/>
      <c r="SNE76" s="164"/>
      <c r="SNF76" s="164"/>
      <c r="SNG76" s="164"/>
      <c r="SNH76" s="164"/>
      <c r="SNI76" s="164"/>
      <c r="SNJ76" s="164"/>
      <c r="SNK76" s="164"/>
      <c r="SNL76" s="164"/>
      <c r="SNM76" s="164"/>
      <c r="SNN76" s="164"/>
      <c r="SNO76" s="164"/>
      <c r="SNP76" s="164"/>
      <c r="SNQ76" s="164"/>
      <c r="SNR76" s="164"/>
      <c r="SNS76" s="164"/>
      <c r="SNT76" s="164"/>
      <c r="SNU76" s="164"/>
      <c r="SNV76" s="164"/>
      <c r="SNW76" s="164"/>
      <c r="SNX76" s="164"/>
      <c r="SNY76" s="164"/>
      <c r="SNZ76" s="164"/>
      <c r="SOA76" s="164"/>
      <c r="SOB76" s="164"/>
      <c r="SOC76" s="164"/>
      <c r="SOD76" s="164"/>
      <c r="SOE76" s="164"/>
      <c r="SOF76" s="164"/>
      <c r="SOG76" s="164"/>
      <c r="SOH76" s="164"/>
      <c r="SOI76" s="164"/>
      <c r="SOJ76" s="164"/>
      <c r="SOK76" s="164"/>
      <c r="SOL76" s="164"/>
      <c r="SOM76" s="164"/>
      <c r="SON76" s="164"/>
      <c r="SOO76" s="164"/>
      <c r="SOP76" s="164"/>
      <c r="SOQ76" s="164"/>
      <c r="SOR76" s="164"/>
      <c r="SOS76" s="164"/>
      <c r="SOT76" s="164"/>
      <c r="SOU76" s="164"/>
      <c r="SOV76" s="164"/>
      <c r="SOW76" s="164"/>
      <c r="SOX76" s="164"/>
      <c r="SOY76" s="164"/>
      <c r="SOZ76" s="164"/>
      <c r="SPA76" s="164"/>
      <c r="SPB76" s="164"/>
      <c r="SPC76" s="164"/>
      <c r="SPD76" s="164"/>
      <c r="SPE76" s="164"/>
      <c r="SPF76" s="164"/>
      <c r="SPG76" s="164"/>
      <c r="SPH76" s="164"/>
      <c r="SPI76" s="164"/>
      <c r="SPJ76" s="164"/>
      <c r="SPK76" s="164"/>
      <c r="SPL76" s="164"/>
      <c r="SPM76" s="164"/>
      <c r="SPN76" s="164"/>
      <c r="SPO76" s="164"/>
      <c r="SPP76" s="164"/>
      <c r="SPQ76" s="164"/>
      <c r="SPR76" s="164"/>
      <c r="SPS76" s="164"/>
      <c r="SPT76" s="164"/>
      <c r="SPU76" s="164"/>
      <c r="SPV76" s="164"/>
      <c r="SPW76" s="164"/>
      <c r="SPX76" s="164"/>
      <c r="SPY76" s="164"/>
      <c r="SPZ76" s="164"/>
      <c r="SQA76" s="164"/>
      <c r="SQB76" s="164"/>
      <c r="SQC76" s="164"/>
      <c r="SQD76" s="164"/>
      <c r="SQE76" s="164"/>
      <c r="SQF76" s="164"/>
      <c r="SQG76" s="164"/>
      <c r="SQH76" s="164"/>
      <c r="SQI76" s="164"/>
      <c r="SQJ76" s="164"/>
      <c r="SQK76" s="164"/>
      <c r="SQL76" s="164"/>
      <c r="SQM76" s="164"/>
      <c r="SQN76" s="164"/>
      <c r="SQO76" s="164"/>
      <c r="SQP76" s="164"/>
      <c r="SQQ76" s="164"/>
      <c r="SQR76" s="164"/>
      <c r="SQS76" s="164"/>
      <c r="SQT76" s="164"/>
      <c r="SQU76" s="164"/>
      <c r="SQV76" s="164"/>
      <c r="SQW76" s="164"/>
      <c r="SQX76" s="164"/>
      <c r="SQY76" s="164"/>
      <c r="SQZ76" s="164"/>
      <c r="SRA76" s="164"/>
      <c r="SRB76" s="164"/>
      <c r="SRC76" s="164"/>
      <c r="SRD76" s="164"/>
      <c r="SRE76" s="164"/>
      <c r="SRF76" s="164"/>
      <c r="SRG76" s="164"/>
      <c r="SRH76" s="164"/>
      <c r="SRI76" s="164"/>
      <c r="SRJ76" s="164"/>
      <c r="SRK76" s="164"/>
      <c r="SRL76" s="164"/>
      <c r="SRM76" s="164"/>
      <c r="SRN76" s="164"/>
      <c r="SRO76" s="164"/>
      <c r="SRP76" s="164"/>
      <c r="SRQ76" s="164"/>
      <c r="SRR76" s="164"/>
      <c r="SRS76" s="164"/>
      <c r="SRT76" s="164"/>
      <c r="SRU76" s="164"/>
      <c r="SRV76" s="164"/>
      <c r="SRW76" s="164"/>
      <c r="SRX76" s="164"/>
      <c r="SRY76" s="164"/>
      <c r="SRZ76" s="164"/>
      <c r="SSA76" s="164"/>
      <c r="SSB76" s="164"/>
      <c r="SSC76" s="164"/>
      <c r="SSD76" s="164"/>
      <c r="SSE76" s="164"/>
      <c r="SSF76" s="164"/>
      <c r="SSG76" s="164"/>
      <c r="SSH76" s="164"/>
      <c r="SSI76" s="164"/>
      <c r="SSJ76" s="164"/>
      <c r="SSK76" s="164"/>
      <c r="SSL76" s="164"/>
      <c r="SSM76" s="164"/>
      <c r="SSN76" s="164"/>
      <c r="SSO76" s="164"/>
      <c r="SSP76" s="164"/>
      <c r="SSQ76" s="164"/>
      <c r="SSR76" s="164"/>
      <c r="SSS76" s="164"/>
      <c r="SST76" s="164"/>
      <c r="SSU76" s="164"/>
      <c r="SSV76" s="164"/>
      <c r="SSW76" s="164"/>
      <c r="SSX76" s="164"/>
      <c r="SSY76" s="164"/>
      <c r="SSZ76" s="164"/>
      <c r="STA76" s="164"/>
      <c r="STB76" s="164"/>
      <c r="STC76" s="164"/>
      <c r="STD76" s="164"/>
      <c r="STE76" s="164"/>
      <c r="STF76" s="164"/>
      <c r="STG76" s="164"/>
      <c r="STH76" s="164"/>
      <c r="STI76" s="164"/>
      <c r="STJ76" s="164"/>
      <c r="STK76" s="164"/>
      <c r="STL76" s="164"/>
      <c r="STM76" s="164"/>
      <c r="STN76" s="164"/>
      <c r="STO76" s="164"/>
      <c r="STP76" s="164"/>
      <c r="STQ76" s="164"/>
      <c r="STR76" s="164"/>
      <c r="STS76" s="164"/>
      <c r="STT76" s="164"/>
      <c r="STU76" s="164"/>
      <c r="STV76" s="164"/>
      <c r="STW76" s="164"/>
      <c r="STX76" s="164"/>
      <c r="STY76" s="164"/>
      <c r="STZ76" s="164"/>
      <c r="SUA76" s="164"/>
      <c r="SUB76" s="164"/>
      <c r="SUC76" s="164"/>
      <c r="SUD76" s="164"/>
      <c r="SUE76" s="164"/>
      <c r="SUF76" s="164"/>
      <c r="SUG76" s="164"/>
      <c r="SUH76" s="164"/>
      <c r="SUI76" s="164"/>
      <c r="SUJ76" s="164"/>
      <c r="SUK76" s="164"/>
      <c r="SUL76" s="164"/>
      <c r="SUM76" s="164"/>
      <c r="SUN76" s="164"/>
      <c r="SUO76" s="164"/>
      <c r="SUP76" s="164"/>
      <c r="SUQ76" s="164"/>
      <c r="SUR76" s="164"/>
      <c r="SUS76" s="164"/>
      <c r="SUT76" s="164"/>
      <c r="SUU76" s="164"/>
      <c r="SUV76" s="164"/>
      <c r="SUW76" s="164"/>
      <c r="SUX76" s="164"/>
      <c r="SUY76" s="164"/>
      <c r="SUZ76" s="164"/>
      <c r="SVA76" s="164"/>
      <c r="SVB76" s="164"/>
      <c r="SVC76" s="164"/>
      <c r="SVD76" s="164"/>
      <c r="SVE76" s="164"/>
      <c r="SVF76" s="164"/>
      <c r="SVG76" s="164"/>
      <c r="SVH76" s="164"/>
      <c r="SVI76" s="164"/>
      <c r="SVJ76" s="164"/>
      <c r="SVK76" s="164"/>
      <c r="SVL76" s="164"/>
      <c r="SVM76" s="164"/>
      <c r="SVN76" s="164"/>
      <c r="SVO76" s="164"/>
      <c r="SVP76" s="164"/>
      <c r="SVQ76" s="164"/>
      <c r="SVR76" s="164"/>
      <c r="SVS76" s="164"/>
      <c r="SVT76" s="164"/>
      <c r="SVU76" s="164"/>
      <c r="SVV76" s="164"/>
      <c r="SVW76" s="164"/>
      <c r="SVX76" s="164"/>
      <c r="SVY76" s="164"/>
      <c r="SVZ76" s="164"/>
      <c r="SWA76" s="164"/>
      <c r="SWB76" s="164"/>
      <c r="SWC76" s="164"/>
      <c r="SWD76" s="164"/>
      <c r="SWE76" s="164"/>
      <c r="SWF76" s="164"/>
      <c r="SWG76" s="164"/>
      <c r="SWH76" s="164"/>
      <c r="SWI76" s="164"/>
      <c r="SWJ76" s="164"/>
      <c r="SWK76" s="164"/>
      <c r="SWL76" s="164"/>
      <c r="SWM76" s="164"/>
      <c r="SWN76" s="164"/>
      <c r="SWO76" s="164"/>
      <c r="SWP76" s="164"/>
      <c r="SWQ76" s="164"/>
      <c r="SWR76" s="164"/>
      <c r="SWS76" s="164"/>
      <c r="SWT76" s="164"/>
      <c r="SWU76" s="164"/>
      <c r="SWV76" s="164"/>
      <c r="SWW76" s="164"/>
      <c r="SWX76" s="164"/>
      <c r="SWY76" s="164"/>
      <c r="SWZ76" s="164"/>
      <c r="SXA76" s="164"/>
      <c r="SXB76" s="164"/>
      <c r="SXC76" s="164"/>
      <c r="SXD76" s="164"/>
      <c r="SXE76" s="164"/>
      <c r="SXF76" s="164"/>
      <c r="SXG76" s="164"/>
      <c r="SXH76" s="164"/>
      <c r="SXI76" s="164"/>
      <c r="SXJ76" s="164"/>
      <c r="SXK76" s="164"/>
      <c r="SXL76" s="164"/>
      <c r="SXM76" s="164"/>
      <c r="SXN76" s="164"/>
      <c r="SXO76" s="164"/>
      <c r="SXP76" s="164"/>
      <c r="SXQ76" s="164"/>
      <c r="SXR76" s="164"/>
      <c r="SXS76" s="164"/>
      <c r="SXT76" s="164"/>
      <c r="SXU76" s="164"/>
      <c r="SXV76" s="164"/>
      <c r="SXW76" s="164"/>
      <c r="SXX76" s="164"/>
      <c r="SXY76" s="164"/>
      <c r="SXZ76" s="164"/>
      <c r="SYA76" s="164"/>
      <c r="SYB76" s="164"/>
      <c r="SYC76" s="164"/>
      <c r="SYD76" s="164"/>
      <c r="SYE76" s="164"/>
      <c r="SYF76" s="164"/>
      <c r="SYG76" s="164"/>
      <c r="SYH76" s="164"/>
      <c r="SYI76" s="164"/>
      <c r="SYJ76" s="164"/>
      <c r="SYK76" s="164"/>
      <c r="SYL76" s="164"/>
      <c r="SYM76" s="164"/>
      <c r="SYN76" s="164"/>
      <c r="SYO76" s="164"/>
      <c r="SYP76" s="164"/>
      <c r="SYQ76" s="164"/>
      <c r="SYR76" s="164"/>
      <c r="SYS76" s="164"/>
      <c r="SYT76" s="164"/>
      <c r="SYU76" s="164"/>
      <c r="SYV76" s="164"/>
      <c r="SYW76" s="164"/>
      <c r="SYX76" s="164"/>
      <c r="SYY76" s="164"/>
      <c r="SYZ76" s="164"/>
      <c r="SZA76" s="164"/>
      <c r="SZB76" s="164"/>
      <c r="SZC76" s="164"/>
      <c r="SZD76" s="164"/>
      <c r="SZE76" s="164"/>
      <c r="SZF76" s="164"/>
      <c r="SZG76" s="164"/>
      <c r="SZH76" s="164"/>
      <c r="SZI76" s="164"/>
      <c r="SZJ76" s="164"/>
      <c r="SZK76" s="164"/>
      <c r="SZL76" s="164"/>
      <c r="SZM76" s="164"/>
      <c r="SZN76" s="164"/>
      <c r="SZO76" s="164"/>
      <c r="SZP76" s="164"/>
      <c r="SZQ76" s="164"/>
      <c r="SZR76" s="164"/>
      <c r="SZS76" s="164"/>
      <c r="SZT76" s="164"/>
      <c r="SZU76" s="164"/>
      <c r="SZV76" s="164"/>
      <c r="SZW76" s="164"/>
      <c r="SZX76" s="164"/>
      <c r="SZY76" s="164"/>
      <c r="SZZ76" s="164"/>
      <c r="TAA76" s="164"/>
      <c r="TAB76" s="164"/>
      <c r="TAC76" s="164"/>
      <c r="TAD76" s="164"/>
      <c r="TAE76" s="164"/>
      <c r="TAF76" s="164"/>
      <c r="TAG76" s="164"/>
      <c r="TAH76" s="164"/>
      <c r="TAI76" s="164"/>
      <c r="TAJ76" s="164"/>
      <c r="TAK76" s="164"/>
      <c r="TAL76" s="164"/>
      <c r="TAM76" s="164"/>
      <c r="TAN76" s="164"/>
      <c r="TAO76" s="164"/>
      <c r="TAP76" s="164"/>
      <c r="TAQ76" s="164"/>
      <c r="TAR76" s="164"/>
      <c r="TAS76" s="164"/>
      <c r="TAT76" s="164"/>
      <c r="TAU76" s="164"/>
      <c r="TAV76" s="164"/>
      <c r="TAW76" s="164"/>
      <c r="TAX76" s="164"/>
      <c r="TAY76" s="164"/>
      <c r="TAZ76" s="164"/>
      <c r="TBA76" s="164"/>
      <c r="TBB76" s="164"/>
      <c r="TBC76" s="164"/>
      <c r="TBD76" s="164"/>
      <c r="TBE76" s="164"/>
      <c r="TBF76" s="164"/>
      <c r="TBG76" s="164"/>
      <c r="TBH76" s="164"/>
      <c r="TBI76" s="164"/>
      <c r="TBJ76" s="164"/>
      <c r="TBK76" s="164"/>
      <c r="TBL76" s="164"/>
      <c r="TBM76" s="164"/>
      <c r="TBN76" s="164"/>
      <c r="TBO76" s="164"/>
      <c r="TBP76" s="164"/>
      <c r="TBQ76" s="164"/>
      <c r="TBR76" s="164"/>
      <c r="TBS76" s="164"/>
      <c r="TBT76" s="164"/>
      <c r="TBU76" s="164"/>
      <c r="TBV76" s="164"/>
      <c r="TBW76" s="164"/>
      <c r="TBX76" s="164"/>
      <c r="TBY76" s="164"/>
      <c r="TBZ76" s="164"/>
      <c r="TCA76" s="164"/>
      <c r="TCB76" s="164"/>
      <c r="TCC76" s="164"/>
      <c r="TCD76" s="164"/>
      <c r="TCE76" s="164"/>
      <c r="TCF76" s="164"/>
      <c r="TCG76" s="164"/>
      <c r="TCH76" s="164"/>
      <c r="TCI76" s="164"/>
      <c r="TCJ76" s="164"/>
      <c r="TCK76" s="164"/>
      <c r="TCL76" s="164"/>
      <c r="TCM76" s="164"/>
      <c r="TCN76" s="164"/>
      <c r="TCO76" s="164"/>
      <c r="TCP76" s="164"/>
      <c r="TCQ76" s="164"/>
      <c r="TCR76" s="164"/>
      <c r="TCS76" s="164"/>
      <c r="TCT76" s="164"/>
      <c r="TCU76" s="164"/>
      <c r="TCV76" s="164"/>
      <c r="TCW76" s="164"/>
      <c r="TCX76" s="164"/>
      <c r="TCY76" s="164"/>
      <c r="TCZ76" s="164"/>
      <c r="TDA76" s="164"/>
      <c r="TDB76" s="164"/>
      <c r="TDC76" s="164"/>
      <c r="TDD76" s="164"/>
      <c r="TDE76" s="164"/>
      <c r="TDF76" s="164"/>
      <c r="TDG76" s="164"/>
      <c r="TDH76" s="164"/>
      <c r="TDI76" s="164"/>
      <c r="TDJ76" s="164"/>
      <c r="TDK76" s="164"/>
      <c r="TDL76" s="164"/>
      <c r="TDM76" s="164"/>
      <c r="TDN76" s="164"/>
      <c r="TDO76" s="164"/>
      <c r="TDP76" s="164"/>
      <c r="TDQ76" s="164"/>
      <c r="TDR76" s="164"/>
      <c r="TDS76" s="164"/>
      <c r="TDT76" s="164"/>
      <c r="TDU76" s="164"/>
      <c r="TDV76" s="164"/>
      <c r="TDW76" s="164"/>
      <c r="TDX76" s="164"/>
      <c r="TDY76" s="164"/>
      <c r="TDZ76" s="164"/>
      <c r="TEA76" s="164"/>
      <c r="TEB76" s="164"/>
      <c r="TEC76" s="164"/>
      <c r="TED76" s="164"/>
      <c r="TEE76" s="164"/>
      <c r="TEF76" s="164"/>
      <c r="TEG76" s="164"/>
      <c r="TEH76" s="164"/>
      <c r="TEI76" s="164"/>
      <c r="TEJ76" s="164"/>
      <c r="TEK76" s="164"/>
      <c r="TEL76" s="164"/>
      <c r="TEM76" s="164"/>
      <c r="TEN76" s="164"/>
      <c r="TEO76" s="164"/>
      <c r="TEP76" s="164"/>
      <c r="TEQ76" s="164"/>
      <c r="TER76" s="164"/>
      <c r="TES76" s="164"/>
      <c r="TET76" s="164"/>
      <c r="TEU76" s="164"/>
      <c r="TEV76" s="164"/>
      <c r="TEW76" s="164"/>
      <c r="TEX76" s="164"/>
      <c r="TEY76" s="164"/>
      <c r="TEZ76" s="164"/>
      <c r="TFA76" s="164"/>
      <c r="TFB76" s="164"/>
      <c r="TFC76" s="164"/>
      <c r="TFD76" s="164"/>
      <c r="TFE76" s="164"/>
      <c r="TFF76" s="164"/>
      <c r="TFG76" s="164"/>
      <c r="TFH76" s="164"/>
      <c r="TFI76" s="164"/>
      <c r="TFJ76" s="164"/>
      <c r="TFK76" s="164"/>
      <c r="TFL76" s="164"/>
      <c r="TFM76" s="164"/>
      <c r="TFN76" s="164"/>
      <c r="TFO76" s="164"/>
      <c r="TFP76" s="164"/>
      <c r="TFQ76" s="164"/>
      <c r="TFR76" s="164"/>
      <c r="TFS76" s="164"/>
      <c r="TFT76" s="164"/>
      <c r="TFU76" s="164"/>
      <c r="TFV76" s="164"/>
      <c r="TFW76" s="164"/>
      <c r="TFX76" s="164"/>
      <c r="TFY76" s="164"/>
      <c r="TFZ76" s="164"/>
      <c r="TGA76" s="164"/>
      <c r="TGB76" s="164"/>
      <c r="TGC76" s="164"/>
      <c r="TGD76" s="164"/>
      <c r="TGE76" s="164"/>
      <c r="TGF76" s="164"/>
      <c r="TGG76" s="164"/>
      <c r="TGH76" s="164"/>
      <c r="TGI76" s="164"/>
      <c r="TGJ76" s="164"/>
      <c r="TGK76" s="164"/>
      <c r="TGL76" s="164"/>
      <c r="TGM76" s="164"/>
      <c r="TGN76" s="164"/>
      <c r="TGO76" s="164"/>
      <c r="TGP76" s="164"/>
      <c r="TGQ76" s="164"/>
      <c r="TGR76" s="164"/>
      <c r="TGS76" s="164"/>
      <c r="TGT76" s="164"/>
      <c r="TGU76" s="164"/>
      <c r="TGV76" s="164"/>
      <c r="TGW76" s="164"/>
      <c r="TGX76" s="164"/>
      <c r="TGY76" s="164"/>
      <c r="TGZ76" s="164"/>
      <c r="THA76" s="164"/>
      <c r="THB76" s="164"/>
      <c r="THC76" s="164"/>
      <c r="THD76" s="164"/>
      <c r="THE76" s="164"/>
      <c r="THF76" s="164"/>
      <c r="THG76" s="164"/>
      <c r="THH76" s="164"/>
      <c r="THI76" s="164"/>
      <c r="THJ76" s="164"/>
      <c r="THK76" s="164"/>
      <c r="THL76" s="164"/>
      <c r="THM76" s="164"/>
      <c r="THN76" s="164"/>
      <c r="THO76" s="164"/>
      <c r="THP76" s="164"/>
      <c r="THQ76" s="164"/>
      <c r="THR76" s="164"/>
      <c r="THS76" s="164"/>
      <c r="THT76" s="164"/>
      <c r="THU76" s="164"/>
      <c r="THV76" s="164"/>
      <c r="THW76" s="164"/>
      <c r="THX76" s="164"/>
      <c r="THY76" s="164"/>
      <c r="THZ76" s="164"/>
      <c r="TIA76" s="164"/>
      <c r="TIB76" s="164"/>
      <c r="TIC76" s="164"/>
      <c r="TID76" s="164"/>
      <c r="TIE76" s="164"/>
      <c r="TIF76" s="164"/>
      <c r="TIG76" s="164"/>
      <c r="TIH76" s="164"/>
      <c r="TII76" s="164"/>
      <c r="TIJ76" s="164"/>
      <c r="TIK76" s="164"/>
      <c r="TIL76" s="164"/>
      <c r="TIM76" s="164"/>
      <c r="TIN76" s="164"/>
      <c r="TIO76" s="164"/>
      <c r="TIP76" s="164"/>
      <c r="TIQ76" s="164"/>
      <c r="TIR76" s="164"/>
      <c r="TIS76" s="164"/>
      <c r="TIT76" s="164"/>
      <c r="TIU76" s="164"/>
      <c r="TIV76" s="164"/>
      <c r="TIW76" s="164"/>
      <c r="TIX76" s="164"/>
      <c r="TIY76" s="164"/>
      <c r="TIZ76" s="164"/>
      <c r="TJA76" s="164"/>
      <c r="TJB76" s="164"/>
      <c r="TJC76" s="164"/>
      <c r="TJD76" s="164"/>
      <c r="TJE76" s="164"/>
      <c r="TJF76" s="164"/>
      <c r="TJG76" s="164"/>
      <c r="TJH76" s="164"/>
      <c r="TJI76" s="164"/>
      <c r="TJJ76" s="164"/>
      <c r="TJK76" s="164"/>
      <c r="TJL76" s="164"/>
      <c r="TJM76" s="164"/>
      <c r="TJN76" s="164"/>
      <c r="TJO76" s="164"/>
      <c r="TJP76" s="164"/>
      <c r="TJQ76" s="164"/>
      <c r="TJR76" s="164"/>
      <c r="TJS76" s="164"/>
      <c r="TJT76" s="164"/>
      <c r="TJU76" s="164"/>
      <c r="TJV76" s="164"/>
      <c r="TJW76" s="164"/>
      <c r="TJX76" s="164"/>
      <c r="TJY76" s="164"/>
      <c r="TJZ76" s="164"/>
      <c r="TKA76" s="164"/>
      <c r="TKB76" s="164"/>
      <c r="TKC76" s="164"/>
      <c r="TKD76" s="164"/>
      <c r="TKE76" s="164"/>
      <c r="TKF76" s="164"/>
      <c r="TKG76" s="164"/>
      <c r="TKH76" s="164"/>
      <c r="TKI76" s="164"/>
      <c r="TKJ76" s="164"/>
      <c r="TKK76" s="164"/>
      <c r="TKL76" s="164"/>
      <c r="TKM76" s="164"/>
      <c r="TKN76" s="164"/>
      <c r="TKO76" s="164"/>
      <c r="TKP76" s="164"/>
      <c r="TKQ76" s="164"/>
      <c r="TKR76" s="164"/>
      <c r="TKS76" s="164"/>
      <c r="TKT76" s="164"/>
      <c r="TKU76" s="164"/>
      <c r="TKV76" s="164"/>
      <c r="TKW76" s="164"/>
      <c r="TKX76" s="164"/>
      <c r="TKY76" s="164"/>
      <c r="TKZ76" s="164"/>
      <c r="TLA76" s="164"/>
      <c r="TLB76" s="164"/>
      <c r="TLC76" s="164"/>
      <c r="TLD76" s="164"/>
      <c r="TLE76" s="164"/>
      <c r="TLF76" s="164"/>
      <c r="TLG76" s="164"/>
      <c r="TLH76" s="164"/>
      <c r="TLI76" s="164"/>
      <c r="TLJ76" s="164"/>
      <c r="TLK76" s="164"/>
      <c r="TLL76" s="164"/>
      <c r="TLM76" s="164"/>
      <c r="TLN76" s="164"/>
      <c r="TLO76" s="164"/>
      <c r="TLP76" s="164"/>
      <c r="TLQ76" s="164"/>
      <c r="TLR76" s="164"/>
      <c r="TLS76" s="164"/>
      <c r="TLT76" s="164"/>
      <c r="TLU76" s="164"/>
      <c r="TLV76" s="164"/>
      <c r="TLW76" s="164"/>
      <c r="TLX76" s="164"/>
      <c r="TLY76" s="164"/>
      <c r="TLZ76" s="164"/>
      <c r="TMA76" s="164"/>
      <c r="TMB76" s="164"/>
      <c r="TMC76" s="164"/>
      <c r="TMD76" s="164"/>
      <c r="TME76" s="164"/>
      <c r="TMF76" s="164"/>
      <c r="TMG76" s="164"/>
      <c r="TMH76" s="164"/>
      <c r="TMI76" s="164"/>
      <c r="TMJ76" s="164"/>
      <c r="TMK76" s="164"/>
      <c r="TML76" s="164"/>
      <c r="TMM76" s="164"/>
      <c r="TMN76" s="164"/>
      <c r="TMO76" s="164"/>
      <c r="TMP76" s="164"/>
      <c r="TMQ76" s="164"/>
      <c r="TMR76" s="164"/>
      <c r="TMS76" s="164"/>
      <c r="TMT76" s="164"/>
      <c r="TMU76" s="164"/>
      <c r="TMV76" s="164"/>
      <c r="TMW76" s="164"/>
      <c r="TMX76" s="164"/>
      <c r="TMY76" s="164"/>
      <c r="TMZ76" s="164"/>
      <c r="TNA76" s="164"/>
      <c r="TNB76" s="164"/>
      <c r="TNC76" s="164"/>
      <c r="TND76" s="164"/>
      <c r="TNE76" s="164"/>
      <c r="TNF76" s="164"/>
      <c r="TNG76" s="164"/>
      <c r="TNH76" s="164"/>
      <c r="TNI76" s="164"/>
      <c r="TNJ76" s="164"/>
      <c r="TNK76" s="164"/>
      <c r="TNL76" s="164"/>
      <c r="TNM76" s="164"/>
      <c r="TNN76" s="164"/>
      <c r="TNO76" s="164"/>
      <c r="TNP76" s="164"/>
      <c r="TNQ76" s="164"/>
      <c r="TNR76" s="164"/>
      <c r="TNS76" s="164"/>
      <c r="TNT76" s="164"/>
      <c r="TNU76" s="164"/>
      <c r="TNV76" s="164"/>
      <c r="TNW76" s="164"/>
      <c r="TNX76" s="164"/>
      <c r="TNY76" s="164"/>
      <c r="TNZ76" s="164"/>
      <c r="TOA76" s="164"/>
      <c r="TOB76" s="164"/>
      <c r="TOC76" s="164"/>
      <c r="TOD76" s="164"/>
      <c r="TOE76" s="164"/>
      <c r="TOF76" s="164"/>
      <c r="TOG76" s="164"/>
      <c r="TOH76" s="164"/>
      <c r="TOI76" s="164"/>
      <c r="TOJ76" s="164"/>
      <c r="TOK76" s="164"/>
      <c r="TOL76" s="164"/>
      <c r="TOM76" s="164"/>
      <c r="TON76" s="164"/>
      <c r="TOO76" s="164"/>
      <c r="TOP76" s="164"/>
      <c r="TOQ76" s="164"/>
      <c r="TOR76" s="164"/>
      <c r="TOS76" s="164"/>
      <c r="TOT76" s="164"/>
      <c r="TOU76" s="164"/>
      <c r="TOV76" s="164"/>
      <c r="TOW76" s="164"/>
      <c r="TOX76" s="164"/>
      <c r="TOY76" s="164"/>
      <c r="TOZ76" s="164"/>
      <c r="TPA76" s="164"/>
      <c r="TPB76" s="164"/>
      <c r="TPC76" s="164"/>
      <c r="TPD76" s="164"/>
      <c r="TPE76" s="164"/>
      <c r="TPF76" s="164"/>
      <c r="TPG76" s="164"/>
      <c r="TPH76" s="164"/>
      <c r="TPI76" s="164"/>
      <c r="TPJ76" s="164"/>
      <c r="TPK76" s="164"/>
      <c r="TPL76" s="164"/>
      <c r="TPM76" s="164"/>
      <c r="TPN76" s="164"/>
      <c r="TPO76" s="164"/>
      <c r="TPP76" s="164"/>
      <c r="TPQ76" s="164"/>
      <c r="TPR76" s="164"/>
      <c r="TPS76" s="164"/>
      <c r="TPT76" s="164"/>
      <c r="TPU76" s="164"/>
      <c r="TPV76" s="164"/>
      <c r="TPW76" s="164"/>
      <c r="TPX76" s="164"/>
      <c r="TPY76" s="164"/>
      <c r="TPZ76" s="164"/>
      <c r="TQA76" s="164"/>
      <c r="TQB76" s="164"/>
      <c r="TQC76" s="164"/>
      <c r="TQD76" s="164"/>
      <c r="TQE76" s="164"/>
      <c r="TQF76" s="164"/>
      <c r="TQG76" s="164"/>
      <c r="TQH76" s="164"/>
      <c r="TQI76" s="164"/>
      <c r="TQJ76" s="164"/>
      <c r="TQK76" s="164"/>
      <c r="TQL76" s="164"/>
      <c r="TQM76" s="164"/>
      <c r="TQN76" s="164"/>
      <c r="TQO76" s="164"/>
      <c r="TQP76" s="164"/>
      <c r="TQQ76" s="164"/>
      <c r="TQR76" s="164"/>
      <c r="TQS76" s="164"/>
      <c r="TQT76" s="164"/>
      <c r="TQU76" s="164"/>
      <c r="TQV76" s="164"/>
      <c r="TQW76" s="164"/>
      <c r="TQX76" s="164"/>
      <c r="TQY76" s="164"/>
      <c r="TQZ76" s="164"/>
      <c r="TRA76" s="164"/>
      <c r="TRB76" s="164"/>
      <c r="TRC76" s="164"/>
      <c r="TRD76" s="164"/>
      <c r="TRE76" s="164"/>
      <c r="TRF76" s="164"/>
      <c r="TRG76" s="164"/>
      <c r="TRH76" s="164"/>
      <c r="TRI76" s="164"/>
      <c r="TRJ76" s="164"/>
      <c r="TRK76" s="164"/>
      <c r="TRL76" s="164"/>
      <c r="TRM76" s="164"/>
      <c r="TRN76" s="164"/>
      <c r="TRO76" s="164"/>
      <c r="TRP76" s="164"/>
      <c r="TRQ76" s="164"/>
      <c r="TRR76" s="164"/>
      <c r="TRS76" s="164"/>
      <c r="TRT76" s="164"/>
      <c r="TRU76" s="164"/>
      <c r="TRV76" s="164"/>
      <c r="TRW76" s="164"/>
      <c r="TRX76" s="164"/>
      <c r="TRY76" s="164"/>
      <c r="TRZ76" s="164"/>
      <c r="TSA76" s="164"/>
      <c r="TSB76" s="164"/>
      <c r="TSC76" s="164"/>
      <c r="TSD76" s="164"/>
      <c r="TSE76" s="164"/>
      <c r="TSF76" s="164"/>
      <c r="TSG76" s="164"/>
      <c r="TSH76" s="164"/>
      <c r="TSI76" s="164"/>
      <c r="TSJ76" s="164"/>
      <c r="TSK76" s="164"/>
      <c r="TSL76" s="164"/>
      <c r="TSM76" s="164"/>
      <c r="TSN76" s="164"/>
      <c r="TSO76" s="164"/>
      <c r="TSP76" s="164"/>
      <c r="TSQ76" s="164"/>
      <c r="TSR76" s="164"/>
      <c r="TSS76" s="164"/>
      <c r="TST76" s="164"/>
      <c r="TSU76" s="164"/>
      <c r="TSV76" s="164"/>
      <c r="TSW76" s="164"/>
      <c r="TSX76" s="164"/>
      <c r="TSY76" s="164"/>
      <c r="TSZ76" s="164"/>
      <c r="TTA76" s="164"/>
      <c r="TTB76" s="164"/>
      <c r="TTC76" s="164"/>
      <c r="TTD76" s="164"/>
      <c r="TTE76" s="164"/>
      <c r="TTF76" s="164"/>
      <c r="TTG76" s="164"/>
      <c r="TTH76" s="164"/>
      <c r="TTI76" s="164"/>
      <c r="TTJ76" s="164"/>
      <c r="TTK76" s="164"/>
      <c r="TTL76" s="164"/>
      <c r="TTM76" s="164"/>
      <c r="TTN76" s="164"/>
      <c r="TTO76" s="164"/>
      <c r="TTP76" s="164"/>
      <c r="TTQ76" s="164"/>
      <c r="TTR76" s="164"/>
      <c r="TTS76" s="164"/>
      <c r="TTT76" s="164"/>
      <c r="TTU76" s="164"/>
      <c r="TTV76" s="164"/>
      <c r="TTW76" s="164"/>
      <c r="TTX76" s="164"/>
      <c r="TTY76" s="164"/>
      <c r="TTZ76" s="164"/>
      <c r="TUA76" s="164"/>
      <c r="TUB76" s="164"/>
      <c r="TUC76" s="164"/>
      <c r="TUD76" s="164"/>
      <c r="TUE76" s="164"/>
      <c r="TUF76" s="164"/>
      <c r="TUG76" s="164"/>
      <c r="TUH76" s="164"/>
      <c r="TUI76" s="164"/>
      <c r="TUJ76" s="164"/>
      <c r="TUK76" s="164"/>
      <c r="TUL76" s="164"/>
      <c r="TUM76" s="164"/>
      <c r="TUN76" s="164"/>
      <c r="TUO76" s="164"/>
      <c r="TUP76" s="164"/>
      <c r="TUQ76" s="164"/>
      <c r="TUR76" s="164"/>
      <c r="TUS76" s="164"/>
      <c r="TUT76" s="164"/>
      <c r="TUU76" s="164"/>
      <c r="TUV76" s="164"/>
      <c r="TUW76" s="164"/>
      <c r="TUX76" s="164"/>
      <c r="TUY76" s="164"/>
      <c r="TUZ76" s="164"/>
      <c r="TVA76" s="164"/>
      <c r="TVB76" s="164"/>
      <c r="TVC76" s="164"/>
      <c r="TVD76" s="164"/>
      <c r="TVE76" s="164"/>
      <c r="TVF76" s="164"/>
      <c r="TVG76" s="164"/>
      <c r="TVH76" s="164"/>
      <c r="TVI76" s="164"/>
      <c r="TVJ76" s="164"/>
      <c r="TVK76" s="164"/>
      <c r="TVL76" s="164"/>
      <c r="TVM76" s="164"/>
      <c r="TVN76" s="164"/>
      <c r="TVO76" s="164"/>
      <c r="TVP76" s="164"/>
      <c r="TVQ76" s="164"/>
      <c r="TVR76" s="164"/>
      <c r="TVS76" s="164"/>
      <c r="TVT76" s="164"/>
      <c r="TVU76" s="164"/>
      <c r="TVV76" s="164"/>
      <c r="TVW76" s="164"/>
      <c r="TVX76" s="164"/>
      <c r="TVY76" s="164"/>
      <c r="TVZ76" s="164"/>
      <c r="TWA76" s="164"/>
      <c r="TWB76" s="164"/>
      <c r="TWC76" s="164"/>
      <c r="TWD76" s="164"/>
      <c r="TWE76" s="164"/>
      <c r="TWF76" s="164"/>
      <c r="TWG76" s="164"/>
      <c r="TWH76" s="164"/>
      <c r="TWI76" s="164"/>
      <c r="TWJ76" s="164"/>
      <c r="TWK76" s="164"/>
      <c r="TWL76" s="164"/>
      <c r="TWM76" s="164"/>
      <c r="TWN76" s="164"/>
      <c r="TWO76" s="164"/>
      <c r="TWP76" s="164"/>
      <c r="TWQ76" s="164"/>
      <c r="TWR76" s="164"/>
      <c r="TWS76" s="164"/>
      <c r="TWT76" s="164"/>
      <c r="TWU76" s="164"/>
      <c r="TWV76" s="164"/>
      <c r="TWW76" s="164"/>
      <c r="TWX76" s="164"/>
      <c r="TWY76" s="164"/>
      <c r="TWZ76" s="164"/>
      <c r="TXA76" s="164"/>
      <c r="TXB76" s="164"/>
      <c r="TXC76" s="164"/>
      <c r="TXD76" s="164"/>
      <c r="TXE76" s="164"/>
      <c r="TXF76" s="164"/>
      <c r="TXG76" s="164"/>
      <c r="TXH76" s="164"/>
      <c r="TXI76" s="164"/>
      <c r="TXJ76" s="164"/>
      <c r="TXK76" s="164"/>
      <c r="TXL76" s="164"/>
      <c r="TXM76" s="164"/>
      <c r="TXN76" s="164"/>
      <c r="TXO76" s="164"/>
      <c r="TXP76" s="164"/>
      <c r="TXQ76" s="164"/>
      <c r="TXR76" s="164"/>
      <c r="TXS76" s="164"/>
      <c r="TXT76" s="164"/>
      <c r="TXU76" s="164"/>
      <c r="TXV76" s="164"/>
      <c r="TXW76" s="164"/>
      <c r="TXX76" s="164"/>
      <c r="TXY76" s="164"/>
      <c r="TXZ76" s="164"/>
      <c r="TYA76" s="164"/>
      <c r="TYB76" s="164"/>
      <c r="TYC76" s="164"/>
      <c r="TYD76" s="164"/>
      <c r="TYE76" s="164"/>
      <c r="TYF76" s="164"/>
      <c r="TYG76" s="164"/>
      <c r="TYH76" s="164"/>
      <c r="TYI76" s="164"/>
      <c r="TYJ76" s="164"/>
      <c r="TYK76" s="164"/>
      <c r="TYL76" s="164"/>
      <c r="TYM76" s="164"/>
      <c r="TYN76" s="164"/>
      <c r="TYO76" s="164"/>
      <c r="TYP76" s="164"/>
      <c r="TYQ76" s="164"/>
      <c r="TYR76" s="164"/>
      <c r="TYS76" s="164"/>
      <c r="TYT76" s="164"/>
      <c r="TYU76" s="164"/>
      <c r="TYV76" s="164"/>
      <c r="TYW76" s="164"/>
      <c r="TYX76" s="164"/>
      <c r="TYY76" s="164"/>
      <c r="TYZ76" s="164"/>
      <c r="TZA76" s="164"/>
      <c r="TZB76" s="164"/>
      <c r="TZC76" s="164"/>
      <c r="TZD76" s="164"/>
      <c r="TZE76" s="164"/>
      <c r="TZF76" s="164"/>
      <c r="TZG76" s="164"/>
      <c r="TZH76" s="164"/>
      <c r="TZI76" s="164"/>
      <c r="TZJ76" s="164"/>
      <c r="TZK76" s="164"/>
      <c r="TZL76" s="164"/>
      <c r="TZM76" s="164"/>
      <c r="TZN76" s="164"/>
      <c r="TZO76" s="164"/>
      <c r="TZP76" s="164"/>
      <c r="TZQ76" s="164"/>
      <c r="TZR76" s="164"/>
      <c r="TZS76" s="164"/>
      <c r="TZT76" s="164"/>
      <c r="TZU76" s="164"/>
      <c r="TZV76" s="164"/>
      <c r="TZW76" s="164"/>
      <c r="TZX76" s="164"/>
      <c r="TZY76" s="164"/>
      <c r="TZZ76" s="164"/>
      <c r="UAA76" s="164"/>
      <c r="UAB76" s="164"/>
      <c r="UAC76" s="164"/>
      <c r="UAD76" s="164"/>
      <c r="UAE76" s="164"/>
      <c r="UAF76" s="164"/>
      <c r="UAG76" s="164"/>
      <c r="UAH76" s="164"/>
      <c r="UAI76" s="164"/>
      <c r="UAJ76" s="164"/>
      <c r="UAK76" s="164"/>
      <c r="UAL76" s="164"/>
      <c r="UAM76" s="164"/>
      <c r="UAN76" s="164"/>
      <c r="UAO76" s="164"/>
      <c r="UAP76" s="164"/>
      <c r="UAQ76" s="164"/>
      <c r="UAR76" s="164"/>
      <c r="UAS76" s="164"/>
      <c r="UAT76" s="164"/>
      <c r="UAU76" s="164"/>
      <c r="UAV76" s="164"/>
      <c r="UAW76" s="164"/>
      <c r="UAX76" s="164"/>
      <c r="UAY76" s="164"/>
      <c r="UAZ76" s="164"/>
      <c r="UBA76" s="164"/>
      <c r="UBB76" s="164"/>
      <c r="UBC76" s="164"/>
      <c r="UBD76" s="164"/>
      <c r="UBE76" s="164"/>
      <c r="UBF76" s="164"/>
      <c r="UBG76" s="164"/>
      <c r="UBH76" s="164"/>
      <c r="UBI76" s="164"/>
      <c r="UBJ76" s="164"/>
      <c r="UBK76" s="164"/>
      <c r="UBL76" s="164"/>
      <c r="UBM76" s="164"/>
      <c r="UBN76" s="164"/>
      <c r="UBO76" s="164"/>
      <c r="UBP76" s="164"/>
      <c r="UBQ76" s="164"/>
      <c r="UBR76" s="164"/>
      <c r="UBS76" s="164"/>
      <c r="UBT76" s="164"/>
      <c r="UBU76" s="164"/>
      <c r="UBV76" s="164"/>
      <c r="UBW76" s="164"/>
      <c r="UBX76" s="164"/>
      <c r="UBY76" s="164"/>
      <c r="UBZ76" s="164"/>
      <c r="UCA76" s="164"/>
      <c r="UCB76" s="164"/>
      <c r="UCC76" s="164"/>
      <c r="UCD76" s="164"/>
      <c r="UCE76" s="164"/>
      <c r="UCF76" s="164"/>
      <c r="UCG76" s="164"/>
      <c r="UCH76" s="164"/>
      <c r="UCI76" s="164"/>
      <c r="UCJ76" s="164"/>
      <c r="UCK76" s="164"/>
      <c r="UCL76" s="164"/>
      <c r="UCM76" s="164"/>
      <c r="UCN76" s="164"/>
      <c r="UCO76" s="164"/>
      <c r="UCP76" s="164"/>
      <c r="UCQ76" s="164"/>
      <c r="UCR76" s="164"/>
      <c r="UCS76" s="164"/>
      <c r="UCT76" s="164"/>
      <c r="UCU76" s="164"/>
      <c r="UCV76" s="164"/>
      <c r="UCW76" s="164"/>
      <c r="UCX76" s="164"/>
      <c r="UCY76" s="164"/>
      <c r="UCZ76" s="164"/>
      <c r="UDA76" s="164"/>
      <c r="UDB76" s="164"/>
      <c r="UDC76" s="164"/>
      <c r="UDD76" s="164"/>
      <c r="UDE76" s="164"/>
      <c r="UDF76" s="164"/>
      <c r="UDG76" s="164"/>
      <c r="UDH76" s="164"/>
      <c r="UDI76" s="164"/>
      <c r="UDJ76" s="164"/>
      <c r="UDK76" s="164"/>
      <c r="UDL76" s="164"/>
      <c r="UDM76" s="164"/>
      <c r="UDN76" s="164"/>
      <c r="UDO76" s="164"/>
      <c r="UDP76" s="164"/>
      <c r="UDQ76" s="164"/>
      <c r="UDR76" s="164"/>
      <c r="UDS76" s="164"/>
      <c r="UDT76" s="164"/>
      <c r="UDU76" s="164"/>
      <c r="UDV76" s="164"/>
      <c r="UDW76" s="164"/>
      <c r="UDX76" s="164"/>
      <c r="UDY76" s="164"/>
      <c r="UDZ76" s="164"/>
      <c r="UEA76" s="164"/>
      <c r="UEB76" s="164"/>
      <c r="UEC76" s="164"/>
      <c r="UED76" s="164"/>
      <c r="UEE76" s="164"/>
      <c r="UEF76" s="164"/>
      <c r="UEG76" s="164"/>
      <c r="UEH76" s="164"/>
      <c r="UEI76" s="164"/>
      <c r="UEJ76" s="164"/>
      <c r="UEK76" s="164"/>
      <c r="UEL76" s="164"/>
      <c r="UEM76" s="164"/>
      <c r="UEN76" s="164"/>
      <c r="UEO76" s="164"/>
      <c r="UEP76" s="164"/>
      <c r="UEQ76" s="164"/>
      <c r="UER76" s="164"/>
      <c r="UES76" s="164"/>
      <c r="UET76" s="164"/>
      <c r="UEU76" s="164"/>
      <c r="UEV76" s="164"/>
      <c r="UEW76" s="164"/>
      <c r="UEX76" s="164"/>
      <c r="UEY76" s="164"/>
      <c r="UEZ76" s="164"/>
      <c r="UFA76" s="164"/>
      <c r="UFB76" s="164"/>
      <c r="UFC76" s="164"/>
      <c r="UFD76" s="164"/>
      <c r="UFE76" s="164"/>
      <c r="UFF76" s="164"/>
      <c r="UFG76" s="164"/>
      <c r="UFH76" s="164"/>
      <c r="UFI76" s="164"/>
      <c r="UFJ76" s="164"/>
      <c r="UFK76" s="164"/>
      <c r="UFL76" s="164"/>
      <c r="UFM76" s="164"/>
      <c r="UFN76" s="164"/>
      <c r="UFO76" s="164"/>
      <c r="UFP76" s="164"/>
      <c r="UFQ76" s="164"/>
      <c r="UFR76" s="164"/>
      <c r="UFS76" s="164"/>
      <c r="UFT76" s="164"/>
      <c r="UFU76" s="164"/>
      <c r="UFV76" s="164"/>
      <c r="UFW76" s="164"/>
      <c r="UFX76" s="164"/>
      <c r="UFY76" s="164"/>
      <c r="UFZ76" s="164"/>
      <c r="UGA76" s="164"/>
      <c r="UGB76" s="164"/>
      <c r="UGC76" s="164"/>
      <c r="UGD76" s="164"/>
      <c r="UGE76" s="164"/>
      <c r="UGF76" s="164"/>
      <c r="UGG76" s="164"/>
      <c r="UGH76" s="164"/>
      <c r="UGI76" s="164"/>
      <c r="UGJ76" s="164"/>
      <c r="UGK76" s="164"/>
      <c r="UGL76" s="164"/>
      <c r="UGM76" s="164"/>
      <c r="UGN76" s="164"/>
      <c r="UGO76" s="164"/>
      <c r="UGP76" s="164"/>
      <c r="UGQ76" s="164"/>
      <c r="UGR76" s="164"/>
      <c r="UGS76" s="164"/>
      <c r="UGT76" s="164"/>
      <c r="UGU76" s="164"/>
      <c r="UGV76" s="164"/>
      <c r="UGW76" s="164"/>
      <c r="UGX76" s="164"/>
      <c r="UGY76" s="164"/>
      <c r="UGZ76" s="164"/>
      <c r="UHA76" s="164"/>
      <c r="UHB76" s="164"/>
      <c r="UHC76" s="164"/>
      <c r="UHD76" s="164"/>
      <c r="UHE76" s="164"/>
      <c r="UHF76" s="164"/>
      <c r="UHG76" s="164"/>
      <c r="UHH76" s="164"/>
      <c r="UHI76" s="164"/>
      <c r="UHJ76" s="164"/>
      <c r="UHK76" s="164"/>
      <c r="UHL76" s="164"/>
      <c r="UHM76" s="164"/>
      <c r="UHN76" s="164"/>
      <c r="UHO76" s="164"/>
      <c r="UHP76" s="164"/>
      <c r="UHQ76" s="164"/>
      <c r="UHR76" s="164"/>
      <c r="UHS76" s="164"/>
      <c r="UHT76" s="164"/>
      <c r="UHU76" s="164"/>
      <c r="UHV76" s="164"/>
      <c r="UHW76" s="164"/>
      <c r="UHX76" s="164"/>
      <c r="UHY76" s="164"/>
      <c r="UHZ76" s="164"/>
      <c r="UIA76" s="164"/>
      <c r="UIB76" s="164"/>
      <c r="UIC76" s="164"/>
      <c r="UID76" s="164"/>
      <c r="UIE76" s="164"/>
      <c r="UIF76" s="164"/>
      <c r="UIG76" s="164"/>
      <c r="UIH76" s="164"/>
      <c r="UII76" s="164"/>
      <c r="UIJ76" s="164"/>
      <c r="UIK76" s="164"/>
      <c r="UIL76" s="164"/>
      <c r="UIM76" s="164"/>
      <c r="UIN76" s="164"/>
      <c r="UIO76" s="164"/>
      <c r="UIP76" s="164"/>
      <c r="UIQ76" s="164"/>
      <c r="UIR76" s="164"/>
      <c r="UIS76" s="164"/>
      <c r="UIT76" s="164"/>
      <c r="UIU76" s="164"/>
      <c r="UIV76" s="164"/>
      <c r="UIW76" s="164"/>
      <c r="UIX76" s="164"/>
      <c r="UIY76" s="164"/>
      <c r="UIZ76" s="164"/>
      <c r="UJA76" s="164"/>
      <c r="UJB76" s="164"/>
      <c r="UJC76" s="164"/>
      <c r="UJD76" s="164"/>
      <c r="UJE76" s="164"/>
      <c r="UJF76" s="164"/>
      <c r="UJG76" s="164"/>
      <c r="UJH76" s="164"/>
      <c r="UJI76" s="164"/>
      <c r="UJJ76" s="164"/>
      <c r="UJK76" s="164"/>
      <c r="UJL76" s="164"/>
      <c r="UJM76" s="164"/>
      <c r="UJN76" s="164"/>
      <c r="UJO76" s="164"/>
      <c r="UJP76" s="164"/>
      <c r="UJQ76" s="164"/>
      <c r="UJR76" s="164"/>
      <c r="UJS76" s="164"/>
      <c r="UJT76" s="164"/>
      <c r="UJU76" s="164"/>
      <c r="UJV76" s="164"/>
      <c r="UJW76" s="164"/>
      <c r="UJX76" s="164"/>
      <c r="UJY76" s="164"/>
      <c r="UJZ76" s="164"/>
      <c r="UKA76" s="164"/>
      <c r="UKB76" s="164"/>
      <c r="UKC76" s="164"/>
      <c r="UKD76" s="164"/>
      <c r="UKE76" s="164"/>
      <c r="UKF76" s="164"/>
      <c r="UKG76" s="164"/>
      <c r="UKH76" s="164"/>
      <c r="UKI76" s="164"/>
      <c r="UKJ76" s="164"/>
      <c r="UKK76" s="164"/>
      <c r="UKL76" s="164"/>
      <c r="UKM76" s="164"/>
      <c r="UKN76" s="164"/>
      <c r="UKO76" s="164"/>
      <c r="UKP76" s="164"/>
      <c r="UKQ76" s="164"/>
      <c r="UKR76" s="164"/>
      <c r="UKS76" s="164"/>
      <c r="UKT76" s="164"/>
      <c r="UKU76" s="164"/>
      <c r="UKV76" s="164"/>
      <c r="UKW76" s="164"/>
      <c r="UKX76" s="164"/>
      <c r="UKY76" s="164"/>
      <c r="UKZ76" s="164"/>
      <c r="ULA76" s="164"/>
      <c r="ULB76" s="164"/>
      <c r="ULC76" s="164"/>
      <c r="ULD76" s="164"/>
      <c r="ULE76" s="164"/>
      <c r="ULF76" s="164"/>
      <c r="ULG76" s="164"/>
      <c r="ULH76" s="164"/>
      <c r="ULI76" s="164"/>
      <c r="ULJ76" s="164"/>
      <c r="ULK76" s="164"/>
      <c r="ULL76" s="164"/>
      <c r="ULM76" s="164"/>
      <c r="ULN76" s="164"/>
      <c r="ULO76" s="164"/>
      <c r="ULP76" s="164"/>
      <c r="ULQ76" s="164"/>
      <c r="ULR76" s="164"/>
      <c r="ULS76" s="164"/>
      <c r="ULT76" s="164"/>
      <c r="ULU76" s="164"/>
      <c r="ULV76" s="164"/>
      <c r="ULW76" s="164"/>
      <c r="ULX76" s="164"/>
      <c r="ULY76" s="164"/>
      <c r="ULZ76" s="164"/>
      <c r="UMA76" s="164"/>
      <c r="UMB76" s="164"/>
      <c r="UMC76" s="164"/>
      <c r="UMD76" s="164"/>
      <c r="UME76" s="164"/>
      <c r="UMF76" s="164"/>
      <c r="UMG76" s="164"/>
      <c r="UMH76" s="164"/>
      <c r="UMI76" s="164"/>
      <c r="UMJ76" s="164"/>
      <c r="UMK76" s="164"/>
      <c r="UML76" s="164"/>
      <c r="UMM76" s="164"/>
      <c r="UMN76" s="164"/>
      <c r="UMO76" s="164"/>
      <c r="UMP76" s="164"/>
      <c r="UMQ76" s="164"/>
      <c r="UMR76" s="164"/>
      <c r="UMS76" s="164"/>
      <c r="UMT76" s="164"/>
      <c r="UMU76" s="164"/>
      <c r="UMV76" s="164"/>
      <c r="UMW76" s="164"/>
      <c r="UMX76" s="164"/>
      <c r="UMY76" s="164"/>
      <c r="UMZ76" s="164"/>
      <c r="UNA76" s="164"/>
      <c r="UNB76" s="164"/>
      <c r="UNC76" s="164"/>
      <c r="UND76" s="164"/>
      <c r="UNE76" s="164"/>
      <c r="UNF76" s="164"/>
      <c r="UNG76" s="164"/>
      <c r="UNH76" s="164"/>
      <c r="UNI76" s="164"/>
      <c r="UNJ76" s="164"/>
      <c r="UNK76" s="164"/>
      <c r="UNL76" s="164"/>
      <c r="UNM76" s="164"/>
      <c r="UNN76" s="164"/>
      <c r="UNO76" s="164"/>
      <c r="UNP76" s="164"/>
      <c r="UNQ76" s="164"/>
      <c r="UNR76" s="164"/>
      <c r="UNS76" s="164"/>
      <c r="UNT76" s="164"/>
      <c r="UNU76" s="164"/>
      <c r="UNV76" s="164"/>
      <c r="UNW76" s="164"/>
      <c r="UNX76" s="164"/>
      <c r="UNY76" s="164"/>
      <c r="UNZ76" s="164"/>
      <c r="UOA76" s="164"/>
      <c r="UOB76" s="164"/>
      <c r="UOC76" s="164"/>
      <c r="UOD76" s="164"/>
      <c r="UOE76" s="164"/>
      <c r="UOF76" s="164"/>
      <c r="UOG76" s="164"/>
      <c r="UOH76" s="164"/>
      <c r="UOI76" s="164"/>
      <c r="UOJ76" s="164"/>
      <c r="UOK76" s="164"/>
      <c r="UOL76" s="164"/>
      <c r="UOM76" s="164"/>
      <c r="UON76" s="164"/>
      <c r="UOO76" s="164"/>
      <c r="UOP76" s="164"/>
      <c r="UOQ76" s="164"/>
      <c r="UOR76" s="164"/>
      <c r="UOS76" s="164"/>
      <c r="UOT76" s="164"/>
      <c r="UOU76" s="164"/>
      <c r="UOV76" s="164"/>
      <c r="UOW76" s="164"/>
      <c r="UOX76" s="164"/>
      <c r="UOY76" s="164"/>
      <c r="UOZ76" s="164"/>
      <c r="UPA76" s="164"/>
      <c r="UPB76" s="164"/>
      <c r="UPC76" s="164"/>
      <c r="UPD76" s="164"/>
      <c r="UPE76" s="164"/>
      <c r="UPF76" s="164"/>
      <c r="UPG76" s="164"/>
      <c r="UPH76" s="164"/>
      <c r="UPI76" s="164"/>
      <c r="UPJ76" s="164"/>
      <c r="UPK76" s="164"/>
      <c r="UPL76" s="164"/>
      <c r="UPM76" s="164"/>
      <c r="UPN76" s="164"/>
      <c r="UPO76" s="164"/>
      <c r="UPP76" s="164"/>
      <c r="UPQ76" s="164"/>
      <c r="UPR76" s="164"/>
      <c r="UPS76" s="164"/>
      <c r="UPT76" s="164"/>
      <c r="UPU76" s="164"/>
      <c r="UPV76" s="164"/>
      <c r="UPW76" s="164"/>
      <c r="UPX76" s="164"/>
      <c r="UPY76" s="164"/>
      <c r="UPZ76" s="164"/>
      <c r="UQA76" s="164"/>
      <c r="UQB76" s="164"/>
      <c r="UQC76" s="164"/>
      <c r="UQD76" s="164"/>
      <c r="UQE76" s="164"/>
      <c r="UQF76" s="164"/>
      <c r="UQG76" s="164"/>
      <c r="UQH76" s="164"/>
      <c r="UQI76" s="164"/>
      <c r="UQJ76" s="164"/>
      <c r="UQK76" s="164"/>
      <c r="UQL76" s="164"/>
      <c r="UQM76" s="164"/>
      <c r="UQN76" s="164"/>
      <c r="UQO76" s="164"/>
      <c r="UQP76" s="164"/>
      <c r="UQQ76" s="164"/>
      <c r="UQR76" s="164"/>
      <c r="UQS76" s="164"/>
      <c r="UQT76" s="164"/>
      <c r="UQU76" s="164"/>
      <c r="UQV76" s="164"/>
      <c r="UQW76" s="164"/>
      <c r="UQX76" s="164"/>
      <c r="UQY76" s="164"/>
      <c r="UQZ76" s="164"/>
      <c r="URA76" s="164"/>
      <c r="URB76" s="164"/>
      <c r="URC76" s="164"/>
      <c r="URD76" s="164"/>
      <c r="URE76" s="164"/>
      <c r="URF76" s="164"/>
      <c r="URG76" s="164"/>
      <c r="URH76" s="164"/>
      <c r="URI76" s="164"/>
      <c r="URJ76" s="164"/>
      <c r="URK76" s="164"/>
      <c r="URL76" s="164"/>
      <c r="URM76" s="164"/>
      <c r="URN76" s="164"/>
      <c r="URO76" s="164"/>
      <c r="URP76" s="164"/>
      <c r="URQ76" s="164"/>
      <c r="URR76" s="164"/>
      <c r="URS76" s="164"/>
      <c r="URT76" s="164"/>
      <c r="URU76" s="164"/>
      <c r="URV76" s="164"/>
      <c r="URW76" s="164"/>
      <c r="URX76" s="164"/>
      <c r="URY76" s="164"/>
      <c r="URZ76" s="164"/>
      <c r="USA76" s="164"/>
      <c r="USB76" s="164"/>
      <c r="USC76" s="164"/>
      <c r="USD76" s="164"/>
      <c r="USE76" s="164"/>
      <c r="USF76" s="164"/>
      <c r="USG76" s="164"/>
      <c r="USH76" s="164"/>
      <c r="USI76" s="164"/>
      <c r="USJ76" s="164"/>
      <c r="USK76" s="164"/>
      <c r="USL76" s="164"/>
      <c r="USM76" s="164"/>
      <c r="USN76" s="164"/>
      <c r="USO76" s="164"/>
      <c r="USP76" s="164"/>
      <c r="USQ76" s="164"/>
      <c r="USR76" s="164"/>
      <c r="USS76" s="164"/>
      <c r="UST76" s="164"/>
      <c r="USU76" s="164"/>
      <c r="USV76" s="164"/>
      <c r="USW76" s="164"/>
      <c r="USX76" s="164"/>
      <c r="USY76" s="164"/>
      <c r="USZ76" s="164"/>
      <c r="UTA76" s="164"/>
      <c r="UTB76" s="164"/>
      <c r="UTC76" s="164"/>
      <c r="UTD76" s="164"/>
      <c r="UTE76" s="164"/>
      <c r="UTF76" s="164"/>
      <c r="UTG76" s="164"/>
      <c r="UTH76" s="164"/>
      <c r="UTI76" s="164"/>
      <c r="UTJ76" s="164"/>
      <c r="UTK76" s="164"/>
      <c r="UTL76" s="164"/>
      <c r="UTM76" s="164"/>
      <c r="UTN76" s="164"/>
      <c r="UTO76" s="164"/>
      <c r="UTP76" s="164"/>
      <c r="UTQ76" s="164"/>
      <c r="UTR76" s="164"/>
      <c r="UTS76" s="164"/>
      <c r="UTT76" s="164"/>
      <c r="UTU76" s="164"/>
      <c r="UTV76" s="164"/>
      <c r="UTW76" s="164"/>
      <c r="UTX76" s="164"/>
      <c r="UTY76" s="164"/>
      <c r="UTZ76" s="164"/>
      <c r="UUA76" s="164"/>
      <c r="UUB76" s="164"/>
      <c r="UUC76" s="164"/>
      <c r="UUD76" s="164"/>
      <c r="UUE76" s="164"/>
      <c r="UUF76" s="164"/>
      <c r="UUG76" s="164"/>
      <c r="UUH76" s="164"/>
      <c r="UUI76" s="164"/>
      <c r="UUJ76" s="164"/>
      <c r="UUK76" s="164"/>
      <c r="UUL76" s="164"/>
      <c r="UUM76" s="164"/>
      <c r="UUN76" s="164"/>
      <c r="UUO76" s="164"/>
      <c r="UUP76" s="164"/>
      <c r="UUQ76" s="164"/>
      <c r="UUR76" s="164"/>
      <c r="UUS76" s="164"/>
      <c r="UUT76" s="164"/>
      <c r="UUU76" s="164"/>
      <c r="UUV76" s="164"/>
      <c r="UUW76" s="164"/>
      <c r="UUX76" s="164"/>
      <c r="UUY76" s="164"/>
      <c r="UUZ76" s="164"/>
      <c r="UVA76" s="164"/>
      <c r="UVB76" s="164"/>
      <c r="UVC76" s="164"/>
      <c r="UVD76" s="164"/>
      <c r="UVE76" s="164"/>
      <c r="UVF76" s="164"/>
      <c r="UVG76" s="164"/>
      <c r="UVH76" s="164"/>
      <c r="UVI76" s="164"/>
      <c r="UVJ76" s="164"/>
      <c r="UVK76" s="164"/>
      <c r="UVL76" s="164"/>
      <c r="UVM76" s="164"/>
      <c r="UVN76" s="164"/>
      <c r="UVO76" s="164"/>
      <c r="UVP76" s="164"/>
      <c r="UVQ76" s="164"/>
      <c r="UVR76" s="164"/>
      <c r="UVS76" s="164"/>
      <c r="UVT76" s="164"/>
      <c r="UVU76" s="164"/>
      <c r="UVV76" s="164"/>
      <c r="UVW76" s="164"/>
      <c r="UVX76" s="164"/>
      <c r="UVY76" s="164"/>
      <c r="UVZ76" s="164"/>
      <c r="UWA76" s="164"/>
      <c r="UWB76" s="164"/>
      <c r="UWC76" s="164"/>
      <c r="UWD76" s="164"/>
      <c r="UWE76" s="164"/>
      <c r="UWF76" s="164"/>
      <c r="UWG76" s="164"/>
      <c r="UWH76" s="164"/>
      <c r="UWI76" s="164"/>
      <c r="UWJ76" s="164"/>
      <c r="UWK76" s="164"/>
      <c r="UWL76" s="164"/>
      <c r="UWM76" s="164"/>
      <c r="UWN76" s="164"/>
      <c r="UWO76" s="164"/>
      <c r="UWP76" s="164"/>
      <c r="UWQ76" s="164"/>
      <c r="UWR76" s="164"/>
      <c r="UWS76" s="164"/>
      <c r="UWT76" s="164"/>
      <c r="UWU76" s="164"/>
      <c r="UWV76" s="164"/>
      <c r="UWW76" s="164"/>
      <c r="UWX76" s="164"/>
      <c r="UWY76" s="164"/>
      <c r="UWZ76" s="164"/>
      <c r="UXA76" s="164"/>
      <c r="UXB76" s="164"/>
      <c r="UXC76" s="164"/>
      <c r="UXD76" s="164"/>
      <c r="UXE76" s="164"/>
      <c r="UXF76" s="164"/>
      <c r="UXG76" s="164"/>
      <c r="UXH76" s="164"/>
      <c r="UXI76" s="164"/>
      <c r="UXJ76" s="164"/>
      <c r="UXK76" s="164"/>
      <c r="UXL76" s="164"/>
      <c r="UXM76" s="164"/>
      <c r="UXN76" s="164"/>
      <c r="UXO76" s="164"/>
      <c r="UXP76" s="164"/>
      <c r="UXQ76" s="164"/>
      <c r="UXR76" s="164"/>
      <c r="UXS76" s="164"/>
      <c r="UXT76" s="164"/>
      <c r="UXU76" s="164"/>
      <c r="UXV76" s="164"/>
      <c r="UXW76" s="164"/>
      <c r="UXX76" s="164"/>
      <c r="UXY76" s="164"/>
      <c r="UXZ76" s="164"/>
      <c r="UYA76" s="164"/>
      <c r="UYB76" s="164"/>
      <c r="UYC76" s="164"/>
      <c r="UYD76" s="164"/>
      <c r="UYE76" s="164"/>
      <c r="UYF76" s="164"/>
      <c r="UYG76" s="164"/>
      <c r="UYH76" s="164"/>
      <c r="UYI76" s="164"/>
      <c r="UYJ76" s="164"/>
      <c r="UYK76" s="164"/>
      <c r="UYL76" s="164"/>
      <c r="UYM76" s="164"/>
      <c r="UYN76" s="164"/>
      <c r="UYO76" s="164"/>
      <c r="UYP76" s="164"/>
      <c r="UYQ76" s="164"/>
      <c r="UYR76" s="164"/>
      <c r="UYS76" s="164"/>
      <c r="UYT76" s="164"/>
      <c r="UYU76" s="164"/>
      <c r="UYV76" s="164"/>
      <c r="UYW76" s="164"/>
      <c r="UYX76" s="164"/>
      <c r="UYY76" s="164"/>
      <c r="UYZ76" s="164"/>
      <c r="UZA76" s="164"/>
      <c r="UZB76" s="164"/>
      <c r="UZC76" s="164"/>
      <c r="UZD76" s="164"/>
      <c r="UZE76" s="164"/>
      <c r="UZF76" s="164"/>
      <c r="UZG76" s="164"/>
      <c r="UZH76" s="164"/>
      <c r="UZI76" s="164"/>
      <c r="UZJ76" s="164"/>
      <c r="UZK76" s="164"/>
      <c r="UZL76" s="164"/>
      <c r="UZM76" s="164"/>
      <c r="UZN76" s="164"/>
      <c r="UZO76" s="164"/>
      <c r="UZP76" s="164"/>
      <c r="UZQ76" s="164"/>
      <c r="UZR76" s="164"/>
      <c r="UZS76" s="164"/>
      <c r="UZT76" s="164"/>
      <c r="UZU76" s="164"/>
      <c r="UZV76" s="164"/>
      <c r="UZW76" s="164"/>
      <c r="UZX76" s="164"/>
      <c r="UZY76" s="164"/>
      <c r="UZZ76" s="164"/>
      <c r="VAA76" s="164"/>
      <c r="VAB76" s="164"/>
      <c r="VAC76" s="164"/>
      <c r="VAD76" s="164"/>
      <c r="VAE76" s="164"/>
      <c r="VAF76" s="164"/>
      <c r="VAG76" s="164"/>
      <c r="VAH76" s="164"/>
      <c r="VAI76" s="164"/>
      <c r="VAJ76" s="164"/>
      <c r="VAK76" s="164"/>
      <c r="VAL76" s="164"/>
      <c r="VAM76" s="164"/>
      <c r="VAN76" s="164"/>
      <c r="VAO76" s="164"/>
      <c r="VAP76" s="164"/>
      <c r="VAQ76" s="164"/>
      <c r="VAR76" s="164"/>
      <c r="VAS76" s="164"/>
      <c r="VAT76" s="164"/>
      <c r="VAU76" s="164"/>
      <c r="VAV76" s="164"/>
      <c r="VAW76" s="164"/>
      <c r="VAX76" s="164"/>
      <c r="VAY76" s="164"/>
      <c r="VAZ76" s="164"/>
      <c r="VBA76" s="164"/>
      <c r="VBB76" s="164"/>
      <c r="VBC76" s="164"/>
      <c r="VBD76" s="164"/>
      <c r="VBE76" s="164"/>
      <c r="VBF76" s="164"/>
      <c r="VBG76" s="164"/>
      <c r="VBH76" s="164"/>
      <c r="VBI76" s="164"/>
      <c r="VBJ76" s="164"/>
      <c r="VBK76" s="164"/>
      <c r="VBL76" s="164"/>
      <c r="VBM76" s="164"/>
      <c r="VBN76" s="164"/>
      <c r="VBO76" s="164"/>
      <c r="VBP76" s="164"/>
      <c r="VBQ76" s="164"/>
      <c r="VBR76" s="164"/>
      <c r="VBS76" s="164"/>
      <c r="VBT76" s="164"/>
      <c r="VBU76" s="164"/>
      <c r="VBV76" s="164"/>
      <c r="VBW76" s="164"/>
      <c r="VBX76" s="164"/>
      <c r="VBY76" s="164"/>
      <c r="VBZ76" s="164"/>
      <c r="VCA76" s="164"/>
      <c r="VCB76" s="164"/>
      <c r="VCC76" s="164"/>
      <c r="VCD76" s="164"/>
      <c r="VCE76" s="164"/>
      <c r="VCF76" s="164"/>
      <c r="VCG76" s="164"/>
      <c r="VCH76" s="164"/>
      <c r="VCI76" s="164"/>
      <c r="VCJ76" s="164"/>
      <c r="VCK76" s="164"/>
      <c r="VCL76" s="164"/>
      <c r="VCM76" s="164"/>
      <c r="VCN76" s="164"/>
      <c r="VCO76" s="164"/>
      <c r="VCP76" s="164"/>
      <c r="VCQ76" s="164"/>
      <c r="VCR76" s="164"/>
      <c r="VCS76" s="164"/>
      <c r="VCT76" s="164"/>
      <c r="VCU76" s="164"/>
      <c r="VCV76" s="164"/>
      <c r="VCW76" s="164"/>
      <c r="VCX76" s="164"/>
      <c r="VCY76" s="164"/>
      <c r="VCZ76" s="164"/>
      <c r="VDA76" s="164"/>
      <c r="VDB76" s="164"/>
      <c r="VDC76" s="164"/>
      <c r="VDD76" s="164"/>
      <c r="VDE76" s="164"/>
      <c r="VDF76" s="164"/>
      <c r="VDG76" s="164"/>
      <c r="VDH76" s="164"/>
      <c r="VDI76" s="164"/>
      <c r="VDJ76" s="164"/>
      <c r="VDK76" s="164"/>
      <c r="VDL76" s="164"/>
      <c r="VDM76" s="164"/>
      <c r="VDN76" s="164"/>
      <c r="VDO76" s="164"/>
      <c r="VDP76" s="164"/>
      <c r="VDQ76" s="164"/>
      <c r="VDR76" s="164"/>
      <c r="VDS76" s="164"/>
      <c r="VDT76" s="164"/>
      <c r="VDU76" s="164"/>
      <c r="VDV76" s="164"/>
      <c r="VDW76" s="164"/>
      <c r="VDX76" s="164"/>
      <c r="VDY76" s="164"/>
      <c r="VDZ76" s="164"/>
      <c r="VEA76" s="164"/>
      <c r="VEB76" s="164"/>
      <c r="VEC76" s="164"/>
      <c r="VED76" s="164"/>
      <c r="VEE76" s="164"/>
      <c r="VEF76" s="164"/>
      <c r="VEG76" s="164"/>
      <c r="VEH76" s="164"/>
      <c r="VEI76" s="164"/>
      <c r="VEJ76" s="164"/>
      <c r="VEK76" s="164"/>
      <c r="VEL76" s="164"/>
      <c r="VEM76" s="164"/>
      <c r="VEN76" s="164"/>
      <c r="VEO76" s="164"/>
      <c r="VEP76" s="164"/>
      <c r="VEQ76" s="164"/>
      <c r="VER76" s="164"/>
      <c r="VES76" s="164"/>
      <c r="VET76" s="164"/>
      <c r="VEU76" s="164"/>
      <c r="VEV76" s="164"/>
      <c r="VEW76" s="164"/>
      <c r="VEX76" s="164"/>
      <c r="VEY76" s="164"/>
      <c r="VEZ76" s="164"/>
      <c r="VFA76" s="164"/>
      <c r="VFB76" s="164"/>
      <c r="VFC76" s="164"/>
      <c r="VFD76" s="164"/>
      <c r="VFE76" s="164"/>
      <c r="VFF76" s="164"/>
      <c r="VFG76" s="164"/>
      <c r="VFH76" s="164"/>
      <c r="VFI76" s="164"/>
      <c r="VFJ76" s="164"/>
      <c r="VFK76" s="164"/>
      <c r="VFL76" s="164"/>
      <c r="VFM76" s="164"/>
      <c r="VFN76" s="164"/>
      <c r="VFO76" s="164"/>
      <c r="VFP76" s="164"/>
      <c r="VFQ76" s="164"/>
      <c r="VFR76" s="164"/>
      <c r="VFS76" s="164"/>
      <c r="VFT76" s="164"/>
      <c r="VFU76" s="164"/>
      <c r="VFV76" s="164"/>
      <c r="VFW76" s="164"/>
      <c r="VFX76" s="164"/>
      <c r="VFY76" s="164"/>
      <c r="VFZ76" s="164"/>
      <c r="VGA76" s="164"/>
      <c r="VGB76" s="164"/>
      <c r="VGC76" s="164"/>
      <c r="VGD76" s="164"/>
      <c r="VGE76" s="164"/>
      <c r="VGF76" s="164"/>
      <c r="VGG76" s="164"/>
      <c r="VGH76" s="164"/>
      <c r="VGI76" s="164"/>
      <c r="VGJ76" s="164"/>
      <c r="VGK76" s="164"/>
      <c r="VGL76" s="164"/>
      <c r="VGM76" s="164"/>
      <c r="VGN76" s="164"/>
      <c r="VGO76" s="164"/>
      <c r="VGP76" s="164"/>
      <c r="VGQ76" s="164"/>
      <c r="VGR76" s="164"/>
      <c r="VGS76" s="164"/>
      <c r="VGT76" s="164"/>
      <c r="VGU76" s="164"/>
      <c r="VGV76" s="164"/>
      <c r="VGW76" s="164"/>
      <c r="VGX76" s="164"/>
      <c r="VGY76" s="164"/>
      <c r="VGZ76" s="164"/>
      <c r="VHA76" s="164"/>
      <c r="VHB76" s="164"/>
      <c r="VHC76" s="164"/>
      <c r="VHD76" s="164"/>
      <c r="VHE76" s="164"/>
      <c r="VHF76" s="164"/>
      <c r="VHG76" s="164"/>
      <c r="VHH76" s="164"/>
      <c r="VHI76" s="164"/>
      <c r="VHJ76" s="164"/>
      <c r="VHK76" s="164"/>
      <c r="VHL76" s="164"/>
      <c r="VHM76" s="164"/>
      <c r="VHN76" s="164"/>
      <c r="VHO76" s="164"/>
      <c r="VHP76" s="164"/>
      <c r="VHQ76" s="164"/>
      <c r="VHR76" s="164"/>
      <c r="VHS76" s="164"/>
      <c r="VHT76" s="164"/>
      <c r="VHU76" s="164"/>
      <c r="VHV76" s="164"/>
      <c r="VHW76" s="164"/>
      <c r="VHX76" s="164"/>
      <c r="VHY76" s="164"/>
      <c r="VHZ76" s="164"/>
      <c r="VIA76" s="164"/>
      <c r="VIB76" s="164"/>
      <c r="VIC76" s="164"/>
      <c r="VID76" s="164"/>
      <c r="VIE76" s="164"/>
      <c r="VIF76" s="164"/>
      <c r="VIG76" s="164"/>
      <c r="VIH76" s="164"/>
      <c r="VII76" s="164"/>
      <c r="VIJ76" s="164"/>
      <c r="VIK76" s="164"/>
      <c r="VIL76" s="164"/>
      <c r="VIM76" s="164"/>
      <c r="VIN76" s="164"/>
      <c r="VIO76" s="164"/>
      <c r="VIP76" s="164"/>
      <c r="VIQ76" s="164"/>
      <c r="VIR76" s="164"/>
      <c r="VIS76" s="164"/>
      <c r="VIT76" s="164"/>
      <c r="VIU76" s="164"/>
      <c r="VIV76" s="164"/>
      <c r="VIW76" s="164"/>
      <c r="VIX76" s="164"/>
      <c r="VIY76" s="164"/>
      <c r="VIZ76" s="164"/>
      <c r="VJA76" s="164"/>
      <c r="VJB76" s="164"/>
      <c r="VJC76" s="164"/>
      <c r="VJD76" s="164"/>
      <c r="VJE76" s="164"/>
      <c r="VJF76" s="164"/>
      <c r="VJG76" s="164"/>
      <c r="VJH76" s="164"/>
      <c r="VJI76" s="164"/>
      <c r="VJJ76" s="164"/>
      <c r="VJK76" s="164"/>
      <c r="VJL76" s="164"/>
      <c r="VJM76" s="164"/>
      <c r="VJN76" s="164"/>
      <c r="VJO76" s="164"/>
      <c r="VJP76" s="164"/>
      <c r="VJQ76" s="164"/>
      <c r="VJR76" s="164"/>
      <c r="VJS76" s="164"/>
      <c r="VJT76" s="164"/>
      <c r="VJU76" s="164"/>
      <c r="VJV76" s="164"/>
      <c r="VJW76" s="164"/>
      <c r="VJX76" s="164"/>
      <c r="VJY76" s="164"/>
      <c r="VJZ76" s="164"/>
      <c r="VKA76" s="164"/>
      <c r="VKB76" s="164"/>
      <c r="VKC76" s="164"/>
      <c r="VKD76" s="164"/>
      <c r="VKE76" s="164"/>
      <c r="VKF76" s="164"/>
      <c r="VKG76" s="164"/>
      <c r="VKH76" s="164"/>
      <c r="VKI76" s="164"/>
      <c r="VKJ76" s="164"/>
      <c r="VKK76" s="164"/>
      <c r="VKL76" s="164"/>
      <c r="VKM76" s="164"/>
      <c r="VKN76" s="164"/>
      <c r="VKO76" s="164"/>
      <c r="VKP76" s="164"/>
      <c r="VKQ76" s="164"/>
      <c r="VKR76" s="164"/>
      <c r="VKS76" s="164"/>
      <c r="VKT76" s="164"/>
      <c r="VKU76" s="164"/>
      <c r="VKV76" s="164"/>
      <c r="VKW76" s="164"/>
      <c r="VKX76" s="164"/>
      <c r="VKY76" s="164"/>
      <c r="VKZ76" s="164"/>
      <c r="VLA76" s="164"/>
      <c r="VLB76" s="164"/>
      <c r="VLC76" s="164"/>
      <c r="VLD76" s="164"/>
      <c r="VLE76" s="164"/>
      <c r="VLF76" s="164"/>
      <c r="VLG76" s="164"/>
      <c r="VLH76" s="164"/>
      <c r="VLI76" s="164"/>
      <c r="VLJ76" s="164"/>
      <c r="VLK76" s="164"/>
      <c r="VLL76" s="164"/>
      <c r="VLM76" s="164"/>
      <c r="VLN76" s="164"/>
      <c r="VLO76" s="164"/>
      <c r="VLP76" s="164"/>
      <c r="VLQ76" s="164"/>
      <c r="VLR76" s="164"/>
      <c r="VLS76" s="164"/>
      <c r="VLT76" s="164"/>
      <c r="VLU76" s="164"/>
      <c r="VLV76" s="164"/>
      <c r="VLW76" s="164"/>
      <c r="VLX76" s="164"/>
      <c r="VLY76" s="164"/>
      <c r="VLZ76" s="164"/>
      <c r="VMA76" s="164"/>
      <c r="VMB76" s="164"/>
      <c r="VMC76" s="164"/>
      <c r="VMD76" s="164"/>
      <c r="VME76" s="164"/>
      <c r="VMF76" s="164"/>
      <c r="VMG76" s="164"/>
      <c r="VMH76" s="164"/>
      <c r="VMI76" s="164"/>
      <c r="VMJ76" s="164"/>
      <c r="VMK76" s="164"/>
      <c r="VML76" s="164"/>
      <c r="VMM76" s="164"/>
      <c r="VMN76" s="164"/>
      <c r="VMO76" s="164"/>
      <c r="VMP76" s="164"/>
      <c r="VMQ76" s="164"/>
      <c r="VMR76" s="164"/>
      <c r="VMS76" s="164"/>
      <c r="VMT76" s="164"/>
      <c r="VMU76" s="164"/>
      <c r="VMV76" s="164"/>
      <c r="VMW76" s="164"/>
      <c r="VMX76" s="164"/>
      <c r="VMY76" s="164"/>
      <c r="VMZ76" s="164"/>
      <c r="VNA76" s="164"/>
      <c r="VNB76" s="164"/>
      <c r="VNC76" s="164"/>
      <c r="VND76" s="164"/>
      <c r="VNE76" s="164"/>
      <c r="VNF76" s="164"/>
      <c r="VNG76" s="164"/>
      <c r="VNH76" s="164"/>
      <c r="VNI76" s="164"/>
      <c r="VNJ76" s="164"/>
      <c r="VNK76" s="164"/>
      <c r="VNL76" s="164"/>
      <c r="VNM76" s="164"/>
      <c r="VNN76" s="164"/>
      <c r="VNO76" s="164"/>
      <c r="VNP76" s="164"/>
      <c r="VNQ76" s="164"/>
      <c r="VNR76" s="164"/>
      <c r="VNS76" s="164"/>
      <c r="VNT76" s="164"/>
      <c r="VNU76" s="164"/>
      <c r="VNV76" s="164"/>
      <c r="VNW76" s="164"/>
      <c r="VNX76" s="164"/>
      <c r="VNY76" s="164"/>
      <c r="VNZ76" s="164"/>
      <c r="VOA76" s="164"/>
      <c r="VOB76" s="164"/>
      <c r="VOC76" s="164"/>
      <c r="VOD76" s="164"/>
      <c r="VOE76" s="164"/>
      <c r="VOF76" s="164"/>
      <c r="VOG76" s="164"/>
      <c r="VOH76" s="164"/>
      <c r="VOI76" s="164"/>
      <c r="VOJ76" s="164"/>
      <c r="VOK76" s="164"/>
      <c r="VOL76" s="164"/>
      <c r="VOM76" s="164"/>
      <c r="VON76" s="164"/>
      <c r="VOO76" s="164"/>
      <c r="VOP76" s="164"/>
      <c r="VOQ76" s="164"/>
      <c r="VOR76" s="164"/>
      <c r="VOS76" s="164"/>
      <c r="VOT76" s="164"/>
      <c r="VOU76" s="164"/>
      <c r="VOV76" s="164"/>
      <c r="VOW76" s="164"/>
      <c r="VOX76" s="164"/>
      <c r="VOY76" s="164"/>
      <c r="VOZ76" s="164"/>
      <c r="VPA76" s="164"/>
      <c r="VPB76" s="164"/>
      <c r="VPC76" s="164"/>
      <c r="VPD76" s="164"/>
      <c r="VPE76" s="164"/>
      <c r="VPF76" s="164"/>
      <c r="VPG76" s="164"/>
      <c r="VPH76" s="164"/>
      <c r="VPI76" s="164"/>
      <c r="VPJ76" s="164"/>
      <c r="VPK76" s="164"/>
      <c r="VPL76" s="164"/>
      <c r="VPM76" s="164"/>
      <c r="VPN76" s="164"/>
      <c r="VPO76" s="164"/>
      <c r="VPP76" s="164"/>
      <c r="VPQ76" s="164"/>
      <c r="VPR76" s="164"/>
      <c r="VPS76" s="164"/>
      <c r="VPT76" s="164"/>
      <c r="VPU76" s="164"/>
      <c r="VPV76" s="164"/>
      <c r="VPW76" s="164"/>
      <c r="VPX76" s="164"/>
      <c r="VPY76" s="164"/>
      <c r="VPZ76" s="164"/>
      <c r="VQA76" s="164"/>
      <c r="VQB76" s="164"/>
      <c r="VQC76" s="164"/>
      <c r="VQD76" s="164"/>
      <c r="VQE76" s="164"/>
      <c r="VQF76" s="164"/>
      <c r="VQG76" s="164"/>
      <c r="VQH76" s="164"/>
      <c r="VQI76" s="164"/>
      <c r="VQJ76" s="164"/>
      <c r="VQK76" s="164"/>
      <c r="VQL76" s="164"/>
      <c r="VQM76" s="164"/>
      <c r="VQN76" s="164"/>
      <c r="VQO76" s="164"/>
      <c r="VQP76" s="164"/>
      <c r="VQQ76" s="164"/>
      <c r="VQR76" s="164"/>
      <c r="VQS76" s="164"/>
      <c r="VQT76" s="164"/>
      <c r="VQU76" s="164"/>
      <c r="VQV76" s="164"/>
      <c r="VQW76" s="164"/>
      <c r="VQX76" s="164"/>
      <c r="VQY76" s="164"/>
      <c r="VQZ76" s="164"/>
      <c r="VRA76" s="164"/>
      <c r="VRB76" s="164"/>
      <c r="VRC76" s="164"/>
      <c r="VRD76" s="164"/>
      <c r="VRE76" s="164"/>
      <c r="VRF76" s="164"/>
      <c r="VRG76" s="164"/>
      <c r="VRH76" s="164"/>
      <c r="VRI76" s="164"/>
      <c r="VRJ76" s="164"/>
      <c r="VRK76" s="164"/>
      <c r="VRL76" s="164"/>
      <c r="VRM76" s="164"/>
      <c r="VRN76" s="164"/>
      <c r="VRO76" s="164"/>
      <c r="VRP76" s="164"/>
      <c r="VRQ76" s="164"/>
      <c r="VRR76" s="164"/>
      <c r="VRS76" s="164"/>
      <c r="VRT76" s="164"/>
      <c r="VRU76" s="164"/>
      <c r="VRV76" s="164"/>
      <c r="VRW76" s="164"/>
      <c r="VRX76" s="164"/>
      <c r="VRY76" s="164"/>
      <c r="VRZ76" s="164"/>
      <c r="VSA76" s="164"/>
      <c r="VSB76" s="164"/>
      <c r="VSC76" s="164"/>
      <c r="VSD76" s="164"/>
      <c r="VSE76" s="164"/>
      <c r="VSF76" s="164"/>
      <c r="VSG76" s="164"/>
      <c r="VSH76" s="164"/>
      <c r="VSI76" s="164"/>
      <c r="VSJ76" s="164"/>
      <c r="VSK76" s="164"/>
      <c r="VSL76" s="164"/>
      <c r="VSM76" s="164"/>
      <c r="VSN76" s="164"/>
      <c r="VSO76" s="164"/>
      <c r="VSP76" s="164"/>
      <c r="VSQ76" s="164"/>
      <c r="VSR76" s="164"/>
      <c r="VSS76" s="164"/>
      <c r="VST76" s="164"/>
      <c r="VSU76" s="164"/>
      <c r="VSV76" s="164"/>
      <c r="VSW76" s="164"/>
      <c r="VSX76" s="164"/>
      <c r="VSY76" s="164"/>
      <c r="VSZ76" s="164"/>
      <c r="VTA76" s="164"/>
      <c r="VTB76" s="164"/>
      <c r="VTC76" s="164"/>
      <c r="VTD76" s="164"/>
      <c r="VTE76" s="164"/>
      <c r="VTF76" s="164"/>
      <c r="VTG76" s="164"/>
      <c r="VTH76" s="164"/>
      <c r="VTI76" s="164"/>
      <c r="VTJ76" s="164"/>
      <c r="VTK76" s="164"/>
      <c r="VTL76" s="164"/>
      <c r="VTM76" s="164"/>
      <c r="VTN76" s="164"/>
      <c r="VTO76" s="164"/>
      <c r="VTP76" s="164"/>
      <c r="VTQ76" s="164"/>
      <c r="VTR76" s="164"/>
      <c r="VTS76" s="164"/>
      <c r="VTT76" s="164"/>
      <c r="VTU76" s="164"/>
      <c r="VTV76" s="164"/>
      <c r="VTW76" s="164"/>
      <c r="VTX76" s="164"/>
      <c r="VTY76" s="164"/>
      <c r="VTZ76" s="164"/>
      <c r="VUA76" s="164"/>
      <c r="VUB76" s="164"/>
      <c r="VUC76" s="164"/>
      <c r="VUD76" s="164"/>
      <c r="VUE76" s="164"/>
      <c r="VUF76" s="164"/>
      <c r="VUG76" s="164"/>
      <c r="VUH76" s="164"/>
      <c r="VUI76" s="164"/>
      <c r="VUJ76" s="164"/>
      <c r="VUK76" s="164"/>
      <c r="VUL76" s="164"/>
      <c r="VUM76" s="164"/>
      <c r="VUN76" s="164"/>
      <c r="VUO76" s="164"/>
      <c r="VUP76" s="164"/>
      <c r="VUQ76" s="164"/>
      <c r="VUR76" s="164"/>
      <c r="VUS76" s="164"/>
      <c r="VUT76" s="164"/>
      <c r="VUU76" s="164"/>
      <c r="VUV76" s="164"/>
      <c r="VUW76" s="164"/>
      <c r="VUX76" s="164"/>
      <c r="VUY76" s="164"/>
      <c r="VUZ76" s="164"/>
      <c r="VVA76" s="164"/>
      <c r="VVB76" s="164"/>
      <c r="VVC76" s="164"/>
      <c r="VVD76" s="164"/>
      <c r="VVE76" s="164"/>
      <c r="VVF76" s="164"/>
      <c r="VVG76" s="164"/>
      <c r="VVH76" s="164"/>
      <c r="VVI76" s="164"/>
      <c r="VVJ76" s="164"/>
      <c r="VVK76" s="164"/>
      <c r="VVL76" s="164"/>
      <c r="VVM76" s="164"/>
      <c r="VVN76" s="164"/>
      <c r="VVO76" s="164"/>
      <c r="VVP76" s="164"/>
      <c r="VVQ76" s="164"/>
      <c r="VVR76" s="164"/>
      <c r="VVS76" s="164"/>
      <c r="VVT76" s="164"/>
      <c r="VVU76" s="164"/>
      <c r="VVV76" s="164"/>
      <c r="VVW76" s="164"/>
      <c r="VVX76" s="164"/>
      <c r="VVY76" s="164"/>
      <c r="VVZ76" s="164"/>
      <c r="VWA76" s="164"/>
      <c r="VWB76" s="164"/>
      <c r="VWC76" s="164"/>
      <c r="VWD76" s="164"/>
      <c r="VWE76" s="164"/>
      <c r="VWF76" s="164"/>
      <c r="VWG76" s="164"/>
      <c r="VWH76" s="164"/>
      <c r="VWI76" s="164"/>
      <c r="VWJ76" s="164"/>
      <c r="VWK76" s="164"/>
      <c r="VWL76" s="164"/>
      <c r="VWM76" s="164"/>
      <c r="VWN76" s="164"/>
      <c r="VWO76" s="164"/>
      <c r="VWP76" s="164"/>
      <c r="VWQ76" s="164"/>
      <c r="VWR76" s="164"/>
      <c r="VWS76" s="164"/>
      <c r="VWT76" s="164"/>
      <c r="VWU76" s="164"/>
      <c r="VWV76" s="164"/>
      <c r="VWW76" s="164"/>
      <c r="VWX76" s="164"/>
      <c r="VWY76" s="164"/>
      <c r="VWZ76" s="164"/>
      <c r="VXA76" s="164"/>
      <c r="VXB76" s="164"/>
      <c r="VXC76" s="164"/>
      <c r="VXD76" s="164"/>
      <c r="VXE76" s="164"/>
      <c r="VXF76" s="164"/>
      <c r="VXG76" s="164"/>
      <c r="VXH76" s="164"/>
      <c r="VXI76" s="164"/>
      <c r="VXJ76" s="164"/>
      <c r="VXK76" s="164"/>
      <c r="VXL76" s="164"/>
      <c r="VXM76" s="164"/>
      <c r="VXN76" s="164"/>
      <c r="VXO76" s="164"/>
      <c r="VXP76" s="164"/>
      <c r="VXQ76" s="164"/>
      <c r="VXR76" s="164"/>
      <c r="VXS76" s="164"/>
      <c r="VXT76" s="164"/>
      <c r="VXU76" s="164"/>
      <c r="VXV76" s="164"/>
      <c r="VXW76" s="164"/>
      <c r="VXX76" s="164"/>
      <c r="VXY76" s="164"/>
      <c r="VXZ76" s="164"/>
      <c r="VYA76" s="164"/>
      <c r="VYB76" s="164"/>
      <c r="VYC76" s="164"/>
      <c r="VYD76" s="164"/>
      <c r="VYE76" s="164"/>
      <c r="VYF76" s="164"/>
      <c r="VYG76" s="164"/>
      <c r="VYH76" s="164"/>
      <c r="VYI76" s="164"/>
      <c r="VYJ76" s="164"/>
      <c r="VYK76" s="164"/>
      <c r="VYL76" s="164"/>
      <c r="VYM76" s="164"/>
      <c r="VYN76" s="164"/>
      <c r="VYO76" s="164"/>
      <c r="VYP76" s="164"/>
      <c r="VYQ76" s="164"/>
      <c r="VYR76" s="164"/>
      <c r="VYS76" s="164"/>
      <c r="VYT76" s="164"/>
      <c r="VYU76" s="164"/>
      <c r="VYV76" s="164"/>
      <c r="VYW76" s="164"/>
      <c r="VYX76" s="164"/>
      <c r="VYY76" s="164"/>
      <c r="VYZ76" s="164"/>
      <c r="VZA76" s="164"/>
      <c r="VZB76" s="164"/>
      <c r="VZC76" s="164"/>
      <c r="VZD76" s="164"/>
      <c r="VZE76" s="164"/>
      <c r="VZF76" s="164"/>
      <c r="VZG76" s="164"/>
      <c r="VZH76" s="164"/>
      <c r="VZI76" s="164"/>
      <c r="VZJ76" s="164"/>
      <c r="VZK76" s="164"/>
      <c r="VZL76" s="164"/>
      <c r="VZM76" s="164"/>
      <c r="VZN76" s="164"/>
      <c r="VZO76" s="164"/>
      <c r="VZP76" s="164"/>
      <c r="VZQ76" s="164"/>
      <c r="VZR76" s="164"/>
      <c r="VZS76" s="164"/>
      <c r="VZT76" s="164"/>
      <c r="VZU76" s="164"/>
      <c r="VZV76" s="164"/>
      <c r="VZW76" s="164"/>
      <c r="VZX76" s="164"/>
      <c r="VZY76" s="164"/>
      <c r="VZZ76" s="164"/>
      <c r="WAA76" s="164"/>
      <c r="WAB76" s="164"/>
      <c r="WAC76" s="164"/>
      <c r="WAD76" s="164"/>
      <c r="WAE76" s="164"/>
      <c r="WAF76" s="164"/>
      <c r="WAG76" s="164"/>
      <c r="WAH76" s="164"/>
      <c r="WAI76" s="164"/>
      <c r="WAJ76" s="164"/>
      <c r="WAK76" s="164"/>
      <c r="WAL76" s="164"/>
      <c r="WAM76" s="164"/>
      <c r="WAN76" s="164"/>
      <c r="WAO76" s="164"/>
      <c r="WAP76" s="164"/>
      <c r="WAQ76" s="164"/>
      <c r="WAR76" s="164"/>
      <c r="WAS76" s="164"/>
      <c r="WAT76" s="164"/>
      <c r="WAU76" s="164"/>
      <c r="WAV76" s="164"/>
      <c r="WAW76" s="164"/>
      <c r="WAX76" s="164"/>
      <c r="WAY76" s="164"/>
      <c r="WAZ76" s="164"/>
      <c r="WBA76" s="164"/>
      <c r="WBB76" s="164"/>
      <c r="WBC76" s="164"/>
      <c r="WBD76" s="164"/>
      <c r="WBE76" s="164"/>
      <c r="WBF76" s="164"/>
      <c r="WBG76" s="164"/>
      <c r="WBH76" s="164"/>
      <c r="WBI76" s="164"/>
      <c r="WBJ76" s="164"/>
      <c r="WBK76" s="164"/>
      <c r="WBL76" s="164"/>
      <c r="WBM76" s="164"/>
      <c r="WBN76" s="164"/>
      <c r="WBO76" s="164"/>
      <c r="WBP76" s="164"/>
      <c r="WBQ76" s="164"/>
      <c r="WBR76" s="164"/>
      <c r="WBS76" s="164"/>
      <c r="WBT76" s="164"/>
      <c r="WBU76" s="164"/>
      <c r="WBV76" s="164"/>
      <c r="WBW76" s="164"/>
      <c r="WBX76" s="164"/>
      <c r="WBY76" s="164"/>
      <c r="WBZ76" s="164"/>
      <c r="WCA76" s="164"/>
      <c r="WCB76" s="164"/>
      <c r="WCC76" s="164"/>
      <c r="WCD76" s="164"/>
      <c r="WCE76" s="164"/>
      <c r="WCF76" s="164"/>
      <c r="WCG76" s="164"/>
      <c r="WCH76" s="164"/>
      <c r="WCI76" s="164"/>
      <c r="WCJ76" s="164"/>
      <c r="WCK76" s="164"/>
      <c r="WCL76" s="164"/>
      <c r="WCM76" s="164"/>
      <c r="WCN76" s="164"/>
      <c r="WCO76" s="164"/>
      <c r="WCP76" s="164"/>
      <c r="WCQ76" s="164"/>
      <c r="WCR76" s="164"/>
      <c r="WCS76" s="164"/>
      <c r="WCT76" s="164"/>
      <c r="WCU76" s="164"/>
      <c r="WCV76" s="164"/>
      <c r="WCW76" s="164"/>
      <c r="WCX76" s="164"/>
      <c r="WCY76" s="164"/>
      <c r="WCZ76" s="164"/>
      <c r="WDA76" s="164"/>
      <c r="WDB76" s="164"/>
      <c r="WDC76" s="164"/>
      <c r="WDD76" s="164"/>
      <c r="WDE76" s="164"/>
      <c r="WDF76" s="164"/>
      <c r="WDG76" s="164"/>
      <c r="WDH76" s="164"/>
      <c r="WDI76" s="164"/>
      <c r="WDJ76" s="164"/>
      <c r="WDK76" s="164"/>
      <c r="WDL76" s="164"/>
      <c r="WDM76" s="164"/>
      <c r="WDN76" s="164"/>
      <c r="WDO76" s="164"/>
      <c r="WDP76" s="164"/>
      <c r="WDQ76" s="164"/>
      <c r="WDR76" s="164"/>
      <c r="WDS76" s="164"/>
      <c r="WDT76" s="164"/>
      <c r="WDU76" s="164"/>
      <c r="WDV76" s="164"/>
      <c r="WDW76" s="164"/>
      <c r="WDX76" s="164"/>
      <c r="WDY76" s="164"/>
      <c r="WDZ76" s="164"/>
      <c r="WEA76" s="164"/>
      <c r="WEB76" s="164"/>
      <c r="WEC76" s="164"/>
      <c r="WED76" s="164"/>
      <c r="WEE76" s="164"/>
      <c r="WEF76" s="164"/>
      <c r="WEG76" s="164"/>
      <c r="WEH76" s="164"/>
      <c r="WEI76" s="164"/>
      <c r="WEJ76" s="164"/>
      <c r="WEK76" s="164"/>
      <c r="WEL76" s="164"/>
      <c r="WEM76" s="164"/>
      <c r="WEN76" s="164"/>
      <c r="WEO76" s="164"/>
      <c r="WEP76" s="164"/>
      <c r="WEQ76" s="164"/>
      <c r="WER76" s="164"/>
      <c r="WES76" s="164"/>
      <c r="WET76" s="164"/>
      <c r="WEU76" s="164"/>
      <c r="WEV76" s="164"/>
      <c r="WEW76" s="164"/>
      <c r="WEX76" s="164"/>
      <c r="WEY76" s="164"/>
      <c r="WEZ76" s="164"/>
      <c r="WFA76" s="164"/>
      <c r="WFB76" s="164"/>
      <c r="WFC76" s="164"/>
      <c r="WFD76" s="164"/>
      <c r="WFE76" s="164"/>
      <c r="WFF76" s="164"/>
      <c r="WFG76" s="164"/>
      <c r="WFH76" s="164"/>
      <c r="WFI76" s="164"/>
      <c r="WFJ76" s="164"/>
      <c r="WFK76" s="164"/>
      <c r="WFL76" s="164"/>
      <c r="WFM76" s="164"/>
      <c r="WFN76" s="164"/>
      <c r="WFO76" s="164"/>
      <c r="WFP76" s="164"/>
      <c r="WFQ76" s="164"/>
      <c r="WFR76" s="164"/>
      <c r="WFS76" s="164"/>
      <c r="WFT76" s="164"/>
      <c r="WFU76" s="164"/>
      <c r="WFV76" s="164"/>
      <c r="WFW76" s="164"/>
      <c r="WFX76" s="164"/>
      <c r="WFY76" s="164"/>
      <c r="WFZ76" s="164"/>
      <c r="WGA76" s="164"/>
      <c r="WGB76" s="164"/>
      <c r="WGC76" s="164"/>
      <c r="WGD76" s="164"/>
      <c r="WGE76" s="164"/>
      <c r="WGF76" s="164"/>
      <c r="WGG76" s="164"/>
      <c r="WGH76" s="164"/>
      <c r="WGI76" s="164"/>
      <c r="WGJ76" s="164"/>
      <c r="WGK76" s="164"/>
      <c r="WGL76" s="164"/>
      <c r="WGM76" s="164"/>
      <c r="WGN76" s="164"/>
      <c r="WGO76" s="164"/>
      <c r="WGP76" s="164"/>
      <c r="WGQ76" s="164"/>
      <c r="WGR76" s="164"/>
      <c r="WGS76" s="164"/>
      <c r="WGT76" s="164"/>
      <c r="WGU76" s="164"/>
      <c r="WGV76" s="164"/>
      <c r="WGW76" s="164"/>
      <c r="WGX76" s="164"/>
      <c r="WGY76" s="164"/>
      <c r="WGZ76" s="164"/>
      <c r="WHA76" s="164"/>
      <c r="WHB76" s="164"/>
      <c r="WHC76" s="164"/>
      <c r="WHD76" s="164"/>
      <c r="WHE76" s="164"/>
      <c r="WHF76" s="164"/>
      <c r="WHG76" s="164"/>
      <c r="WHH76" s="164"/>
      <c r="WHI76" s="164"/>
      <c r="WHJ76" s="164"/>
      <c r="WHK76" s="164"/>
      <c r="WHL76" s="164"/>
      <c r="WHM76" s="164"/>
      <c r="WHN76" s="164"/>
      <c r="WHO76" s="164"/>
      <c r="WHP76" s="164"/>
      <c r="WHQ76" s="164"/>
      <c r="WHR76" s="164"/>
      <c r="WHS76" s="164"/>
      <c r="WHT76" s="164"/>
      <c r="WHU76" s="164"/>
      <c r="WHV76" s="164"/>
      <c r="WHW76" s="164"/>
      <c r="WHX76" s="164"/>
      <c r="WHY76" s="164"/>
      <c r="WHZ76" s="164"/>
      <c r="WIA76" s="164"/>
      <c r="WIB76" s="164"/>
      <c r="WIC76" s="164"/>
      <c r="WID76" s="164"/>
      <c r="WIE76" s="164"/>
      <c r="WIF76" s="164"/>
      <c r="WIG76" s="164"/>
      <c r="WIH76" s="164"/>
      <c r="WII76" s="164"/>
      <c r="WIJ76" s="164"/>
      <c r="WIK76" s="164"/>
      <c r="WIL76" s="164"/>
      <c r="WIM76" s="164"/>
      <c r="WIN76" s="164"/>
      <c r="WIO76" s="164"/>
      <c r="WIP76" s="164"/>
      <c r="WIQ76" s="164"/>
      <c r="WIR76" s="164"/>
      <c r="WIS76" s="164"/>
      <c r="WIT76" s="164"/>
      <c r="WIU76" s="164"/>
      <c r="WIV76" s="164"/>
      <c r="WIW76" s="164"/>
      <c r="WIX76" s="164"/>
      <c r="WIY76" s="164"/>
      <c r="WIZ76" s="164"/>
      <c r="WJA76" s="164"/>
      <c r="WJB76" s="164"/>
      <c r="WJC76" s="164"/>
      <c r="WJD76" s="164"/>
      <c r="WJE76" s="164"/>
      <c r="WJF76" s="164"/>
      <c r="WJG76" s="164"/>
      <c r="WJH76" s="164"/>
      <c r="WJI76" s="164"/>
      <c r="WJJ76" s="164"/>
      <c r="WJK76" s="164"/>
      <c r="WJL76" s="164"/>
      <c r="WJM76" s="164"/>
      <c r="WJN76" s="164"/>
      <c r="WJO76" s="164"/>
      <c r="WJP76" s="164"/>
      <c r="WJQ76" s="164"/>
      <c r="WJR76" s="164"/>
      <c r="WJS76" s="164"/>
      <c r="WJT76" s="164"/>
      <c r="WJU76" s="164"/>
      <c r="WJV76" s="164"/>
      <c r="WJW76" s="164"/>
      <c r="WJX76" s="164"/>
      <c r="WJY76" s="164"/>
      <c r="WJZ76" s="164"/>
      <c r="WKA76" s="164"/>
      <c r="WKB76" s="164"/>
      <c r="WKC76" s="164"/>
      <c r="WKD76" s="164"/>
      <c r="WKE76" s="164"/>
      <c r="WKF76" s="164"/>
      <c r="WKG76" s="164"/>
      <c r="WKH76" s="164"/>
      <c r="WKI76" s="164"/>
      <c r="WKJ76" s="164"/>
      <c r="WKK76" s="164"/>
      <c r="WKL76" s="164"/>
      <c r="WKM76" s="164"/>
      <c r="WKN76" s="164"/>
      <c r="WKO76" s="164"/>
      <c r="WKP76" s="164"/>
      <c r="WKQ76" s="164"/>
      <c r="WKR76" s="164"/>
      <c r="WKS76" s="164"/>
      <c r="WKT76" s="164"/>
      <c r="WKU76" s="164"/>
      <c r="WKV76" s="164"/>
      <c r="WKW76" s="164"/>
      <c r="WKX76" s="164"/>
      <c r="WKY76" s="164"/>
      <c r="WKZ76" s="164"/>
      <c r="WLA76" s="164"/>
      <c r="WLB76" s="164"/>
      <c r="WLC76" s="164"/>
      <c r="WLD76" s="164"/>
      <c r="WLE76" s="164"/>
      <c r="WLF76" s="164"/>
      <c r="WLG76" s="164"/>
      <c r="WLH76" s="164"/>
      <c r="WLI76" s="164"/>
      <c r="WLJ76" s="164"/>
      <c r="WLK76" s="164"/>
      <c r="WLL76" s="164"/>
      <c r="WLM76" s="164"/>
      <c r="WLN76" s="164"/>
      <c r="WLO76" s="164"/>
      <c r="WLP76" s="164"/>
      <c r="WLQ76" s="164"/>
      <c r="WLR76" s="164"/>
      <c r="WLS76" s="164"/>
      <c r="WLT76" s="164"/>
      <c r="WLU76" s="164"/>
      <c r="WLV76" s="164"/>
      <c r="WLW76" s="164"/>
      <c r="WLX76" s="164"/>
      <c r="WLY76" s="164"/>
      <c r="WLZ76" s="164"/>
      <c r="WMA76" s="164"/>
      <c r="WMB76" s="164"/>
      <c r="WMC76" s="164"/>
      <c r="WMD76" s="164"/>
      <c r="WME76" s="164"/>
      <c r="WMF76" s="164"/>
      <c r="WMG76" s="164"/>
      <c r="WMH76" s="164"/>
      <c r="WMI76" s="164"/>
      <c r="WMJ76" s="164"/>
      <c r="WMK76" s="164"/>
      <c r="WML76" s="164"/>
      <c r="WMM76" s="164"/>
      <c r="WMN76" s="164"/>
      <c r="WMO76" s="164"/>
      <c r="WMP76" s="164"/>
      <c r="WMQ76" s="164"/>
      <c r="WMR76" s="164"/>
      <c r="WMS76" s="164"/>
      <c r="WMT76" s="164"/>
      <c r="WMU76" s="164"/>
      <c r="WMV76" s="164"/>
      <c r="WMW76" s="164"/>
      <c r="WMX76" s="164"/>
      <c r="WMY76" s="164"/>
      <c r="WMZ76" s="164"/>
      <c r="WNA76" s="164"/>
      <c r="WNB76" s="164"/>
      <c r="WNC76" s="164"/>
      <c r="WND76" s="164"/>
      <c r="WNE76" s="164"/>
      <c r="WNF76" s="164"/>
      <c r="WNG76" s="164"/>
      <c r="WNH76" s="164"/>
      <c r="WNI76" s="164"/>
      <c r="WNJ76" s="164"/>
      <c r="WNK76" s="164"/>
      <c r="WNL76" s="164"/>
      <c r="WNM76" s="164"/>
      <c r="WNN76" s="164"/>
      <c r="WNO76" s="164"/>
      <c r="WNP76" s="164"/>
      <c r="WNQ76" s="164"/>
      <c r="WNR76" s="164"/>
      <c r="WNS76" s="164"/>
      <c r="WNT76" s="164"/>
      <c r="WNU76" s="164"/>
      <c r="WNV76" s="164"/>
      <c r="WNW76" s="164"/>
      <c r="WNX76" s="164"/>
      <c r="WNY76" s="164"/>
      <c r="WNZ76" s="164"/>
      <c r="WOA76" s="164"/>
      <c r="WOB76" s="164"/>
      <c r="WOC76" s="164"/>
      <c r="WOD76" s="164"/>
      <c r="WOE76" s="164"/>
      <c r="WOF76" s="164"/>
      <c r="WOG76" s="164"/>
      <c r="WOH76" s="164"/>
      <c r="WOI76" s="164"/>
      <c r="WOJ76" s="164"/>
      <c r="WOK76" s="164"/>
      <c r="WOL76" s="164"/>
      <c r="WOM76" s="164"/>
      <c r="WON76" s="164"/>
      <c r="WOO76" s="164"/>
      <c r="WOP76" s="164"/>
      <c r="WOQ76" s="164"/>
      <c r="WOR76" s="164"/>
      <c r="WOS76" s="164"/>
      <c r="WOT76" s="164"/>
      <c r="WOU76" s="164"/>
      <c r="WOV76" s="164"/>
      <c r="WOW76" s="164"/>
      <c r="WOX76" s="164"/>
      <c r="WOY76" s="164"/>
      <c r="WOZ76" s="164"/>
      <c r="WPA76" s="164"/>
      <c r="WPB76" s="164"/>
      <c r="WPC76" s="164"/>
      <c r="WPD76" s="164"/>
      <c r="WPE76" s="164"/>
      <c r="WPF76" s="164"/>
      <c r="WPG76" s="164"/>
      <c r="WPH76" s="164"/>
      <c r="WPI76" s="164"/>
      <c r="WPJ76" s="164"/>
      <c r="WPK76" s="164"/>
      <c r="WPL76" s="164"/>
      <c r="WPM76" s="164"/>
      <c r="WPN76" s="164"/>
      <c r="WPO76" s="164"/>
      <c r="WPP76" s="164"/>
      <c r="WPQ76" s="164"/>
      <c r="WPR76" s="164"/>
      <c r="WPS76" s="164"/>
      <c r="WPT76" s="164"/>
      <c r="WPU76" s="164"/>
      <c r="WPV76" s="164"/>
      <c r="WPW76" s="164"/>
      <c r="WPX76" s="164"/>
      <c r="WPY76" s="164"/>
      <c r="WPZ76" s="164"/>
      <c r="WQA76" s="164"/>
      <c r="WQB76" s="164"/>
      <c r="WQC76" s="164"/>
      <c r="WQD76" s="164"/>
      <c r="WQE76" s="164"/>
      <c r="WQF76" s="164"/>
      <c r="WQG76" s="164"/>
      <c r="WQH76" s="164"/>
      <c r="WQI76" s="164"/>
      <c r="WQJ76" s="164"/>
      <c r="WQK76" s="164"/>
      <c r="WQL76" s="164"/>
      <c r="WQM76" s="164"/>
      <c r="WQN76" s="164"/>
      <c r="WQO76" s="164"/>
      <c r="WQP76" s="164"/>
      <c r="WQQ76" s="164"/>
      <c r="WQR76" s="164"/>
      <c r="WQS76" s="164"/>
      <c r="WQT76" s="164"/>
      <c r="WQU76" s="164"/>
      <c r="WQV76" s="164"/>
      <c r="WQW76" s="164"/>
      <c r="WQX76" s="164"/>
      <c r="WQY76" s="164"/>
      <c r="WQZ76" s="164"/>
      <c r="WRA76" s="164"/>
      <c r="WRB76" s="164"/>
      <c r="WRC76" s="164"/>
      <c r="WRD76" s="164"/>
      <c r="WRE76" s="164"/>
      <c r="WRF76" s="164"/>
      <c r="WRG76" s="164"/>
      <c r="WRH76" s="164"/>
      <c r="WRI76" s="164"/>
      <c r="WRJ76" s="164"/>
      <c r="WRK76" s="164"/>
      <c r="WRL76" s="164"/>
      <c r="WRM76" s="164"/>
      <c r="WRN76" s="164"/>
      <c r="WRO76" s="164"/>
      <c r="WRP76" s="164"/>
      <c r="WRQ76" s="164"/>
      <c r="WRR76" s="164"/>
      <c r="WRS76" s="164"/>
      <c r="WRT76" s="164"/>
      <c r="WRU76" s="164"/>
    </row>
    <row r="77" spans="1:16037" s="126" customFormat="1" ht="82.5" hidden="1" customHeight="1" x14ac:dyDescent="0.2">
      <c r="A77" s="126">
        <v>4</v>
      </c>
      <c r="C77" s="150"/>
      <c r="D77" s="145">
        <f>+Tabla2[[#This Row],[Fecha de Postulación]]</f>
        <v>44111</v>
      </c>
      <c r="E77" s="146" t="s">
        <v>202</v>
      </c>
      <c r="F77" s="146" t="s">
        <v>228</v>
      </c>
      <c r="G77" s="154" t="s">
        <v>166</v>
      </c>
      <c r="H77" s="147" t="s">
        <v>229</v>
      </c>
      <c r="I77" s="146" t="s">
        <v>278</v>
      </c>
      <c r="J77" s="160" t="s">
        <v>96</v>
      </c>
      <c r="K77" s="146" t="s">
        <v>230</v>
      </c>
      <c r="L77" s="146" t="s">
        <v>389</v>
      </c>
      <c r="M77" s="146">
        <v>127</v>
      </c>
      <c r="N77" s="150">
        <v>44111</v>
      </c>
      <c r="O77" s="152">
        <v>5280000</v>
      </c>
      <c r="P77" s="152">
        <v>0</v>
      </c>
      <c r="Q77" s="152">
        <v>0</v>
      </c>
      <c r="R77" s="152">
        <v>0</v>
      </c>
      <c r="S77" s="156">
        <v>9771240</v>
      </c>
      <c r="T77" s="152">
        <f>SUM(O77:S77)</f>
        <v>15051240</v>
      </c>
      <c r="U77" s="152">
        <v>0</v>
      </c>
      <c r="V77" s="146">
        <v>0</v>
      </c>
      <c r="W77" s="149">
        <v>24</v>
      </c>
      <c r="X77" s="150" t="str">
        <f>L77</f>
        <v>No adjudicado</v>
      </c>
      <c r="Y77" s="146" t="s">
        <v>66</v>
      </c>
      <c r="Z77" s="150">
        <v>44167</v>
      </c>
      <c r="AA77" s="146"/>
      <c r="AB77" s="146" t="s">
        <v>239</v>
      </c>
      <c r="AC77" s="146"/>
      <c r="AD77" s="146"/>
      <c r="AE77" s="153"/>
      <c r="AF77" s="153"/>
      <c r="AG77" s="153"/>
      <c r="AH77" s="153"/>
      <c r="AI77" s="153"/>
    </row>
    <row r="78" spans="1:16037" s="126" customFormat="1" ht="82.5" hidden="1" customHeight="1" x14ac:dyDescent="0.2">
      <c r="A78" s="126">
        <v>5</v>
      </c>
      <c r="C78" s="150"/>
      <c r="D78" s="145">
        <f>+Tabla2[[#This Row],[Fecha de Postulación]]</f>
        <v>44098</v>
      </c>
      <c r="E78" s="146" t="s">
        <v>202</v>
      </c>
      <c r="F78" s="146" t="s">
        <v>207</v>
      </c>
      <c r="G78" s="154" t="s">
        <v>80</v>
      </c>
      <c r="H78" s="147" t="s">
        <v>206</v>
      </c>
      <c r="I78" s="146" t="s">
        <v>278</v>
      </c>
      <c r="J78" s="160" t="s">
        <v>105</v>
      </c>
      <c r="K78" s="146" t="s">
        <v>10</v>
      </c>
      <c r="L78" s="146" t="s">
        <v>389</v>
      </c>
      <c r="M78" s="146">
        <v>67</v>
      </c>
      <c r="N78" s="150">
        <v>44098</v>
      </c>
      <c r="O78" s="152">
        <v>81324000</v>
      </c>
      <c r="P78" s="152">
        <v>0</v>
      </c>
      <c r="Q78" s="152">
        <v>0</v>
      </c>
      <c r="R78" s="152">
        <v>0</v>
      </c>
      <c r="S78" s="156">
        <v>15000000</v>
      </c>
      <c r="T78" s="152">
        <f>SUM(O78:S78)</f>
        <v>96324000</v>
      </c>
      <c r="U78" s="152">
        <v>0</v>
      </c>
      <c r="V78" s="146">
        <v>0</v>
      </c>
      <c r="W78" s="149">
        <v>36</v>
      </c>
      <c r="X78" s="150" t="str">
        <f>L78</f>
        <v>No adjudicado</v>
      </c>
      <c r="Y78" s="146" t="s">
        <v>66</v>
      </c>
      <c r="Z78" s="150">
        <v>44218</v>
      </c>
      <c r="AA78" s="146"/>
      <c r="AB78" s="146" t="s">
        <v>248</v>
      </c>
      <c r="AC78" s="146"/>
      <c r="AD78" s="146"/>
      <c r="AE78" s="153"/>
      <c r="AF78" s="153"/>
      <c r="AG78" s="153"/>
      <c r="AH78" s="153"/>
      <c r="AI78" s="153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165"/>
      <c r="BV78" s="165"/>
      <c r="BW78" s="165"/>
      <c r="BX78" s="165"/>
      <c r="BY78" s="165"/>
      <c r="BZ78" s="165"/>
      <c r="CA78" s="165"/>
      <c r="CB78" s="165"/>
      <c r="CC78" s="165"/>
      <c r="CD78" s="165"/>
      <c r="CE78" s="165"/>
      <c r="CF78" s="165"/>
      <c r="CG78" s="165"/>
      <c r="CH78" s="165"/>
      <c r="CI78" s="165"/>
      <c r="CJ78" s="165"/>
      <c r="CK78" s="165"/>
      <c r="CL78" s="165"/>
      <c r="CM78" s="165"/>
      <c r="CN78" s="165"/>
      <c r="CO78" s="165"/>
      <c r="CP78" s="165"/>
      <c r="CQ78" s="165"/>
      <c r="CR78" s="165"/>
      <c r="CS78" s="165"/>
      <c r="CT78" s="165"/>
      <c r="CU78" s="165"/>
      <c r="CV78" s="165"/>
      <c r="CW78" s="165"/>
      <c r="CX78" s="165"/>
      <c r="CY78" s="165"/>
      <c r="CZ78" s="165"/>
      <c r="DA78" s="165"/>
      <c r="DB78" s="165"/>
      <c r="DC78" s="165"/>
      <c r="DD78" s="165"/>
      <c r="DE78" s="165"/>
      <c r="DF78" s="165"/>
      <c r="DG78" s="165"/>
      <c r="DH78" s="165"/>
      <c r="DI78" s="165"/>
      <c r="DJ78" s="165"/>
      <c r="DK78" s="165"/>
      <c r="DL78" s="165"/>
      <c r="DM78" s="165"/>
      <c r="DN78" s="165"/>
      <c r="DO78" s="165"/>
      <c r="DP78" s="165"/>
      <c r="DQ78" s="165"/>
      <c r="DR78" s="165"/>
      <c r="DS78" s="165"/>
      <c r="DT78" s="165"/>
      <c r="DU78" s="165"/>
      <c r="DV78" s="165"/>
      <c r="DW78" s="165"/>
      <c r="DX78" s="165"/>
      <c r="DY78" s="165"/>
      <c r="DZ78" s="165"/>
      <c r="EA78" s="165"/>
      <c r="EB78" s="165"/>
      <c r="EC78" s="165"/>
      <c r="ED78" s="165"/>
      <c r="EE78" s="165"/>
      <c r="EF78" s="165"/>
      <c r="EG78" s="165"/>
      <c r="EH78" s="165"/>
      <c r="EI78" s="165"/>
      <c r="EJ78" s="165"/>
      <c r="EK78" s="165"/>
      <c r="EL78" s="165"/>
      <c r="EM78" s="165"/>
      <c r="EN78" s="165"/>
      <c r="EO78" s="165"/>
      <c r="EP78" s="165"/>
      <c r="EQ78" s="165"/>
      <c r="ER78" s="165"/>
      <c r="ES78" s="165"/>
      <c r="ET78" s="165"/>
      <c r="EU78" s="165"/>
      <c r="EV78" s="165"/>
      <c r="EW78" s="165"/>
      <c r="EX78" s="165"/>
      <c r="EY78" s="165"/>
      <c r="EZ78" s="165"/>
      <c r="FA78" s="165"/>
      <c r="FB78" s="165"/>
      <c r="FC78" s="165"/>
      <c r="FD78" s="165"/>
      <c r="FE78" s="165"/>
      <c r="FF78" s="165"/>
      <c r="FG78" s="165"/>
      <c r="FH78" s="165"/>
      <c r="FI78" s="165"/>
      <c r="FJ78" s="165"/>
      <c r="FK78" s="165"/>
      <c r="FL78" s="165"/>
      <c r="FM78" s="165"/>
      <c r="FN78" s="165"/>
      <c r="FO78" s="165"/>
      <c r="FP78" s="165"/>
      <c r="FQ78" s="165"/>
      <c r="FR78" s="165"/>
      <c r="FS78" s="165"/>
      <c r="FT78" s="165"/>
      <c r="FU78" s="165"/>
      <c r="FV78" s="165"/>
      <c r="FW78" s="165"/>
      <c r="FX78" s="165"/>
      <c r="FY78" s="165"/>
      <c r="FZ78" s="165"/>
      <c r="GA78" s="165"/>
      <c r="GB78" s="165"/>
      <c r="GC78" s="165"/>
      <c r="GD78" s="165"/>
      <c r="GE78" s="165"/>
      <c r="GF78" s="165"/>
      <c r="GG78" s="165"/>
      <c r="GH78" s="165"/>
      <c r="GI78" s="165"/>
      <c r="GJ78" s="165"/>
      <c r="GK78" s="165"/>
      <c r="GL78" s="165"/>
      <c r="GM78" s="165"/>
      <c r="GN78" s="165"/>
      <c r="GO78" s="165"/>
      <c r="GP78" s="165"/>
      <c r="GQ78" s="165"/>
      <c r="GR78" s="165"/>
      <c r="GS78" s="165"/>
      <c r="GT78" s="165"/>
      <c r="GU78" s="165"/>
      <c r="GV78" s="165"/>
      <c r="GW78" s="165"/>
      <c r="GX78" s="165"/>
      <c r="GY78" s="165"/>
      <c r="GZ78" s="165"/>
      <c r="HA78" s="165"/>
      <c r="HB78" s="165"/>
      <c r="HC78" s="165"/>
      <c r="HD78" s="165"/>
      <c r="HE78" s="165"/>
      <c r="HF78" s="165"/>
      <c r="HG78" s="165"/>
      <c r="HH78" s="165"/>
      <c r="HI78" s="165"/>
      <c r="HJ78" s="165"/>
      <c r="HK78" s="165"/>
      <c r="HL78" s="165"/>
      <c r="HM78" s="165"/>
      <c r="HN78" s="165"/>
      <c r="HO78" s="165"/>
      <c r="HP78" s="165"/>
      <c r="HQ78" s="165"/>
      <c r="HR78" s="165"/>
      <c r="HS78" s="165"/>
      <c r="HT78" s="165"/>
      <c r="HU78" s="165"/>
      <c r="HV78" s="165"/>
      <c r="HW78" s="165"/>
      <c r="HX78" s="165"/>
      <c r="HY78" s="165"/>
      <c r="HZ78" s="165"/>
      <c r="IA78" s="165"/>
      <c r="IB78" s="165"/>
      <c r="IC78" s="165"/>
      <c r="ID78" s="165"/>
      <c r="IE78" s="165"/>
      <c r="IF78" s="165"/>
      <c r="IG78" s="165"/>
      <c r="IH78" s="165"/>
      <c r="II78" s="165"/>
      <c r="IJ78" s="165"/>
      <c r="IK78" s="165"/>
      <c r="IL78" s="165"/>
      <c r="IM78" s="165"/>
      <c r="IN78" s="165"/>
      <c r="IO78" s="165"/>
      <c r="IP78" s="165"/>
      <c r="IQ78" s="165"/>
      <c r="IR78" s="165"/>
      <c r="IS78" s="165"/>
      <c r="IT78" s="165"/>
      <c r="IU78" s="165"/>
      <c r="IV78" s="165"/>
      <c r="IW78" s="165"/>
      <c r="IX78" s="165"/>
      <c r="IY78" s="165"/>
      <c r="IZ78" s="165"/>
      <c r="JA78" s="165"/>
      <c r="JB78" s="165"/>
      <c r="JC78" s="165"/>
      <c r="JD78" s="165"/>
      <c r="JE78" s="165"/>
      <c r="JF78" s="165"/>
      <c r="JG78" s="165"/>
      <c r="JH78" s="165"/>
      <c r="JI78" s="165"/>
      <c r="JJ78" s="165"/>
      <c r="JK78" s="165"/>
      <c r="JL78" s="165"/>
      <c r="JM78" s="165"/>
      <c r="JN78" s="165"/>
      <c r="JO78" s="165"/>
      <c r="JP78" s="165"/>
      <c r="JQ78" s="165"/>
      <c r="JR78" s="165"/>
      <c r="JS78" s="165"/>
      <c r="JT78" s="165"/>
      <c r="JU78" s="165"/>
      <c r="JV78" s="165"/>
      <c r="JW78" s="165"/>
      <c r="JX78" s="165"/>
      <c r="JY78" s="165"/>
      <c r="JZ78" s="165"/>
      <c r="KA78" s="165"/>
      <c r="KB78" s="165"/>
      <c r="KC78" s="165"/>
      <c r="KD78" s="165"/>
      <c r="KE78" s="165"/>
      <c r="KF78" s="165"/>
      <c r="KG78" s="165"/>
      <c r="KH78" s="165"/>
      <c r="KI78" s="165"/>
      <c r="KJ78" s="165"/>
      <c r="KK78" s="165"/>
      <c r="KL78" s="165"/>
      <c r="KM78" s="165"/>
      <c r="KN78" s="165"/>
      <c r="KO78" s="165"/>
      <c r="KP78" s="165"/>
      <c r="KQ78" s="165"/>
      <c r="KR78" s="165"/>
      <c r="KS78" s="165"/>
      <c r="KT78" s="165"/>
      <c r="KU78" s="165"/>
      <c r="KV78" s="165"/>
      <c r="KW78" s="165"/>
      <c r="KX78" s="165"/>
      <c r="KY78" s="165"/>
      <c r="KZ78" s="165"/>
      <c r="LA78" s="165"/>
      <c r="LB78" s="165"/>
      <c r="LC78" s="165"/>
      <c r="LD78" s="165"/>
      <c r="LE78" s="165"/>
      <c r="LF78" s="165"/>
      <c r="LG78" s="165"/>
      <c r="LH78" s="165"/>
      <c r="LI78" s="165"/>
      <c r="LJ78" s="165"/>
      <c r="LK78" s="165"/>
      <c r="LL78" s="165"/>
      <c r="LM78" s="165"/>
      <c r="LN78" s="165"/>
      <c r="LO78" s="165"/>
      <c r="LP78" s="165"/>
      <c r="LQ78" s="165"/>
      <c r="LR78" s="165"/>
      <c r="LS78" s="165"/>
      <c r="LT78" s="165"/>
      <c r="LU78" s="165"/>
      <c r="LV78" s="165"/>
      <c r="LW78" s="165"/>
      <c r="LX78" s="165"/>
      <c r="LY78" s="165"/>
      <c r="LZ78" s="165"/>
      <c r="MA78" s="165"/>
      <c r="MB78" s="165"/>
      <c r="MC78" s="165"/>
      <c r="MD78" s="165"/>
      <c r="ME78" s="165"/>
      <c r="MF78" s="165"/>
      <c r="MG78" s="165"/>
      <c r="MH78" s="165"/>
      <c r="MI78" s="165"/>
      <c r="MJ78" s="165"/>
      <c r="MK78" s="165"/>
      <c r="ML78" s="165"/>
      <c r="MM78" s="165"/>
      <c r="MN78" s="165"/>
      <c r="MO78" s="165"/>
      <c r="MP78" s="165"/>
      <c r="MQ78" s="165"/>
      <c r="MR78" s="165"/>
      <c r="MS78" s="165"/>
      <c r="MT78" s="165"/>
      <c r="MU78" s="165"/>
      <c r="MV78" s="165"/>
      <c r="MW78" s="165"/>
      <c r="MX78" s="165"/>
      <c r="MY78" s="165"/>
      <c r="MZ78" s="165"/>
      <c r="NA78" s="165"/>
      <c r="NB78" s="165"/>
      <c r="NC78" s="165"/>
      <c r="ND78" s="165"/>
      <c r="NE78" s="165"/>
      <c r="NF78" s="165"/>
      <c r="NG78" s="165"/>
      <c r="NH78" s="165"/>
      <c r="NI78" s="165"/>
      <c r="NJ78" s="165"/>
      <c r="NK78" s="165"/>
      <c r="NL78" s="165"/>
      <c r="NM78" s="165"/>
      <c r="NN78" s="165"/>
      <c r="NO78" s="165"/>
      <c r="NP78" s="165"/>
      <c r="NQ78" s="165"/>
      <c r="NR78" s="165"/>
      <c r="NS78" s="165"/>
      <c r="NT78" s="165"/>
      <c r="NU78" s="165"/>
      <c r="NV78" s="165"/>
      <c r="NW78" s="165"/>
      <c r="NX78" s="165"/>
      <c r="NY78" s="165"/>
      <c r="NZ78" s="165"/>
      <c r="OA78" s="165"/>
      <c r="OB78" s="165"/>
      <c r="OC78" s="165"/>
      <c r="OD78" s="165"/>
      <c r="OE78" s="165"/>
      <c r="OF78" s="165"/>
      <c r="OG78" s="165"/>
      <c r="OH78" s="165"/>
      <c r="OI78" s="165"/>
      <c r="OJ78" s="165"/>
      <c r="OK78" s="165"/>
      <c r="OL78" s="165"/>
      <c r="OM78" s="165"/>
      <c r="ON78" s="165"/>
      <c r="OO78" s="165"/>
      <c r="OP78" s="165"/>
      <c r="OQ78" s="165"/>
      <c r="OR78" s="165"/>
      <c r="OS78" s="165"/>
      <c r="OT78" s="165"/>
      <c r="OU78" s="165"/>
      <c r="OV78" s="165"/>
      <c r="OW78" s="165"/>
      <c r="OX78" s="165"/>
      <c r="OY78" s="165"/>
      <c r="OZ78" s="165"/>
      <c r="PA78" s="165"/>
      <c r="PB78" s="165"/>
      <c r="PC78" s="165"/>
      <c r="PD78" s="165"/>
      <c r="PE78" s="165"/>
      <c r="PF78" s="165"/>
      <c r="PG78" s="165"/>
      <c r="PH78" s="165"/>
      <c r="PI78" s="165"/>
      <c r="PJ78" s="165"/>
      <c r="PK78" s="165"/>
      <c r="PL78" s="165"/>
      <c r="PM78" s="165"/>
      <c r="PN78" s="165"/>
      <c r="PO78" s="165"/>
      <c r="PP78" s="165"/>
      <c r="PQ78" s="165"/>
      <c r="PR78" s="165"/>
      <c r="PS78" s="165"/>
      <c r="PT78" s="165"/>
      <c r="PU78" s="165"/>
      <c r="PV78" s="165"/>
      <c r="PW78" s="165"/>
      <c r="PX78" s="165"/>
      <c r="PY78" s="165"/>
      <c r="PZ78" s="165"/>
      <c r="QA78" s="165"/>
      <c r="QB78" s="165"/>
      <c r="QC78" s="165"/>
      <c r="QD78" s="165"/>
      <c r="QE78" s="165"/>
      <c r="QF78" s="165"/>
      <c r="QG78" s="165"/>
      <c r="QH78" s="165"/>
      <c r="QI78" s="165"/>
      <c r="QJ78" s="165"/>
      <c r="QK78" s="165"/>
      <c r="QL78" s="165"/>
      <c r="QM78" s="165"/>
      <c r="QN78" s="165"/>
      <c r="QO78" s="165"/>
      <c r="QP78" s="165"/>
      <c r="QQ78" s="165"/>
      <c r="QR78" s="165"/>
      <c r="QS78" s="165"/>
      <c r="QT78" s="165"/>
      <c r="QU78" s="165"/>
      <c r="QV78" s="165"/>
      <c r="QW78" s="165"/>
      <c r="QX78" s="165"/>
      <c r="QY78" s="165"/>
      <c r="QZ78" s="165"/>
      <c r="RA78" s="165"/>
      <c r="RB78" s="165"/>
      <c r="RC78" s="165"/>
      <c r="RD78" s="165"/>
      <c r="RE78" s="165"/>
      <c r="RF78" s="165"/>
      <c r="RG78" s="165"/>
      <c r="RH78" s="165"/>
      <c r="RI78" s="165"/>
      <c r="RJ78" s="165"/>
      <c r="RK78" s="165"/>
      <c r="RL78" s="165"/>
      <c r="RM78" s="165"/>
      <c r="RN78" s="165"/>
      <c r="RO78" s="165"/>
      <c r="RP78" s="165"/>
      <c r="RQ78" s="165"/>
      <c r="RR78" s="165"/>
      <c r="RS78" s="165"/>
      <c r="RT78" s="165"/>
      <c r="RU78" s="165"/>
      <c r="RV78" s="165"/>
      <c r="RW78" s="165"/>
      <c r="RX78" s="165"/>
      <c r="RY78" s="165"/>
      <c r="RZ78" s="165"/>
      <c r="SA78" s="165"/>
      <c r="SB78" s="165"/>
      <c r="SC78" s="165"/>
      <c r="SD78" s="165"/>
      <c r="SE78" s="165"/>
      <c r="SF78" s="165"/>
      <c r="SG78" s="165"/>
      <c r="SH78" s="165"/>
      <c r="SI78" s="165"/>
      <c r="SJ78" s="165"/>
      <c r="SK78" s="165"/>
      <c r="SL78" s="165"/>
      <c r="SM78" s="165"/>
      <c r="SN78" s="165"/>
      <c r="SO78" s="165"/>
      <c r="SP78" s="165"/>
      <c r="SQ78" s="165"/>
      <c r="SR78" s="165"/>
      <c r="SS78" s="165"/>
      <c r="ST78" s="165"/>
      <c r="SU78" s="165"/>
      <c r="SV78" s="165"/>
      <c r="SW78" s="165"/>
      <c r="SX78" s="165"/>
      <c r="SY78" s="165"/>
      <c r="SZ78" s="165"/>
      <c r="TA78" s="165"/>
      <c r="TB78" s="165"/>
      <c r="TC78" s="165"/>
      <c r="TD78" s="165"/>
      <c r="TE78" s="165"/>
      <c r="TF78" s="165"/>
      <c r="TG78" s="165"/>
      <c r="TH78" s="165"/>
      <c r="TI78" s="165"/>
      <c r="TJ78" s="165"/>
      <c r="TK78" s="165"/>
      <c r="TL78" s="165"/>
      <c r="TM78" s="165"/>
      <c r="TN78" s="165"/>
      <c r="TO78" s="165"/>
      <c r="TP78" s="165"/>
      <c r="TQ78" s="165"/>
      <c r="TR78" s="165"/>
      <c r="TS78" s="165"/>
      <c r="TT78" s="165"/>
      <c r="TU78" s="165"/>
      <c r="TV78" s="165"/>
      <c r="TW78" s="165"/>
      <c r="TX78" s="165"/>
      <c r="TY78" s="165"/>
      <c r="TZ78" s="165"/>
      <c r="UA78" s="165"/>
      <c r="UB78" s="165"/>
      <c r="UC78" s="165"/>
      <c r="UD78" s="165"/>
      <c r="UE78" s="165"/>
      <c r="UF78" s="165"/>
      <c r="UG78" s="165"/>
      <c r="UH78" s="165"/>
      <c r="UI78" s="165"/>
      <c r="UJ78" s="165"/>
      <c r="UK78" s="165"/>
      <c r="UL78" s="165"/>
      <c r="UM78" s="165"/>
      <c r="UN78" s="165"/>
      <c r="UO78" s="165"/>
      <c r="UP78" s="165"/>
      <c r="UQ78" s="165"/>
      <c r="UR78" s="165"/>
      <c r="US78" s="165"/>
      <c r="UT78" s="165"/>
      <c r="UU78" s="165"/>
      <c r="UV78" s="165"/>
      <c r="UW78" s="165"/>
      <c r="UX78" s="165"/>
      <c r="UY78" s="165"/>
      <c r="UZ78" s="165"/>
      <c r="VA78" s="165"/>
      <c r="VB78" s="165"/>
      <c r="VC78" s="165"/>
      <c r="VD78" s="165"/>
      <c r="VE78" s="165"/>
      <c r="VF78" s="165"/>
      <c r="VG78" s="165"/>
      <c r="VH78" s="165"/>
      <c r="VI78" s="165"/>
      <c r="VJ78" s="165"/>
      <c r="VK78" s="165"/>
      <c r="VL78" s="165"/>
      <c r="VM78" s="165"/>
      <c r="VN78" s="165"/>
      <c r="VO78" s="165"/>
      <c r="VP78" s="165"/>
      <c r="VQ78" s="165"/>
      <c r="VR78" s="165"/>
      <c r="VS78" s="165"/>
      <c r="VT78" s="165"/>
      <c r="VU78" s="165"/>
      <c r="VV78" s="165"/>
      <c r="VW78" s="165"/>
      <c r="VX78" s="165"/>
      <c r="VY78" s="165"/>
      <c r="VZ78" s="165"/>
      <c r="WA78" s="165"/>
      <c r="WB78" s="165"/>
      <c r="WC78" s="165"/>
      <c r="WD78" s="165"/>
      <c r="WE78" s="165"/>
      <c r="WF78" s="165"/>
      <c r="WG78" s="165"/>
      <c r="WH78" s="165"/>
      <c r="WI78" s="165"/>
      <c r="WJ78" s="165"/>
      <c r="WK78" s="165"/>
      <c r="WL78" s="165"/>
      <c r="WM78" s="165"/>
      <c r="WN78" s="165"/>
      <c r="WO78" s="165"/>
      <c r="WP78" s="165"/>
      <c r="WQ78" s="165"/>
      <c r="WR78" s="165"/>
      <c r="WS78" s="165"/>
      <c r="WT78" s="165"/>
      <c r="WU78" s="165"/>
      <c r="WV78" s="165"/>
      <c r="WW78" s="165"/>
      <c r="WX78" s="165"/>
      <c r="WY78" s="165"/>
      <c r="WZ78" s="165"/>
      <c r="XA78" s="165"/>
      <c r="XB78" s="165"/>
      <c r="XC78" s="165"/>
      <c r="XD78" s="165"/>
      <c r="XE78" s="165"/>
      <c r="XF78" s="165"/>
      <c r="XG78" s="165"/>
      <c r="XH78" s="165"/>
      <c r="XI78" s="165"/>
      <c r="XJ78" s="165"/>
      <c r="XK78" s="165"/>
      <c r="XL78" s="165"/>
      <c r="XM78" s="165"/>
      <c r="XN78" s="165"/>
      <c r="XO78" s="165"/>
      <c r="XP78" s="165"/>
      <c r="XQ78" s="165"/>
      <c r="XR78" s="165"/>
      <c r="XS78" s="165"/>
      <c r="XT78" s="165"/>
      <c r="XU78" s="165"/>
      <c r="XV78" s="165"/>
      <c r="XW78" s="165"/>
      <c r="XX78" s="165"/>
      <c r="XY78" s="165"/>
      <c r="XZ78" s="165"/>
      <c r="YA78" s="165"/>
      <c r="YB78" s="165"/>
      <c r="YC78" s="165"/>
      <c r="YD78" s="165"/>
      <c r="YE78" s="165"/>
      <c r="YF78" s="165"/>
      <c r="YG78" s="165"/>
      <c r="YH78" s="165"/>
      <c r="YI78" s="165"/>
      <c r="YJ78" s="165"/>
      <c r="YK78" s="165"/>
      <c r="YL78" s="165"/>
      <c r="YM78" s="165"/>
      <c r="YN78" s="165"/>
      <c r="YO78" s="165"/>
      <c r="YP78" s="165"/>
      <c r="YQ78" s="165"/>
      <c r="YR78" s="165"/>
      <c r="YS78" s="165"/>
      <c r="YT78" s="165"/>
      <c r="YU78" s="165"/>
      <c r="YV78" s="165"/>
      <c r="YW78" s="165"/>
      <c r="YX78" s="165"/>
      <c r="YY78" s="165"/>
      <c r="YZ78" s="165"/>
      <c r="ZA78" s="165"/>
      <c r="ZB78" s="165"/>
      <c r="ZC78" s="165"/>
      <c r="ZD78" s="165"/>
      <c r="ZE78" s="165"/>
      <c r="ZF78" s="165"/>
      <c r="ZG78" s="165"/>
      <c r="ZH78" s="165"/>
      <c r="ZI78" s="165"/>
      <c r="ZJ78" s="165"/>
      <c r="ZK78" s="165"/>
      <c r="ZL78" s="165"/>
      <c r="ZM78" s="165"/>
      <c r="ZN78" s="165"/>
      <c r="ZO78" s="165"/>
      <c r="ZP78" s="165"/>
      <c r="ZQ78" s="165"/>
      <c r="ZR78" s="165"/>
      <c r="ZS78" s="165"/>
      <c r="ZT78" s="165"/>
      <c r="ZU78" s="165"/>
      <c r="ZV78" s="165"/>
      <c r="ZW78" s="165"/>
      <c r="ZX78" s="165"/>
      <c r="ZY78" s="165"/>
      <c r="ZZ78" s="165"/>
      <c r="AAA78" s="165"/>
      <c r="AAB78" s="165"/>
      <c r="AAC78" s="165"/>
      <c r="AAD78" s="165"/>
      <c r="AAE78" s="165"/>
      <c r="AAF78" s="165"/>
      <c r="AAG78" s="165"/>
      <c r="AAH78" s="165"/>
      <c r="AAI78" s="165"/>
      <c r="AAJ78" s="165"/>
      <c r="AAK78" s="165"/>
      <c r="AAL78" s="165"/>
      <c r="AAM78" s="165"/>
      <c r="AAN78" s="165"/>
      <c r="AAO78" s="165"/>
      <c r="AAP78" s="165"/>
      <c r="AAQ78" s="165"/>
      <c r="AAR78" s="165"/>
      <c r="AAS78" s="165"/>
      <c r="AAT78" s="165"/>
      <c r="AAU78" s="165"/>
      <c r="AAV78" s="165"/>
      <c r="AAW78" s="165"/>
      <c r="AAX78" s="165"/>
      <c r="AAY78" s="165"/>
      <c r="AAZ78" s="165"/>
      <c r="ABA78" s="165"/>
      <c r="ABB78" s="165"/>
      <c r="ABC78" s="165"/>
      <c r="ABD78" s="165"/>
      <c r="ABE78" s="165"/>
      <c r="ABF78" s="165"/>
      <c r="ABG78" s="165"/>
      <c r="ABH78" s="165"/>
      <c r="ABI78" s="165"/>
      <c r="ABJ78" s="165"/>
      <c r="ABK78" s="165"/>
      <c r="ABL78" s="165"/>
      <c r="ABM78" s="165"/>
      <c r="ABN78" s="165"/>
      <c r="ABO78" s="165"/>
      <c r="ABP78" s="165"/>
      <c r="ABQ78" s="165"/>
      <c r="ABR78" s="165"/>
      <c r="ABS78" s="165"/>
      <c r="ABT78" s="165"/>
      <c r="ABU78" s="165"/>
      <c r="ABV78" s="165"/>
      <c r="ABW78" s="165"/>
      <c r="ABX78" s="165"/>
      <c r="ABY78" s="165"/>
      <c r="ABZ78" s="165"/>
      <c r="ACA78" s="165"/>
      <c r="ACB78" s="165"/>
      <c r="ACC78" s="165"/>
      <c r="ACD78" s="165"/>
      <c r="ACE78" s="165"/>
      <c r="ACF78" s="165"/>
      <c r="ACG78" s="165"/>
      <c r="ACH78" s="165"/>
      <c r="ACI78" s="165"/>
      <c r="ACJ78" s="165"/>
      <c r="ACK78" s="165"/>
      <c r="ACL78" s="165"/>
      <c r="ACM78" s="165"/>
      <c r="ACN78" s="165"/>
      <c r="ACO78" s="165"/>
      <c r="ACP78" s="165"/>
      <c r="ACQ78" s="165"/>
      <c r="ACR78" s="165"/>
      <c r="ACS78" s="165"/>
      <c r="ACT78" s="165"/>
      <c r="ACU78" s="165"/>
      <c r="ACV78" s="165"/>
      <c r="ACW78" s="165"/>
      <c r="ACX78" s="165"/>
      <c r="ACY78" s="165"/>
      <c r="ACZ78" s="165"/>
      <c r="ADA78" s="165"/>
      <c r="ADB78" s="165"/>
      <c r="ADC78" s="165"/>
      <c r="ADD78" s="165"/>
      <c r="ADE78" s="165"/>
      <c r="ADF78" s="165"/>
      <c r="ADG78" s="165"/>
      <c r="ADH78" s="165"/>
      <c r="ADI78" s="165"/>
      <c r="ADJ78" s="165"/>
      <c r="ADK78" s="165"/>
      <c r="ADL78" s="165"/>
      <c r="ADM78" s="165"/>
      <c r="ADN78" s="165"/>
      <c r="ADO78" s="165"/>
      <c r="ADP78" s="165"/>
      <c r="ADQ78" s="165"/>
      <c r="ADR78" s="165"/>
      <c r="ADS78" s="165"/>
      <c r="ADT78" s="165"/>
      <c r="ADU78" s="165"/>
      <c r="ADV78" s="165"/>
      <c r="ADW78" s="165"/>
      <c r="ADX78" s="165"/>
      <c r="ADY78" s="165"/>
      <c r="ADZ78" s="165"/>
      <c r="AEA78" s="165"/>
      <c r="AEB78" s="165"/>
      <c r="AEC78" s="165"/>
      <c r="AED78" s="165"/>
      <c r="AEE78" s="165"/>
      <c r="AEF78" s="165"/>
      <c r="AEG78" s="165"/>
      <c r="AEH78" s="165"/>
      <c r="AEI78" s="165"/>
      <c r="AEJ78" s="165"/>
      <c r="AEK78" s="165"/>
      <c r="AEL78" s="165"/>
      <c r="AEM78" s="165"/>
      <c r="AEN78" s="165"/>
      <c r="AEO78" s="165"/>
      <c r="AEP78" s="165"/>
      <c r="AEQ78" s="165"/>
      <c r="AER78" s="165"/>
      <c r="AES78" s="165"/>
      <c r="AET78" s="165"/>
      <c r="AEU78" s="165"/>
      <c r="AEV78" s="165"/>
      <c r="AEW78" s="165"/>
      <c r="AEX78" s="165"/>
      <c r="AEY78" s="165"/>
      <c r="AEZ78" s="165"/>
      <c r="AFA78" s="165"/>
      <c r="AFB78" s="165"/>
      <c r="AFC78" s="165"/>
      <c r="AFD78" s="165"/>
      <c r="AFE78" s="165"/>
      <c r="AFF78" s="165"/>
      <c r="AFG78" s="165"/>
      <c r="AFH78" s="165"/>
      <c r="AFI78" s="165"/>
      <c r="AFJ78" s="165"/>
      <c r="AFK78" s="165"/>
      <c r="AFL78" s="165"/>
      <c r="AFM78" s="165"/>
      <c r="AFN78" s="165"/>
      <c r="AFO78" s="165"/>
      <c r="AFP78" s="165"/>
      <c r="AFQ78" s="165"/>
      <c r="AFR78" s="165"/>
      <c r="AFS78" s="165"/>
      <c r="AFT78" s="165"/>
      <c r="AFU78" s="165"/>
      <c r="AFV78" s="165"/>
      <c r="AFW78" s="165"/>
      <c r="AFX78" s="165"/>
      <c r="AFY78" s="165"/>
      <c r="AFZ78" s="165"/>
      <c r="AGA78" s="165"/>
      <c r="AGB78" s="165"/>
      <c r="AGC78" s="165"/>
      <c r="AGD78" s="165"/>
      <c r="AGE78" s="165"/>
      <c r="AGF78" s="165"/>
      <c r="AGG78" s="165"/>
      <c r="AGH78" s="165"/>
      <c r="AGI78" s="165"/>
      <c r="AGJ78" s="165"/>
      <c r="AGK78" s="165"/>
      <c r="AGL78" s="165"/>
      <c r="AGM78" s="165"/>
      <c r="AGN78" s="165"/>
      <c r="AGO78" s="165"/>
      <c r="AGP78" s="165"/>
      <c r="AGQ78" s="165"/>
      <c r="AGR78" s="165"/>
      <c r="AGS78" s="165"/>
      <c r="AGT78" s="165"/>
      <c r="AGU78" s="165"/>
      <c r="AGV78" s="165"/>
      <c r="AGW78" s="165"/>
      <c r="AGX78" s="165"/>
      <c r="AGY78" s="165"/>
      <c r="AGZ78" s="165"/>
      <c r="AHA78" s="165"/>
      <c r="AHB78" s="165"/>
      <c r="AHC78" s="165"/>
      <c r="AHD78" s="165"/>
      <c r="AHE78" s="165"/>
      <c r="AHF78" s="165"/>
      <c r="AHG78" s="165"/>
      <c r="AHH78" s="165"/>
      <c r="AHI78" s="165"/>
      <c r="AHJ78" s="165"/>
      <c r="AHK78" s="165"/>
      <c r="AHL78" s="165"/>
      <c r="AHM78" s="165"/>
      <c r="AHN78" s="165"/>
      <c r="AHO78" s="165"/>
      <c r="AHP78" s="165"/>
      <c r="AHQ78" s="165"/>
      <c r="AHR78" s="165"/>
      <c r="AHS78" s="165"/>
      <c r="AHT78" s="165"/>
      <c r="AHU78" s="165"/>
      <c r="AHV78" s="165"/>
      <c r="AHW78" s="165"/>
      <c r="AHX78" s="165"/>
      <c r="AHY78" s="165"/>
      <c r="AHZ78" s="165"/>
      <c r="AIA78" s="165"/>
      <c r="AIB78" s="165"/>
      <c r="AIC78" s="165"/>
      <c r="AID78" s="165"/>
      <c r="AIE78" s="165"/>
      <c r="AIF78" s="165"/>
      <c r="AIG78" s="165"/>
      <c r="AIH78" s="165"/>
      <c r="AII78" s="165"/>
      <c r="AIJ78" s="165"/>
      <c r="AIK78" s="165"/>
      <c r="AIL78" s="165"/>
      <c r="AIM78" s="165"/>
      <c r="AIN78" s="165"/>
      <c r="AIO78" s="165"/>
      <c r="AIP78" s="165"/>
      <c r="AIQ78" s="165"/>
      <c r="AIR78" s="165"/>
      <c r="AIS78" s="165"/>
      <c r="AIT78" s="165"/>
      <c r="AIU78" s="165"/>
      <c r="AIV78" s="165"/>
      <c r="AIW78" s="165"/>
      <c r="AIX78" s="165"/>
      <c r="AIY78" s="165"/>
      <c r="AIZ78" s="165"/>
      <c r="AJA78" s="165"/>
      <c r="AJB78" s="165"/>
      <c r="AJC78" s="165"/>
      <c r="AJD78" s="165"/>
      <c r="AJE78" s="165"/>
      <c r="AJF78" s="165"/>
      <c r="AJG78" s="165"/>
      <c r="AJH78" s="165"/>
      <c r="AJI78" s="165"/>
      <c r="AJJ78" s="165"/>
      <c r="AJK78" s="165"/>
      <c r="AJL78" s="165"/>
      <c r="AJM78" s="165"/>
      <c r="AJN78" s="165"/>
      <c r="AJO78" s="165"/>
      <c r="AJP78" s="165"/>
      <c r="AJQ78" s="165"/>
      <c r="AJR78" s="165"/>
      <c r="AJS78" s="165"/>
      <c r="AJT78" s="165"/>
      <c r="AJU78" s="165"/>
      <c r="AJV78" s="165"/>
      <c r="AJW78" s="165"/>
      <c r="AJX78" s="165"/>
      <c r="AJY78" s="165"/>
      <c r="AJZ78" s="165"/>
      <c r="AKA78" s="165"/>
      <c r="AKB78" s="165"/>
      <c r="AKC78" s="165"/>
      <c r="AKD78" s="165"/>
      <c r="AKE78" s="165"/>
      <c r="AKF78" s="165"/>
      <c r="AKG78" s="165"/>
      <c r="AKH78" s="165"/>
      <c r="AKI78" s="165"/>
      <c r="AKJ78" s="165"/>
      <c r="AKK78" s="165"/>
      <c r="AKL78" s="165"/>
      <c r="AKM78" s="165"/>
      <c r="AKN78" s="165"/>
      <c r="AKO78" s="165"/>
      <c r="AKP78" s="165"/>
      <c r="AKQ78" s="165"/>
      <c r="AKR78" s="165"/>
      <c r="AKS78" s="165"/>
      <c r="AKT78" s="165"/>
      <c r="AKU78" s="165"/>
      <c r="AKV78" s="165"/>
      <c r="AKW78" s="165"/>
      <c r="AKX78" s="165"/>
      <c r="AKY78" s="165"/>
      <c r="AKZ78" s="165"/>
      <c r="ALA78" s="165"/>
      <c r="ALB78" s="165"/>
      <c r="ALC78" s="165"/>
      <c r="ALD78" s="165"/>
      <c r="ALE78" s="165"/>
      <c r="ALF78" s="165"/>
      <c r="ALG78" s="165"/>
      <c r="ALH78" s="165"/>
      <c r="ALI78" s="165"/>
      <c r="ALJ78" s="165"/>
      <c r="ALK78" s="165"/>
      <c r="ALL78" s="165"/>
      <c r="ALM78" s="165"/>
      <c r="ALN78" s="165"/>
      <c r="ALO78" s="165"/>
      <c r="ALP78" s="165"/>
      <c r="ALQ78" s="165"/>
      <c r="ALR78" s="165"/>
      <c r="ALS78" s="165"/>
      <c r="ALT78" s="165"/>
      <c r="ALU78" s="165"/>
      <c r="ALV78" s="165"/>
      <c r="ALW78" s="165"/>
      <c r="ALX78" s="165"/>
      <c r="ALY78" s="165"/>
      <c r="ALZ78" s="165"/>
      <c r="AMA78" s="165"/>
      <c r="AMB78" s="165"/>
      <c r="AMC78" s="165"/>
      <c r="AMD78" s="165"/>
      <c r="AME78" s="165"/>
      <c r="AMF78" s="165"/>
      <c r="AMG78" s="165"/>
      <c r="AMH78" s="165"/>
      <c r="AMI78" s="165"/>
      <c r="AMJ78" s="165"/>
      <c r="AMK78" s="165"/>
      <c r="AML78" s="165"/>
      <c r="AMM78" s="165"/>
      <c r="AMN78" s="165"/>
      <c r="AMO78" s="165"/>
      <c r="AMP78" s="165"/>
      <c r="AMQ78" s="165"/>
      <c r="AMR78" s="165"/>
      <c r="AMS78" s="165"/>
      <c r="AMT78" s="165"/>
      <c r="AMU78" s="165"/>
      <c r="AMV78" s="165"/>
      <c r="AMW78" s="165"/>
      <c r="AMX78" s="165"/>
      <c r="AMY78" s="165"/>
      <c r="AMZ78" s="165"/>
      <c r="ANA78" s="165"/>
      <c r="ANB78" s="165"/>
      <c r="ANC78" s="165"/>
      <c r="AND78" s="165"/>
      <c r="ANE78" s="165"/>
      <c r="ANF78" s="165"/>
      <c r="ANG78" s="165"/>
      <c r="ANH78" s="165"/>
      <c r="ANI78" s="165"/>
      <c r="ANJ78" s="165"/>
      <c r="ANK78" s="165"/>
      <c r="ANL78" s="165"/>
      <c r="ANM78" s="165"/>
      <c r="ANN78" s="165"/>
      <c r="ANO78" s="165"/>
      <c r="ANP78" s="165"/>
      <c r="ANQ78" s="165"/>
      <c r="ANR78" s="165"/>
      <c r="ANS78" s="165"/>
      <c r="ANT78" s="165"/>
      <c r="ANU78" s="165"/>
      <c r="ANV78" s="165"/>
      <c r="ANW78" s="165"/>
      <c r="ANX78" s="165"/>
      <c r="ANY78" s="165"/>
      <c r="ANZ78" s="165"/>
      <c r="AOA78" s="165"/>
      <c r="AOB78" s="165"/>
      <c r="AOC78" s="165"/>
      <c r="AOD78" s="165"/>
      <c r="AOE78" s="165"/>
      <c r="AOF78" s="165"/>
      <c r="AOG78" s="165"/>
      <c r="AOH78" s="165"/>
      <c r="AOI78" s="165"/>
      <c r="AOJ78" s="165"/>
      <c r="AOK78" s="165"/>
      <c r="AOL78" s="165"/>
      <c r="AOM78" s="165"/>
      <c r="AON78" s="165"/>
      <c r="AOO78" s="165"/>
      <c r="AOP78" s="165"/>
      <c r="AOQ78" s="165"/>
      <c r="AOR78" s="165"/>
      <c r="AOS78" s="165"/>
      <c r="AOT78" s="165"/>
      <c r="AOU78" s="165"/>
      <c r="AOV78" s="165"/>
      <c r="AOW78" s="165"/>
      <c r="AOX78" s="165"/>
      <c r="AOY78" s="165"/>
      <c r="AOZ78" s="165"/>
      <c r="APA78" s="165"/>
      <c r="APB78" s="165"/>
      <c r="APC78" s="165"/>
      <c r="APD78" s="165"/>
      <c r="APE78" s="165"/>
      <c r="APF78" s="165"/>
      <c r="APG78" s="165"/>
      <c r="APH78" s="165"/>
      <c r="API78" s="165"/>
      <c r="APJ78" s="165"/>
      <c r="APK78" s="165"/>
      <c r="APL78" s="165"/>
      <c r="APM78" s="165"/>
      <c r="APN78" s="165"/>
      <c r="APO78" s="165"/>
      <c r="APP78" s="165"/>
      <c r="APQ78" s="165"/>
      <c r="APR78" s="165"/>
      <c r="APS78" s="165"/>
      <c r="APT78" s="165"/>
      <c r="APU78" s="165"/>
      <c r="APV78" s="165"/>
      <c r="APW78" s="165"/>
      <c r="APX78" s="165"/>
      <c r="APY78" s="165"/>
      <c r="APZ78" s="165"/>
      <c r="AQA78" s="165"/>
      <c r="AQB78" s="165"/>
      <c r="AQC78" s="165"/>
      <c r="AQD78" s="165"/>
      <c r="AQE78" s="165"/>
      <c r="AQF78" s="165"/>
      <c r="AQG78" s="165"/>
      <c r="AQH78" s="165"/>
      <c r="AQI78" s="165"/>
      <c r="AQJ78" s="165"/>
      <c r="AQK78" s="165"/>
      <c r="AQL78" s="165"/>
      <c r="AQM78" s="165"/>
      <c r="AQN78" s="165"/>
      <c r="AQO78" s="165"/>
      <c r="AQP78" s="165"/>
      <c r="AQQ78" s="165"/>
      <c r="AQR78" s="165"/>
      <c r="AQS78" s="165"/>
      <c r="AQT78" s="165"/>
      <c r="AQU78" s="165"/>
      <c r="AQV78" s="165"/>
      <c r="AQW78" s="165"/>
      <c r="AQX78" s="165"/>
      <c r="AQY78" s="165"/>
      <c r="AQZ78" s="165"/>
      <c r="ARA78" s="165"/>
      <c r="ARB78" s="165"/>
      <c r="ARC78" s="165"/>
      <c r="ARD78" s="165"/>
      <c r="ARE78" s="165"/>
      <c r="ARF78" s="165"/>
      <c r="ARG78" s="165"/>
      <c r="ARH78" s="165"/>
      <c r="ARI78" s="165"/>
      <c r="ARJ78" s="165"/>
      <c r="ARK78" s="165"/>
      <c r="ARL78" s="165"/>
      <c r="ARM78" s="165"/>
      <c r="ARN78" s="165"/>
      <c r="ARO78" s="165"/>
      <c r="ARP78" s="165"/>
      <c r="ARQ78" s="165"/>
      <c r="ARR78" s="165"/>
      <c r="ARS78" s="165"/>
      <c r="ART78" s="165"/>
      <c r="ARU78" s="165"/>
      <c r="ARV78" s="165"/>
      <c r="ARW78" s="165"/>
      <c r="ARX78" s="165"/>
      <c r="ARY78" s="165"/>
      <c r="ARZ78" s="165"/>
      <c r="ASA78" s="165"/>
      <c r="ASB78" s="165"/>
      <c r="ASC78" s="165"/>
      <c r="ASD78" s="165"/>
      <c r="ASE78" s="165"/>
      <c r="ASF78" s="165"/>
      <c r="ASG78" s="165"/>
      <c r="ASH78" s="165"/>
      <c r="ASI78" s="165"/>
      <c r="ASJ78" s="165"/>
      <c r="ASK78" s="165"/>
      <c r="ASL78" s="165"/>
      <c r="ASM78" s="165"/>
      <c r="ASN78" s="165"/>
      <c r="ASO78" s="165"/>
      <c r="ASP78" s="165"/>
      <c r="ASQ78" s="165"/>
      <c r="ASR78" s="165"/>
      <c r="ASS78" s="165"/>
      <c r="AST78" s="165"/>
      <c r="ASU78" s="165"/>
      <c r="ASV78" s="165"/>
      <c r="ASW78" s="165"/>
      <c r="ASX78" s="165"/>
      <c r="ASY78" s="165"/>
      <c r="ASZ78" s="165"/>
      <c r="ATA78" s="165"/>
      <c r="ATB78" s="165"/>
      <c r="ATC78" s="165"/>
      <c r="ATD78" s="165"/>
      <c r="ATE78" s="165"/>
      <c r="ATF78" s="165"/>
      <c r="ATG78" s="165"/>
      <c r="ATH78" s="165"/>
      <c r="ATI78" s="165"/>
      <c r="ATJ78" s="165"/>
      <c r="ATK78" s="165"/>
      <c r="ATL78" s="165"/>
      <c r="ATM78" s="165"/>
      <c r="ATN78" s="165"/>
      <c r="ATO78" s="165"/>
      <c r="ATP78" s="165"/>
      <c r="ATQ78" s="165"/>
      <c r="ATR78" s="165"/>
      <c r="ATS78" s="165"/>
      <c r="ATT78" s="165"/>
      <c r="ATU78" s="165"/>
      <c r="ATV78" s="165"/>
      <c r="ATW78" s="165"/>
      <c r="ATX78" s="165"/>
      <c r="ATY78" s="165"/>
      <c r="ATZ78" s="165"/>
      <c r="AUA78" s="165"/>
      <c r="AUB78" s="165"/>
      <c r="AUC78" s="165"/>
      <c r="AUD78" s="165"/>
      <c r="AUE78" s="165"/>
      <c r="AUF78" s="165"/>
      <c r="AUG78" s="165"/>
      <c r="AUH78" s="165"/>
      <c r="AUI78" s="165"/>
      <c r="AUJ78" s="165"/>
      <c r="AUK78" s="165"/>
      <c r="AUL78" s="165"/>
      <c r="AUM78" s="165"/>
      <c r="AUN78" s="165"/>
      <c r="AUO78" s="165"/>
      <c r="AUP78" s="165"/>
      <c r="AUQ78" s="165"/>
      <c r="AUR78" s="165"/>
      <c r="AUS78" s="165"/>
      <c r="AUT78" s="165"/>
      <c r="AUU78" s="165"/>
      <c r="AUV78" s="165"/>
      <c r="AUW78" s="165"/>
      <c r="AUX78" s="165"/>
      <c r="AUY78" s="165"/>
      <c r="AUZ78" s="165"/>
      <c r="AVA78" s="165"/>
      <c r="AVB78" s="165"/>
      <c r="AVC78" s="165"/>
      <c r="AVD78" s="165"/>
      <c r="AVE78" s="165"/>
      <c r="AVF78" s="165"/>
      <c r="AVG78" s="165"/>
      <c r="AVH78" s="165"/>
      <c r="AVI78" s="165"/>
      <c r="AVJ78" s="165"/>
      <c r="AVK78" s="165"/>
      <c r="AVL78" s="165"/>
      <c r="AVM78" s="165"/>
      <c r="AVN78" s="165"/>
      <c r="AVO78" s="165"/>
      <c r="AVP78" s="165"/>
      <c r="AVQ78" s="165"/>
      <c r="AVR78" s="165"/>
      <c r="AVS78" s="165"/>
      <c r="AVT78" s="165"/>
      <c r="AVU78" s="165"/>
      <c r="AVV78" s="165"/>
      <c r="AVW78" s="165"/>
      <c r="AVX78" s="165"/>
      <c r="AVY78" s="165"/>
      <c r="AVZ78" s="165"/>
      <c r="AWA78" s="165"/>
      <c r="AWB78" s="165"/>
      <c r="AWC78" s="165"/>
      <c r="AWD78" s="165"/>
      <c r="AWE78" s="165"/>
      <c r="AWF78" s="165"/>
      <c r="AWG78" s="165"/>
      <c r="AWH78" s="165"/>
      <c r="AWI78" s="165"/>
      <c r="AWJ78" s="165"/>
      <c r="AWK78" s="165"/>
      <c r="AWL78" s="165"/>
      <c r="AWM78" s="165"/>
      <c r="AWN78" s="165"/>
      <c r="AWO78" s="165"/>
      <c r="AWP78" s="165"/>
      <c r="AWQ78" s="165"/>
      <c r="AWR78" s="165"/>
      <c r="AWS78" s="165"/>
      <c r="AWT78" s="165"/>
      <c r="AWU78" s="165"/>
      <c r="AWV78" s="165"/>
      <c r="AWW78" s="165"/>
      <c r="AWX78" s="165"/>
      <c r="AWY78" s="165"/>
      <c r="AWZ78" s="165"/>
      <c r="AXA78" s="165"/>
      <c r="AXB78" s="165"/>
      <c r="AXC78" s="165"/>
      <c r="AXD78" s="165"/>
      <c r="AXE78" s="165"/>
      <c r="AXF78" s="165"/>
      <c r="AXG78" s="165"/>
      <c r="AXH78" s="165"/>
      <c r="AXI78" s="165"/>
      <c r="AXJ78" s="165"/>
      <c r="AXK78" s="165"/>
      <c r="AXL78" s="165"/>
      <c r="AXM78" s="165"/>
      <c r="AXN78" s="165"/>
      <c r="AXO78" s="165"/>
      <c r="AXP78" s="165"/>
      <c r="AXQ78" s="165"/>
      <c r="AXR78" s="165"/>
      <c r="AXS78" s="165"/>
      <c r="AXT78" s="165"/>
      <c r="AXU78" s="165"/>
      <c r="AXV78" s="165"/>
      <c r="AXW78" s="165"/>
      <c r="AXX78" s="165"/>
      <c r="AXY78" s="165"/>
      <c r="AXZ78" s="165"/>
      <c r="AYA78" s="165"/>
      <c r="AYB78" s="165"/>
      <c r="AYC78" s="165"/>
      <c r="AYD78" s="165"/>
      <c r="AYE78" s="165"/>
      <c r="AYF78" s="165"/>
      <c r="AYG78" s="165"/>
      <c r="AYH78" s="165"/>
      <c r="AYI78" s="165"/>
      <c r="AYJ78" s="165"/>
      <c r="AYK78" s="165"/>
      <c r="AYL78" s="165"/>
      <c r="AYM78" s="165"/>
      <c r="AYN78" s="165"/>
      <c r="AYO78" s="165"/>
      <c r="AYP78" s="165"/>
      <c r="AYQ78" s="165"/>
      <c r="AYR78" s="165"/>
      <c r="AYS78" s="165"/>
      <c r="AYT78" s="165"/>
      <c r="AYU78" s="165"/>
      <c r="AYV78" s="165"/>
      <c r="AYW78" s="165"/>
      <c r="AYX78" s="165"/>
      <c r="AYY78" s="165"/>
      <c r="AYZ78" s="165"/>
      <c r="AZA78" s="165"/>
      <c r="AZB78" s="165"/>
      <c r="AZC78" s="165"/>
      <c r="AZD78" s="165"/>
      <c r="AZE78" s="165"/>
      <c r="AZF78" s="165"/>
      <c r="AZG78" s="165"/>
      <c r="AZH78" s="165"/>
      <c r="AZI78" s="165"/>
      <c r="AZJ78" s="165"/>
      <c r="AZK78" s="165"/>
      <c r="AZL78" s="165"/>
      <c r="AZM78" s="165"/>
      <c r="AZN78" s="165"/>
      <c r="AZO78" s="165"/>
      <c r="AZP78" s="165"/>
      <c r="AZQ78" s="165"/>
      <c r="AZR78" s="165"/>
      <c r="AZS78" s="165"/>
      <c r="AZT78" s="165"/>
      <c r="AZU78" s="165"/>
      <c r="AZV78" s="165"/>
      <c r="AZW78" s="165"/>
      <c r="AZX78" s="165"/>
      <c r="AZY78" s="165"/>
      <c r="AZZ78" s="165"/>
      <c r="BAA78" s="165"/>
      <c r="BAB78" s="165"/>
      <c r="BAC78" s="165"/>
      <c r="BAD78" s="165"/>
      <c r="BAE78" s="165"/>
      <c r="BAF78" s="165"/>
      <c r="BAG78" s="165"/>
      <c r="BAH78" s="165"/>
      <c r="BAI78" s="165"/>
      <c r="BAJ78" s="165"/>
      <c r="BAK78" s="165"/>
      <c r="BAL78" s="165"/>
      <c r="BAM78" s="165"/>
      <c r="BAN78" s="165"/>
      <c r="BAO78" s="165"/>
      <c r="BAP78" s="165"/>
      <c r="BAQ78" s="165"/>
      <c r="BAR78" s="165"/>
      <c r="BAS78" s="165"/>
      <c r="BAT78" s="165"/>
      <c r="BAU78" s="165"/>
      <c r="BAV78" s="165"/>
      <c r="BAW78" s="165"/>
      <c r="BAX78" s="165"/>
      <c r="BAY78" s="165"/>
      <c r="BAZ78" s="165"/>
      <c r="BBA78" s="165"/>
      <c r="BBB78" s="165"/>
      <c r="BBC78" s="165"/>
      <c r="BBD78" s="165"/>
      <c r="BBE78" s="165"/>
      <c r="BBF78" s="165"/>
      <c r="BBG78" s="165"/>
      <c r="BBH78" s="165"/>
      <c r="BBI78" s="165"/>
      <c r="BBJ78" s="165"/>
      <c r="BBK78" s="165"/>
      <c r="BBL78" s="165"/>
      <c r="BBM78" s="165"/>
      <c r="BBN78" s="165"/>
      <c r="BBO78" s="165"/>
      <c r="BBP78" s="165"/>
      <c r="BBQ78" s="165"/>
      <c r="BBR78" s="165"/>
      <c r="BBS78" s="165"/>
      <c r="BBT78" s="165"/>
      <c r="BBU78" s="165"/>
      <c r="BBV78" s="165"/>
      <c r="BBW78" s="165"/>
      <c r="BBX78" s="165"/>
      <c r="BBY78" s="165"/>
      <c r="BBZ78" s="165"/>
      <c r="BCA78" s="165"/>
      <c r="BCB78" s="165"/>
      <c r="BCC78" s="165"/>
      <c r="BCD78" s="165"/>
      <c r="BCE78" s="165"/>
      <c r="BCF78" s="165"/>
      <c r="BCG78" s="165"/>
      <c r="BCH78" s="165"/>
      <c r="BCI78" s="165"/>
      <c r="BCJ78" s="165"/>
      <c r="BCK78" s="165"/>
      <c r="BCL78" s="165"/>
      <c r="BCM78" s="165"/>
      <c r="BCN78" s="165"/>
      <c r="BCO78" s="165"/>
      <c r="BCP78" s="165"/>
      <c r="BCQ78" s="165"/>
      <c r="BCR78" s="165"/>
      <c r="BCS78" s="165"/>
      <c r="BCT78" s="165"/>
      <c r="BCU78" s="165"/>
      <c r="BCV78" s="165"/>
      <c r="BCW78" s="165"/>
      <c r="BCX78" s="165"/>
      <c r="BCY78" s="165"/>
      <c r="BCZ78" s="165"/>
      <c r="BDA78" s="165"/>
      <c r="BDB78" s="165"/>
      <c r="BDC78" s="165"/>
      <c r="BDD78" s="165"/>
      <c r="BDE78" s="165"/>
      <c r="BDF78" s="165"/>
      <c r="BDG78" s="165"/>
      <c r="BDH78" s="165"/>
      <c r="BDI78" s="165"/>
      <c r="BDJ78" s="165"/>
      <c r="BDK78" s="165"/>
      <c r="BDL78" s="165"/>
      <c r="BDM78" s="165"/>
      <c r="BDN78" s="165"/>
      <c r="BDO78" s="165"/>
      <c r="BDP78" s="165"/>
      <c r="BDQ78" s="165"/>
      <c r="BDR78" s="165"/>
      <c r="BDS78" s="165"/>
      <c r="BDT78" s="165"/>
      <c r="BDU78" s="165"/>
      <c r="BDV78" s="165"/>
      <c r="BDW78" s="165"/>
      <c r="BDX78" s="165"/>
      <c r="BDY78" s="165"/>
      <c r="BDZ78" s="165"/>
      <c r="BEA78" s="165"/>
      <c r="BEB78" s="165"/>
      <c r="BEC78" s="165"/>
      <c r="BED78" s="165"/>
      <c r="BEE78" s="165"/>
      <c r="BEF78" s="165"/>
      <c r="BEG78" s="165"/>
      <c r="BEH78" s="165"/>
      <c r="BEI78" s="165"/>
      <c r="BEJ78" s="165"/>
      <c r="BEK78" s="165"/>
      <c r="BEL78" s="165"/>
      <c r="BEM78" s="165"/>
      <c r="BEN78" s="165"/>
      <c r="BEO78" s="165"/>
      <c r="BEP78" s="165"/>
      <c r="BEQ78" s="165"/>
      <c r="BER78" s="165"/>
      <c r="BES78" s="165"/>
      <c r="BET78" s="165"/>
      <c r="BEU78" s="165"/>
      <c r="BEV78" s="165"/>
      <c r="BEW78" s="165"/>
      <c r="BEX78" s="165"/>
      <c r="BEY78" s="165"/>
      <c r="BEZ78" s="165"/>
      <c r="BFA78" s="165"/>
      <c r="BFB78" s="165"/>
      <c r="BFC78" s="165"/>
      <c r="BFD78" s="165"/>
      <c r="BFE78" s="165"/>
      <c r="BFF78" s="165"/>
      <c r="BFG78" s="165"/>
      <c r="BFH78" s="165"/>
      <c r="BFI78" s="165"/>
      <c r="BFJ78" s="165"/>
      <c r="BFK78" s="165"/>
      <c r="BFL78" s="165"/>
      <c r="BFM78" s="165"/>
      <c r="BFN78" s="165"/>
      <c r="BFO78" s="165"/>
      <c r="BFP78" s="165"/>
      <c r="BFQ78" s="165"/>
      <c r="BFR78" s="165"/>
      <c r="BFS78" s="165"/>
      <c r="BFT78" s="165"/>
      <c r="BFU78" s="165"/>
      <c r="BFV78" s="165"/>
      <c r="BFW78" s="165"/>
      <c r="BFX78" s="165"/>
      <c r="BFY78" s="165"/>
      <c r="BFZ78" s="165"/>
      <c r="BGA78" s="165"/>
      <c r="BGB78" s="165"/>
      <c r="BGC78" s="165"/>
      <c r="BGD78" s="165"/>
      <c r="BGE78" s="165"/>
      <c r="BGF78" s="165"/>
      <c r="BGG78" s="165"/>
      <c r="BGH78" s="165"/>
      <c r="BGI78" s="165"/>
      <c r="BGJ78" s="165"/>
      <c r="BGK78" s="165"/>
      <c r="BGL78" s="165"/>
      <c r="BGM78" s="165"/>
      <c r="BGN78" s="165"/>
      <c r="BGO78" s="165"/>
      <c r="BGP78" s="165"/>
      <c r="BGQ78" s="165"/>
      <c r="BGR78" s="165"/>
      <c r="BGS78" s="165"/>
      <c r="BGT78" s="165"/>
      <c r="BGU78" s="165"/>
      <c r="BGV78" s="165"/>
      <c r="BGW78" s="165"/>
      <c r="BGX78" s="165"/>
      <c r="BGY78" s="165"/>
      <c r="BGZ78" s="165"/>
      <c r="BHA78" s="165"/>
      <c r="BHB78" s="165"/>
      <c r="BHC78" s="165"/>
      <c r="BHD78" s="165"/>
      <c r="BHE78" s="165"/>
      <c r="BHF78" s="165"/>
      <c r="BHG78" s="165"/>
      <c r="BHH78" s="165"/>
      <c r="BHI78" s="165"/>
      <c r="BHJ78" s="165"/>
      <c r="BHK78" s="165"/>
      <c r="BHL78" s="165"/>
      <c r="BHM78" s="165"/>
      <c r="BHN78" s="165"/>
      <c r="BHO78" s="165"/>
      <c r="BHP78" s="165"/>
      <c r="BHQ78" s="165"/>
      <c r="BHR78" s="165"/>
      <c r="BHS78" s="165"/>
      <c r="BHT78" s="165"/>
      <c r="BHU78" s="165"/>
      <c r="BHV78" s="165"/>
      <c r="BHW78" s="165"/>
      <c r="BHX78" s="165"/>
      <c r="BHY78" s="165"/>
      <c r="BHZ78" s="165"/>
      <c r="BIA78" s="165"/>
      <c r="BIB78" s="165"/>
      <c r="BIC78" s="165"/>
      <c r="BID78" s="165"/>
      <c r="BIE78" s="165"/>
      <c r="BIF78" s="165"/>
      <c r="BIG78" s="165"/>
      <c r="BIH78" s="165"/>
      <c r="BII78" s="165"/>
      <c r="BIJ78" s="165"/>
      <c r="BIK78" s="165"/>
      <c r="BIL78" s="165"/>
      <c r="BIM78" s="165"/>
      <c r="BIN78" s="165"/>
      <c r="BIO78" s="165"/>
      <c r="BIP78" s="165"/>
      <c r="BIQ78" s="165"/>
      <c r="BIR78" s="165"/>
      <c r="BIS78" s="165"/>
      <c r="BIT78" s="165"/>
      <c r="BIU78" s="165"/>
      <c r="BIV78" s="165"/>
      <c r="BIW78" s="165"/>
      <c r="BIX78" s="165"/>
      <c r="BIY78" s="165"/>
      <c r="BIZ78" s="165"/>
      <c r="BJA78" s="165"/>
      <c r="BJB78" s="165"/>
      <c r="BJC78" s="165"/>
      <c r="BJD78" s="165"/>
      <c r="BJE78" s="165"/>
      <c r="BJF78" s="165"/>
      <c r="BJG78" s="165"/>
      <c r="BJH78" s="165"/>
      <c r="BJI78" s="165"/>
      <c r="BJJ78" s="165"/>
      <c r="BJK78" s="165"/>
      <c r="BJL78" s="165"/>
      <c r="BJM78" s="165"/>
      <c r="BJN78" s="165"/>
      <c r="BJO78" s="165"/>
      <c r="BJP78" s="165"/>
      <c r="BJQ78" s="165"/>
      <c r="BJR78" s="165"/>
      <c r="BJS78" s="165"/>
      <c r="BJT78" s="165"/>
      <c r="BJU78" s="165"/>
      <c r="BJV78" s="165"/>
      <c r="BJW78" s="165"/>
      <c r="BJX78" s="165"/>
      <c r="BJY78" s="165"/>
      <c r="BJZ78" s="165"/>
      <c r="BKA78" s="165"/>
      <c r="BKB78" s="165"/>
      <c r="BKC78" s="165"/>
      <c r="BKD78" s="165"/>
      <c r="BKE78" s="165"/>
      <c r="BKF78" s="165"/>
      <c r="BKG78" s="165"/>
      <c r="BKH78" s="165"/>
      <c r="BKI78" s="165"/>
      <c r="BKJ78" s="165"/>
      <c r="BKK78" s="165"/>
      <c r="BKL78" s="165"/>
      <c r="BKM78" s="165"/>
      <c r="BKN78" s="165"/>
      <c r="BKO78" s="165"/>
      <c r="BKP78" s="165"/>
      <c r="BKQ78" s="165"/>
      <c r="BKR78" s="165"/>
      <c r="BKS78" s="165"/>
      <c r="BKT78" s="165"/>
      <c r="BKU78" s="165"/>
      <c r="BKV78" s="165"/>
      <c r="BKW78" s="165"/>
      <c r="BKX78" s="165"/>
      <c r="BKY78" s="165"/>
      <c r="BKZ78" s="165"/>
      <c r="BLA78" s="165"/>
      <c r="BLB78" s="165"/>
      <c r="BLC78" s="165"/>
      <c r="BLD78" s="165"/>
      <c r="BLE78" s="165"/>
      <c r="BLF78" s="165"/>
      <c r="BLG78" s="165"/>
      <c r="BLH78" s="165"/>
      <c r="BLI78" s="165"/>
      <c r="BLJ78" s="165"/>
      <c r="BLK78" s="165"/>
      <c r="BLL78" s="165"/>
      <c r="BLM78" s="165"/>
      <c r="BLN78" s="165"/>
      <c r="BLO78" s="165"/>
      <c r="BLP78" s="165"/>
      <c r="BLQ78" s="165"/>
      <c r="BLR78" s="165"/>
      <c r="BLS78" s="165"/>
      <c r="BLT78" s="165"/>
      <c r="BLU78" s="165"/>
      <c r="BLV78" s="165"/>
      <c r="BLW78" s="165"/>
      <c r="BLX78" s="165"/>
      <c r="BLY78" s="165"/>
      <c r="BLZ78" s="165"/>
      <c r="BMA78" s="165"/>
      <c r="BMB78" s="165"/>
      <c r="BMC78" s="165"/>
      <c r="BMD78" s="165"/>
      <c r="BME78" s="165"/>
      <c r="BMF78" s="165"/>
      <c r="BMG78" s="165"/>
      <c r="BMH78" s="165"/>
      <c r="BMI78" s="165"/>
      <c r="BMJ78" s="165"/>
      <c r="BMK78" s="165"/>
      <c r="BML78" s="165"/>
      <c r="BMM78" s="165"/>
      <c r="BMN78" s="165"/>
      <c r="BMO78" s="165"/>
      <c r="BMP78" s="165"/>
      <c r="BMQ78" s="165"/>
      <c r="BMR78" s="165"/>
      <c r="BMS78" s="165"/>
      <c r="BMT78" s="165"/>
      <c r="BMU78" s="165"/>
      <c r="BMV78" s="165"/>
      <c r="BMW78" s="165"/>
      <c r="BMX78" s="165"/>
      <c r="BMY78" s="165"/>
      <c r="BMZ78" s="165"/>
      <c r="BNA78" s="165"/>
      <c r="BNB78" s="165"/>
      <c r="BNC78" s="165"/>
      <c r="BND78" s="165"/>
      <c r="BNE78" s="165"/>
      <c r="BNF78" s="165"/>
      <c r="BNG78" s="165"/>
      <c r="BNH78" s="165"/>
      <c r="BNI78" s="165"/>
      <c r="BNJ78" s="165"/>
      <c r="BNK78" s="165"/>
      <c r="BNL78" s="165"/>
      <c r="BNM78" s="165"/>
      <c r="BNN78" s="165"/>
      <c r="BNO78" s="165"/>
      <c r="BNP78" s="165"/>
      <c r="BNQ78" s="165"/>
      <c r="BNR78" s="165"/>
      <c r="BNS78" s="165"/>
      <c r="BNT78" s="165"/>
      <c r="BNU78" s="165"/>
      <c r="BNV78" s="165"/>
      <c r="BNW78" s="165"/>
      <c r="BNX78" s="165"/>
      <c r="BNY78" s="165"/>
      <c r="BNZ78" s="165"/>
      <c r="BOA78" s="165"/>
      <c r="BOB78" s="165"/>
      <c r="BOC78" s="165"/>
      <c r="BOD78" s="165"/>
      <c r="BOE78" s="165"/>
      <c r="BOF78" s="165"/>
      <c r="BOG78" s="165"/>
      <c r="BOH78" s="165"/>
      <c r="BOI78" s="165"/>
      <c r="BOJ78" s="165"/>
      <c r="BOK78" s="165"/>
      <c r="BOL78" s="165"/>
      <c r="BOM78" s="165"/>
      <c r="BON78" s="165"/>
      <c r="BOO78" s="165"/>
      <c r="BOP78" s="165"/>
      <c r="BOQ78" s="165"/>
      <c r="BOR78" s="165"/>
      <c r="BOS78" s="165"/>
      <c r="BOT78" s="165"/>
      <c r="BOU78" s="165"/>
      <c r="BOV78" s="165"/>
      <c r="BOW78" s="165"/>
      <c r="BOX78" s="165"/>
      <c r="BOY78" s="165"/>
      <c r="BOZ78" s="165"/>
      <c r="BPA78" s="165"/>
      <c r="BPB78" s="165"/>
      <c r="BPC78" s="165"/>
      <c r="BPD78" s="165"/>
      <c r="BPE78" s="165"/>
      <c r="BPF78" s="165"/>
      <c r="BPG78" s="165"/>
      <c r="BPH78" s="165"/>
      <c r="BPI78" s="165"/>
      <c r="BPJ78" s="165"/>
      <c r="BPK78" s="165"/>
      <c r="BPL78" s="165"/>
      <c r="BPM78" s="165"/>
      <c r="BPN78" s="165"/>
      <c r="BPO78" s="165"/>
      <c r="BPP78" s="165"/>
      <c r="BPQ78" s="165"/>
      <c r="BPR78" s="165"/>
      <c r="BPS78" s="165"/>
      <c r="BPT78" s="165"/>
      <c r="BPU78" s="165"/>
      <c r="BPV78" s="165"/>
      <c r="BPW78" s="165"/>
      <c r="BPX78" s="165"/>
      <c r="BPY78" s="165"/>
      <c r="BPZ78" s="165"/>
      <c r="BQA78" s="165"/>
      <c r="BQB78" s="165"/>
      <c r="BQC78" s="165"/>
      <c r="BQD78" s="165"/>
      <c r="BQE78" s="165"/>
      <c r="BQF78" s="165"/>
      <c r="BQG78" s="165"/>
      <c r="BQH78" s="165"/>
      <c r="BQI78" s="165"/>
      <c r="BQJ78" s="165"/>
      <c r="BQK78" s="165"/>
      <c r="BQL78" s="165"/>
      <c r="BQM78" s="165"/>
      <c r="BQN78" s="165"/>
      <c r="BQO78" s="165"/>
      <c r="BQP78" s="165"/>
      <c r="BQQ78" s="165"/>
      <c r="BQR78" s="165"/>
      <c r="BQS78" s="165"/>
      <c r="BQT78" s="165"/>
      <c r="BQU78" s="165"/>
      <c r="BQV78" s="165"/>
      <c r="BQW78" s="165"/>
      <c r="BQX78" s="165"/>
      <c r="BQY78" s="165"/>
      <c r="BQZ78" s="165"/>
      <c r="BRA78" s="165"/>
      <c r="BRB78" s="165"/>
      <c r="BRC78" s="165"/>
      <c r="BRD78" s="165"/>
      <c r="BRE78" s="165"/>
      <c r="BRF78" s="165"/>
      <c r="BRG78" s="165"/>
      <c r="BRH78" s="165"/>
      <c r="BRI78" s="165"/>
      <c r="BRJ78" s="165"/>
      <c r="BRK78" s="165"/>
      <c r="BRL78" s="165"/>
      <c r="BRM78" s="165"/>
      <c r="BRN78" s="165"/>
      <c r="BRO78" s="165"/>
      <c r="BRP78" s="165"/>
      <c r="BRQ78" s="165"/>
      <c r="BRR78" s="165"/>
      <c r="BRS78" s="165"/>
      <c r="BRT78" s="165"/>
      <c r="BRU78" s="165"/>
      <c r="BRV78" s="165"/>
      <c r="BRW78" s="165"/>
      <c r="BRX78" s="165"/>
      <c r="BRY78" s="165"/>
      <c r="BRZ78" s="165"/>
      <c r="BSA78" s="165"/>
      <c r="BSB78" s="165"/>
      <c r="BSC78" s="165"/>
      <c r="BSD78" s="165"/>
      <c r="BSE78" s="165"/>
      <c r="BSF78" s="165"/>
      <c r="BSG78" s="165"/>
      <c r="BSH78" s="165"/>
      <c r="BSI78" s="165"/>
      <c r="BSJ78" s="165"/>
      <c r="BSK78" s="165"/>
      <c r="BSL78" s="165"/>
      <c r="BSM78" s="165"/>
      <c r="BSN78" s="165"/>
      <c r="BSO78" s="165"/>
      <c r="BSP78" s="165"/>
      <c r="BSQ78" s="165"/>
      <c r="BSR78" s="165"/>
      <c r="BSS78" s="165"/>
      <c r="BST78" s="165"/>
      <c r="BSU78" s="165"/>
      <c r="BSV78" s="165"/>
      <c r="BSW78" s="165"/>
      <c r="BSX78" s="165"/>
      <c r="BSY78" s="165"/>
      <c r="BSZ78" s="165"/>
      <c r="BTA78" s="165"/>
      <c r="BTB78" s="165"/>
      <c r="BTC78" s="165"/>
      <c r="BTD78" s="165"/>
      <c r="BTE78" s="165"/>
      <c r="BTF78" s="165"/>
      <c r="BTG78" s="165"/>
      <c r="BTH78" s="165"/>
      <c r="BTI78" s="165"/>
      <c r="BTJ78" s="165"/>
      <c r="BTK78" s="165"/>
      <c r="BTL78" s="165"/>
      <c r="BTM78" s="165"/>
      <c r="BTN78" s="165"/>
      <c r="BTO78" s="165"/>
      <c r="BTP78" s="165"/>
      <c r="BTQ78" s="165"/>
      <c r="BTR78" s="165"/>
      <c r="BTS78" s="165"/>
      <c r="BTT78" s="165"/>
      <c r="BTU78" s="165"/>
      <c r="BTV78" s="165"/>
      <c r="BTW78" s="165"/>
      <c r="BTX78" s="165"/>
      <c r="BTY78" s="165"/>
      <c r="BTZ78" s="165"/>
      <c r="BUA78" s="165"/>
      <c r="BUB78" s="165"/>
      <c r="BUC78" s="165"/>
      <c r="BUD78" s="165"/>
      <c r="BUE78" s="165"/>
      <c r="BUF78" s="165"/>
      <c r="BUG78" s="165"/>
      <c r="BUH78" s="165"/>
      <c r="BUI78" s="165"/>
      <c r="BUJ78" s="165"/>
      <c r="BUK78" s="165"/>
      <c r="BUL78" s="165"/>
      <c r="BUM78" s="165"/>
      <c r="BUN78" s="165"/>
      <c r="BUO78" s="165"/>
      <c r="BUP78" s="165"/>
      <c r="BUQ78" s="165"/>
      <c r="BUR78" s="165"/>
      <c r="BUS78" s="165"/>
      <c r="BUT78" s="165"/>
      <c r="BUU78" s="165"/>
      <c r="BUV78" s="165"/>
      <c r="BUW78" s="165"/>
      <c r="BUX78" s="165"/>
      <c r="BUY78" s="165"/>
      <c r="BUZ78" s="165"/>
      <c r="BVA78" s="165"/>
      <c r="BVB78" s="165"/>
      <c r="BVC78" s="165"/>
      <c r="BVD78" s="165"/>
      <c r="BVE78" s="165"/>
      <c r="BVF78" s="165"/>
      <c r="BVG78" s="165"/>
      <c r="BVH78" s="165"/>
      <c r="BVI78" s="165"/>
      <c r="BVJ78" s="165"/>
      <c r="BVK78" s="165"/>
      <c r="BVL78" s="165"/>
      <c r="BVM78" s="165"/>
      <c r="BVN78" s="165"/>
      <c r="BVO78" s="165"/>
      <c r="BVP78" s="165"/>
      <c r="BVQ78" s="165"/>
      <c r="BVR78" s="165"/>
      <c r="BVS78" s="165"/>
      <c r="BVT78" s="165"/>
      <c r="BVU78" s="165"/>
      <c r="BVV78" s="165"/>
      <c r="BVW78" s="165"/>
      <c r="BVX78" s="165"/>
      <c r="BVY78" s="165"/>
      <c r="BVZ78" s="165"/>
      <c r="BWA78" s="165"/>
      <c r="BWB78" s="165"/>
      <c r="BWC78" s="165"/>
      <c r="BWD78" s="165"/>
      <c r="BWE78" s="165"/>
      <c r="BWF78" s="165"/>
      <c r="BWG78" s="165"/>
      <c r="BWH78" s="165"/>
      <c r="BWI78" s="165"/>
      <c r="BWJ78" s="165"/>
      <c r="BWK78" s="165"/>
      <c r="BWL78" s="165"/>
      <c r="BWM78" s="165"/>
      <c r="BWN78" s="165"/>
      <c r="BWO78" s="165"/>
      <c r="BWP78" s="165"/>
      <c r="BWQ78" s="165"/>
      <c r="BWR78" s="165"/>
      <c r="BWS78" s="165"/>
      <c r="BWT78" s="165"/>
      <c r="BWU78" s="165"/>
      <c r="BWV78" s="165"/>
      <c r="BWW78" s="165"/>
      <c r="BWX78" s="165"/>
      <c r="BWY78" s="165"/>
      <c r="BWZ78" s="165"/>
      <c r="BXA78" s="165"/>
      <c r="BXB78" s="165"/>
      <c r="BXC78" s="165"/>
      <c r="BXD78" s="165"/>
      <c r="BXE78" s="165"/>
      <c r="BXF78" s="165"/>
      <c r="BXG78" s="165"/>
      <c r="BXH78" s="165"/>
      <c r="BXI78" s="165"/>
      <c r="BXJ78" s="165"/>
      <c r="BXK78" s="165"/>
      <c r="BXL78" s="165"/>
      <c r="BXM78" s="165"/>
      <c r="BXN78" s="165"/>
      <c r="BXO78" s="165"/>
      <c r="BXP78" s="165"/>
      <c r="BXQ78" s="165"/>
      <c r="BXR78" s="165"/>
      <c r="BXS78" s="165"/>
      <c r="BXT78" s="165"/>
      <c r="BXU78" s="165"/>
      <c r="BXV78" s="165"/>
      <c r="BXW78" s="165"/>
      <c r="BXX78" s="165"/>
      <c r="BXY78" s="165"/>
      <c r="BXZ78" s="165"/>
      <c r="BYA78" s="165"/>
      <c r="BYB78" s="165"/>
      <c r="BYC78" s="165"/>
      <c r="BYD78" s="165"/>
      <c r="BYE78" s="165"/>
      <c r="BYF78" s="165"/>
      <c r="BYG78" s="165"/>
      <c r="BYH78" s="165"/>
      <c r="BYI78" s="165"/>
      <c r="BYJ78" s="165"/>
      <c r="BYK78" s="165"/>
      <c r="BYL78" s="165"/>
      <c r="BYM78" s="165"/>
      <c r="BYN78" s="165"/>
      <c r="BYO78" s="165"/>
      <c r="BYP78" s="165"/>
      <c r="BYQ78" s="165"/>
      <c r="BYR78" s="165"/>
      <c r="BYS78" s="165"/>
      <c r="BYT78" s="165"/>
      <c r="BYU78" s="165"/>
      <c r="BYV78" s="165"/>
      <c r="BYW78" s="165"/>
      <c r="BYX78" s="165"/>
      <c r="BYY78" s="165"/>
      <c r="BYZ78" s="165"/>
      <c r="BZA78" s="165"/>
      <c r="BZB78" s="165"/>
      <c r="BZC78" s="165"/>
      <c r="BZD78" s="165"/>
      <c r="BZE78" s="165"/>
      <c r="BZF78" s="165"/>
      <c r="BZG78" s="165"/>
      <c r="BZH78" s="165"/>
      <c r="BZI78" s="165"/>
      <c r="BZJ78" s="165"/>
      <c r="BZK78" s="165"/>
      <c r="BZL78" s="165"/>
      <c r="BZM78" s="165"/>
      <c r="BZN78" s="165"/>
      <c r="BZO78" s="165"/>
      <c r="BZP78" s="165"/>
      <c r="BZQ78" s="165"/>
      <c r="BZR78" s="165"/>
      <c r="BZS78" s="165"/>
      <c r="BZT78" s="165"/>
      <c r="BZU78" s="165"/>
      <c r="BZV78" s="165"/>
      <c r="BZW78" s="165"/>
      <c r="BZX78" s="165"/>
      <c r="BZY78" s="165"/>
      <c r="BZZ78" s="165"/>
      <c r="CAA78" s="165"/>
      <c r="CAB78" s="165"/>
      <c r="CAC78" s="165"/>
      <c r="CAD78" s="165"/>
      <c r="CAE78" s="165"/>
      <c r="CAF78" s="165"/>
      <c r="CAG78" s="165"/>
      <c r="CAH78" s="165"/>
      <c r="CAI78" s="165"/>
      <c r="CAJ78" s="165"/>
      <c r="CAK78" s="165"/>
      <c r="CAL78" s="165"/>
      <c r="CAM78" s="165"/>
      <c r="CAN78" s="165"/>
      <c r="CAO78" s="165"/>
      <c r="CAP78" s="165"/>
      <c r="CAQ78" s="165"/>
      <c r="CAR78" s="165"/>
      <c r="CAS78" s="165"/>
      <c r="CAT78" s="165"/>
      <c r="CAU78" s="165"/>
      <c r="CAV78" s="165"/>
      <c r="CAW78" s="165"/>
      <c r="CAX78" s="165"/>
      <c r="CAY78" s="165"/>
      <c r="CAZ78" s="165"/>
      <c r="CBA78" s="165"/>
      <c r="CBB78" s="165"/>
      <c r="CBC78" s="165"/>
      <c r="CBD78" s="165"/>
      <c r="CBE78" s="165"/>
      <c r="CBF78" s="165"/>
      <c r="CBG78" s="165"/>
      <c r="CBH78" s="165"/>
      <c r="CBI78" s="165"/>
      <c r="CBJ78" s="165"/>
      <c r="CBK78" s="165"/>
      <c r="CBL78" s="165"/>
      <c r="CBM78" s="165"/>
      <c r="CBN78" s="165"/>
      <c r="CBO78" s="165"/>
      <c r="CBP78" s="165"/>
      <c r="CBQ78" s="165"/>
      <c r="CBR78" s="165"/>
      <c r="CBS78" s="165"/>
      <c r="CBT78" s="165"/>
      <c r="CBU78" s="165"/>
      <c r="CBV78" s="165"/>
      <c r="CBW78" s="165"/>
      <c r="CBX78" s="165"/>
      <c r="CBY78" s="165"/>
      <c r="CBZ78" s="165"/>
      <c r="CCA78" s="165"/>
      <c r="CCB78" s="165"/>
      <c r="CCC78" s="165"/>
      <c r="CCD78" s="165"/>
      <c r="CCE78" s="165"/>
      <c r="CCF78" s="165"/>
      <c r="CCG78" s="165"/>
      <c r="CCH78" s="165"/>
      <c r="CCI78" s="165"/>
      <c r="CCJ78" s="165"/>
      <c r="CCK78" s="165"/>
      <c r="CCL78" s="165"/>
      <c r="CCM78" s="165"/>
      <c r="CCN78" s="165"/>
      <c r="CCO78" s="165"/>
      <c r="CCP78" s="165"/>
      <c r="CCQ78" s="165"/>
      <c r="CCR78" s="165"/>
      <c r="CCS78" s="165"/>
      <c r="CCT78" s="165"/>
      <c r="CCU78" s="165"/>
      <c r="CCV78" s="165"/>
      <c r="CCW78" s="165"/>
      <c r="CCX78" s="165"/>
      <c r="CCY78" s="165"/>
      <c r="CCZ78" s="165"/>
      <c r="CDA78" s="165"/>
      <c r="CDB78" s="165"/>
      <c r="CDC78" s="165"/>
      <c r="CDD78" s="165"/>
      <c r="CDE78" s="165"/>
      <c r="CDF78" s="165"/>
      <c r="CDG78" s="165"/>
      <c r="CDH78" s="165"/>
      <c r="CDI78" s="165"/>
      <c r="CDJ78" s="165"/>
      <c r="CDK78" s="165"/>
      <c r="CDL78" s="165"/>
      <c r="CDM78" s="165"/>
      <c r="CDN78" s="165"/>
      <c r="CDO78" s="165"/>
      <c r="CDP78" s="165"/>
      <c r="CDQ78" s="165"/>
      <c r="CDR78" s="165"/>
      <c r="CDS78" s="165"/>
      <c r="CDT78" s="165"/>
      <c r="CDU78" s="165"/>
      <c r="CDV78" s="165"/>
      <c r="CDW78" s="165"/>
      <c r="CDX78" s="165"/>
      <c r="CDY78" s="165"/>
      <c r="CDZ78" s="165"/>
      <c r="CEA78" s="165"/>
      <c r="CEB78" s="165"/>
      <c r="CEC78" s="165"/>
      <c r="CED78" s="165"/>
      <c r="CEE78" s="165"/>
      <c r="CEF78" s="165"/>
      <c r="CEG78" s="165"/>
      <c r="CEH78" s="165"/>
      <c r="CEI78" s="165"/>
      <c r="CEJ78" s="165"/>
      <c r="CEK78" s="165"/>
      <c r="CEL78" s="165"/>
      <c r="CEM78" s="165"/>
      <c r="CEN78" s="165"/>
      <c r="CEO78" s="165"/>
      <c r="CEP78" s="165"/>
      <c r="CEQ78" s="165"/>
      <c r="CER78" s="165"/>
      <c r="CES78" s="165"/>
      <c r="CET78" s="165"/>
      <c r="CEU78" s="165"/>
      <c r="CEV78" s="165"/>
      <c r="CEW78" s="165"/>
      <c r="CEX78" s="165"/>
      <c r="CEY78" s="165"/>
      <c r="CEZ78" s="165"/>
      <c r="CFA78" s="165"/>
      <c r="CFB78" s="165"/>
      <c r="CFC78" s="165"/>
      <c r="CFD78" s="165"/>
      <c r="CFE78" s="165"/>
      <c r="CFF78" s="165"/>
      <c r="CFG78" s="165"/>
      <c r="CFH78" s="165"/>
      <c r="CFI78" s="165"/>
      <c r="CFJ78" s="165"/>
      <c r="CFK78" s="165"/>
      <c r="CFL78" s="165"/>
      <c r="CFM78" s="165"/>
      <c r="CFN78" s="165"/>
      <c r="CFO78" s="165"/>
      <c r="CFP78" s="165"/>
      <c r="CFQ78" s="165"/>
      <c r="CFR78" s="165"/>
      <c r="CFS78" s="165"/>
      <c r="CFT78" s="165"/>
      <c r="CFU78" s="165"/>
      <c r="CFV78" s="165"/>
      <c r="CFW78" s="165"/>
      <c r="CFX78" s="165"/>
      <c r="CFY78" s="165"/>
      <c r="CFZ78" s="165"/>
      <c r="CGA78" s="165"/>
      <c r="CGB78" s="165"/>
      <c r="CGC78" s="165"/>
      <c r="CGD78" s="165"/>
      <c r="CGE78" s="165"/>
      <c r="CGF78" s="165"/>
      <c r="CGG78" s="165"/>
      <c r="CGH78" s="165"/>
      <c r="CGI78" s="165"/>
      <c r="CGJ78" s="165"/>
      <c r="CGK78" s="165"/>
      <c r="CGL78" s="165"/>
      <c r="CGM78" s="165"/>
      <c r="CGN78" s="165"/>
      <c r="CGO78" s="165"/>
      <c r="CGP78" s="165"/>
      <c r="CGQ78" s="165"/>
      <c r="CGR78" s="165"/>
      <c r="CGS78" s="165"/>
      <c r="CGT78" s="165"/>
      <c r="CGU78" s="165"/>
      <c r="CGV78" s="165"/>
      <c r="CGW78" s="165"/>
      <c r="CGX78" s="165"/>
      <c r="CGY78" s="165"/>
      <c r="CGZ78" s="165"/>
      <c r="CHA78" s="165"/>
      <c r="CHB78" s="165"/>
      <c r="CHC78" s="165"/>
      <c r="CHD78" s="165"/>
      <c r="CHE78" s="165"/>
      <c r="CHF78" s="165"/>
      <c r="CHG78" s="165"/>
      <c r="CHH78" s="165"/>
      <c r="CHI78" s="165"/>
      <c r="CHJ78" s="165"/>
      <c r="CHK78" s="165"/>
      <c r="CHL78" s="165"/>
      <c r="CHM78" s="165"/>
      <c r="CHN78" s="165"/>
      <c r="CHO78" s="165"/>
      <c r="CHP78" s="165"/>
      <c r="CHQ78" s="165"/>
      <c r="CHR78" s="165"/>
      <c r="CHS78" s="165"/>
      <c r="CHT78" s="165"/>
      <c r="CHU78" s="165"/>
      <c r="CHV78" s="165"/>
      <c r="CHW78" s="165"/>
      <c r="CHX78" s="165"/>
      <c r="CHY78" s="165"/>
      <c r="CHZ78" s="165"/>
      <c r="CIA78" s="165"/>
      <c r="CIB78" s="165"/>
      <c r="CIC78" s="165"/>
      <c r="CID78" s="165"/>
      <c r="CIE78" s="165"/>
      <c r="CIF78" s="165"/>
      <c r="CIG78" s="165"/>
      <c r="CIH78" s="165"/>
      <c r="CII78" s="165"/>
      <c r="CIJ78" s="165"/>
      <c r="CIK78" s="165"/>
      <c r="CIL78" s="165"/>
      <c r="CIM78" s="165"/>
      <c r="CIN78" s="165"/>
      <c r="CIO78" s="165"/>
      <c r="CIP78" s="165"/>
      <c r="CIQ78" s="165"/>
      <c r="CIR78" s="165"/>
      <c r="CIS78" s="165"/>
      <c r="CIT78" s="165"/>
      <c r="CIU78" s="165"/>
      <c r="CIV78" s="165"/>
      <c r="CIW78" s="165"/>
      <c r="CIX78" s="165"/>
      <c r="CIY78" s="165"/>
      <c r="CIZ78" s="165"/>
      <c r="CJA78" s="165"/>
      <c r="CJB78" s="165"/>
      <c r="CJC78" s="165"/>
      <c r="CJD78" s="165"/>
      <c r="CJE78" s="165"/>
      <c r="CJF78" s="165"/>
      <c r="CJG78" s="165"/>
      <c r="CJH78" s="165"/>
      <c r="CJI78" s="165"/>
      <c r="CJJ78" s="165"/>
      <c r="CJK78" s="165"/>
      <c r="CJL78" s="165"/>
      <c r="CJM78" s="165"/>
      <c r="CJN78" s="165"/>
      <c r="CJO78" s="165"/>
      <c r="CJP78" s="165"/>
      <c r="CJQ78" s="165"/>
      <c r="CJR78" s="165"/>
      <c r="CJS78" s="165"/>
      <c r="CJT78" s="165"/>
      <c r="CJU78" s="165"/>
      <c r="CJV78" s="165"/>
      <c r="CJW78" s="165"/>
      <c r="CJX78" s="165"/>
      <c r="CJY78" s="165"/>
      <c r="CJZ78" s="165"/>
      <c r="CKA78" s="165"/>
      <c r="CKB78" s="165"/>
      <c r="CKC78" s="165"/>
      <c r="CKD78" s="165"/>
      <c r="CKE78" s="165"/>
      <c r="CKF78" s="165"/>
      <c r="CKG78" s="165"/>
      <c r="CKH78" s="165"/>
      <c r="CKI78" s="165"/>
      <c r="CKJ78" s="165"/>
      <c r="CKK78" s="165"/>
      <c r="CKL78" s="165"/>
      <c r="CKM78" s="165"/>
      <c r="CKN78" s="165"/>
      <c r="CKO78" s="165"/>
      <c r="CKP78" s="165"/>
      <c r="CKQ78" s="165"/>
      <c r="CKR78" s="165"/>
      <c r="CKS78" s="165"/>
      <c r="CKT78" s="165"/>
      <c r="CKU78" s="165"/>
      <c r="CKV78" s="165"/>
      <c r="CKW78" s="165"/>
      <c r="CKX78" s="165"/>
      <c r="CKY78" s="165"/>
      <c r="CKZ78" s="165"/>
      <c r="CLA78" s="165"/>
      <c r="CLB78" s="165"/>
      <c r="CLC78" s="165"/>
      <c r="CLD78" s="165"/>
      <c r="CLE78" s="165"/>
      <c r="CLF78" s="165"/>
      <c r="CLG78" s="165"/>
      <c r="CLH78" s="165"/>
      <c r="CLI78" s="165"/>
      <c r="CLJ78" s="165"/>
      <c r="CLK78" s="165"/>
      <c r="CLL78" s="165"/>
      <c r="CLM78" s="165"/>
      <c r="CLN78" s="165"/>
      <c r="CLO78" s="165"/>
      <c r="CLP78" s="165"/>
      <c r="CLQ78" s="165"/>
      <c r="CLR78" s="165"/>
      <c r="CLS78" s="165"/>
      <c r="CLT78" s="165"/>
      <c r="CLU78" s="165"/>
      <c r="CLV78" s="165"/>
      <c r="CLW78" s="165"/>
      <c r="CLX78" s="165"/>
      <c r="CLY78" s="165"/>
      <c r="CLZ78" s="165"/>
      <c r="CMA78" s="165"/>
      <c r="CMB78" s="165"/>
      <c r="CMC78" s="165"/>
      <c r="CMD78" s="165"/>
      <c r="CME78" s="165"/>
      <c r="CMF78" s="165"/>
      <c r="CMG78" s="165"/>
      <c r="CMH78" s="165"/>
      <c r="CMI78" s="165"/>
      <c r="CMJ78" s="165"/>
      <c r="CMK78" s="165"/>
      <c r="CML78" s="165"/>
      <c r="CMM78" s="165"/>
      <c r="CMN78" s="165"/>
      <c r="CMO78" s="165"/>
      <c r="CMP78" s="165"/>
      <c r="CMQ78" s="165"/>
      <c r="CMR78" s="165"/>
      <c r="CMS78" s="165"/>
      <c r="CMT78" s="165"/>
      <c r="CMU78" s="165"/>
      <c r="CMV78" s="165"/>
      <c r="CMW78" s="165"/>
      <c r="CMX78" s="165"/>
      <c r="CMY78" s="165"/>
      <c r="CMZ78" s="165"/>
      <c r="CNA78" s="165"/>
      <c r="CNB78" s="165"/>
      <c r="CNC78" s="165"/>
      <c r="CND78" s="165"/>
      <c r="CNE78" s="165"/>
      <c r="CNF78" s="165"/>
      <c r="CNG78" s="165"/>
      <c r="CNH78" s="165"/>
      <c r="CNI78" s="165"/>
      <c r="CNJ78" s="165"/>
      <c r="CNK78" s="165"/>
      <c r="CNL78" s="165"/>
      <c r="CNM78" s="165"/>
      <c r="CNN78" s="165"/>
      <c r="CNO78" s="165"/>
      <c r="CNP78" s="165"/>
      <c r="CNQ78" s="165"/>
      <c r="CNR78" s="165"/>
      <c r="CNS78" s="165"/>
      <c r="CNT78" s="165"/>
      <c r="CNU78" s="165"/>
      <c r="CNV78" s="165"/>
      <c r="CNW78" s="165"/>
      <c r="CNX78" s="165"/>
      <c r="CNY78" s="165"/>
      <c r="CNZ78" s="165"/>
      <c r="COA78" s="165"/>
      <c r="COB78" s="165"/>
      <c r="COC78" s="165"/>
      <c r="COD78" s="165"/>
      <c r="COE78" s="165"/>
      <c r="COF78" s="165"/>
      <c r="COG78" s="165"/>
      <c r="COH78" s="165"/>
      <c r="COI78" s="165"/>
      <c r="COJ78" s="165"/>
      <c r="COK78" s="165"/>
      <c r="COL78" s="165"/>
      <c r="COM78" s="165"/>
      <c r="CON78" s="165"/>
      <c r="COO78" s="165"/>
      <c r="COP78" s="165"/>
      <c r="COQ78" s="165"/>
      <c r="COR78" s="165"/>
      <c r="COS78" s="165"/>
      <c r="COT78" s="165"/>
      <c r="COU78" s="165"/>
      <c r="COV78" s="165"/>
      <c r="COW78" s="165"/>
      <c r="COX78" s="165"/>
      <c r="COY78" s="165"/>
      <c r="COZ78" s="165"/>
      <c r="CPA78" s="165"/>
      <c r="CPB78" s="165"/>
      <c r="CPC78" s="165"/>
      <c r="CPD78" s="165"/>
      <c r="CPE78" s="165"/>
      <c r="CPF78" s="165"/>
      <c r="CPG78" s="165"/>
      <c r="CPH78" s="165"/>
      <c r="CPI78" s="165"/>
      <c r="CPJ78" s="165"/>
      <c r="CPK78" s="165"/>
      <c r="CPL78" s="165"/>
      <c r="CPM78" s="165"/>
      <c r="CPN78" s="165"/>
      <c r="CPO78" s="165"/>
      <c r="CPP78" s="165"/>
      <c r="CPQ78" s="165"/>
      <c r="CPR78" s="165"/>
      <c r="CPS78" s="165"/>
      <c r="CPT78" s="165"/>
      <c r="CPU78" s="165"/>
      <c r="CPV78" s="165"/>
      <c r="CPW78" s="165"/>
      <c r="CPX78" s="165"/>
      <c r="CPY78" s="165"/>
      <c r="CPZ78" s="165"/>
      <c r="CQA78" s="165"/>
      <c r="CQB78" s="165"/>
      <c r="CQC78" s="165"/>
      <c r="CQD78" s="165"/>
      <c r="CQE78" s="165"/>
      <c r="CQF78" s="165"/>
      <c r="CQG78" s="165"/>
      <c r="CQH78" s="165"/>
      <c r="CQI78" s="165"/>
      <c r="CQJ78" s="165"/>
      <c r="CQK78" s="165"/>
      <c r="CQL78" s="165"/>
      <c r="CQM78" s="165"/>
      <c r="CQN78" s="165"/>
      <c r="CQO78" s="165"/>
      <c r="CQP78" s="165"/>
      <c r="CQQ78" s="165"/>
      <c r="CQR78" s="165"/>
      <c r="CQS78" s="165"/>
      <c r="CQT78" s="165"/>
      <c r="CQU78" s="165"/>
      <c r="CQV78" s="165"/>
      <c r="CQW78" s="165"/>
      <c r="CQX78" s="165"/>
      <c r="CQY78" s="165"/>
      <c r="CQZ78" s="165"/>
      <c r="CRA78" s="165"/>
      <c r="CRB78" s="165"/>
      <c r="CRC78" s="165"/>
      <c r="CRD78" s="165"/>
      <c r="CRE78" s="165"/>
      <c r="CRF78" s="165"/>
      <c r="CRG78" s="165"/>
      <c r="CRH78" s="165"/>
      <c r="CRI78" s="165"/>
      <c r="CRJ78" s="165"/>
      <c r="CRK78" s="165"/>
      <c r="CRL78" s="165"/>
      <c r="CRM78" s="165"/>
      <c r="CRN78" s="165"/>
      <c r="CRO78" s="165"/>
      <c r="CRP78" s="165"/>
      <c r="CRQ78" s="165"/>
      <c r="CRR78" s="165"/>
      <c r="CRS78" s="165"/>
      <c r="CRT78" s="165"/>
      <c r="CRU78" s="165"/>
      <c r="CRV78" s="165"/>
      <c r="CRW78" s="165"/>
      <c r="CRX78" s="165"/>
      <c r="CRY78" s="165"/>
      <c r="CRZ78" s="165"/>
      <c r="CSA78" s="165"/>
      <c r="CSB78" s="165"/>
      <c r="CSC78" s="165"/>
      <c r="CSD78" s="165"/>
      <c r="CSE78" s="165"/>
      <c r="CSF78" s="165"/>
      <c r="CSG78" s="165"/>
      <c r="CSH78" s="165"/>
      <c r="CSI78" s="165"/>
      <c r="CSJ78" s="165"/>
      <c r="CSK78" s="165"/>
      <c r="CSL78" s="165"/>
      <c r="CSM78" s="165"/>
      <c r="CSN78" s="165"/>
      <c r="CSO78" s="165"/>
      <c r="CSP78" s="165"/>
      <c r="CSQ78" s="165"/>
      <c r="CSR78" s="165"/>
      <c r="CSS78" s="165"/>
      <c r="CST78" s="165"/>
      <c r="CSU78" s="165"/>
      <c r="CSV78" s="165"/>
      <c r="CSW78" s="165"/>
      <c r="CSX78" s="165"/>
      <c r="CSY78" s="165"/>
      <c r="CSZ78" s="165"/>
      <c r="CTA78" s="165"/>
      <c r="CTB78" s="165"/>
      <c r="CTC78" s="165"/>
      <c r="CTD78" s="165"/>
      <c r="CTE78" s="165"/>
      <c r="CTF78" s="165"/>
      <c r="CTG78" s="165"/>
      <c r="CTH78" s="165"/>
      <c r="CTI78" s="165"/>
      <c r="CTJ78" s="165"/>
      <c r="CTK78" s="165"/>
      <c r="CTL78" s="165"/>
      <c r="CTM78" s="165"/>
      <c r="CTN78" s="165"/>
      <c r="CTO78" s="165"/>
      <c r="CTP78" s="165"/>
      <c r="CTQ78" s="165"/>
      <c r="CTR78" s="165"/>
      <c r="CTS78" s="165"/>
      <c r="CTT78" s="165"/>
      <c r="CTU78" s="165"/>
      <c r="CTV78" s="165"/>
      <c r="CTW78" s="165"/>
      <c r="CTX78" s="165"/>
      <c r="CTY78" s="165"/>
      <c r="CTZ78" s="165"/>
      <c r="CUA78" s="165"/>
      <c r="CUB78" s="165"/>
      <c r="CUC78" s="165"/>
      <c r="CUD78" s="165"/>
      <c r="CUE78" s="165"/>
      <c r="CUF78" s="165"/>
      <c r="CUG78" s="165"/>
      <c r="CUH78" s="165"/>
      <c r="CUI78" s="165"/>
      <c r="CUJ78" s="165"/>
      <c r="CUK78" s="165"/>
      <c r="CUL78" s="165"/>
      <c r="CUM78" s="165"/>
      <c r="CUN78" s="165"/>
      <c r="CUO78" s="165"/>
      <c r="CUP78" s="165"/>
      <c r="CUQ78" s="165"/>
      <c r="CUR78" s="165"/>
      <c r="CUS78" s="165"/>
      <c r="CUT78" s="165"/>
      <c r="CUU78" s="165"/>
      <c r="CUV78" s="165"/>
      <c r="CUW78" s="165"/>
      <c r="CUX78" s="165"/>
      <c r="CUY78" s="165"/>
      <c r="CUZ78" s="165"/>
      <c r="CVA78" s="165"/>
      <c r="CVB78" s="165"/>
      <c r="CVC78" s="165"/>
      <c r="CVD78" s="165"/>
      <c r="CVE78" s="165"/>
      <c r="CVF78" s="165"/>
      <c r="CVG78" s="165"/>
      <c r="CVH78" s="165"/>
      <c r="CVI78" s="165"/>
      <c r="CVJ78" s="165"/>
      <c r="CVK78" s="165"/>
      <c r="CVL78" s="165"/>
      <c r="CVM78" s="165"/>
      <c r="CVN78" s="165"/>
      <c r="CVO78" s="165"/>
      <c r="CVP78" s="165"/>
      <c r="CVQ78" s="165"/>
      <c r="CVR78" s="165"/>
      <c r="CVS78" s="165"/>
      <c r="CVT78" s="165"/>
      <c r="CVU78" s="165"/>
      <c r="CVV78" s="165"/>
      <c r="CVW78" s="165"/>
      <c r="CVX78" s="165"/>
      <c r="CVY78" s="165"/>
      <c r="CVZ78" s="165"/>
      <c r="CWA78" s="165"/>
      <c r="CWB78" s="165"/>
      <c r="CWC78" s="165"/>
      <c r="CWD78" s="165"/>
      <c r="CWE78" s="165"/>
      <c r="CWF78" s="165"/>
      <c r="CWG78" s="165"/>
      <c r="CWH78" s="165"/>
      <c r="CWI78" s="165"/>
      <c r="CWJ78" s="165"/>
      <c r="CWK78" s="165"/>
      <c r="CWL78" s="165"/>
      <c r="CWM78" s="165"/>
      <c r="CWN78" s="165"/>
      <c r="CWO78" s="165"/>
      <c r="CWP78" s="165"/>
      <c r="CWQ78" s="165"/>
      <c r="CWR78" s="165"/>
      <c r="CWS78" s="165"/>
      <c r="CWT78" s="165"/>
      <c r="CWU78" s="165"/>
      <c r="CWV78" s="165"/>
      <c r="CWW78" s="165"/>
      <c r="CWX78" s="165"/>
      <c r="CWY78" s="165"/>
      <c r="CWZ78" s="165"/>
      <c r="CXA78" s="165"/>
      <c r="CXB78" s="165"/>
      <c r="CXC78" s="165"/>
      <c r="CXD78" s="165"/>
      <c r="CXE78" s="165"/>
      <c r="CXF78" s="165"/>
      <c r="CXG78" s="165"/>
      <c r="CXH78" s="165"/>
      <c r="CXI78" s="165"/>
      <c r="CXJ78" s="165"/>
      <c r="CXK78" s="165"/>
      <c r="CXL78" s="165"/>
      <c r="CXM78" s="165"/>
      <c r="CXN78" s="165"/>
      <c r="CXO78" s="165"/>
      <c r="CXP78" s="165"/>
      <c r="CXQ78" s="165"/>
      <c r="CXR78" s="165"/>
      <c r="CXS78" s="165"/>
      <c r="CXT78" s="165"/>
      <c r="CXU78" s="165"/>
      <c r="CXV78" s="165"/>
      <c r="CXW78" s="165"/>
      <c r="CXX78" s="165"/>
      <c r="CXY78" s="165"/>
      <c r="CXZ78" s="165"/>
      <c r="CYA78" s="165"/>
      <c r="CYB78" s="165"/>
      <c r="CYC78" s="165"/>
      <c r="CYD78" s="165"/>
      <c r="CYE78" s="165"/>
      <c r="CYF78" s="165"/>
      <c r="CYG78" s="165"/>
      <c r="CYH78" s="165"/>
      <c r="CYI78" s="165"/>
      <c r="CYJ78" s="165"/>
      <c r="CYK78" s="165"/>
      <c r="CYL78" s="165"/>
      <c r="CYM78" s="165"/>
      <c r="CYN78" s="165"/>
      <c r="CYO78" s="165"/>
      <c r="CYP78" s="165"/>
      <c r="CYQ78" s="165"/>
      <c r="CYR78" s="165"/>
      <c r="CYS78" s="165"/>
      <c r="CYT78" s="165"/>
      <c r="CYU78" s="165"/>
      <c r="CYV78" s="165"/>
      <c r="CYW78" s="165"/>
      <c r="CYX78" s="165"/>
      <c r="CYY78" s="165"/>
      <c r="CYZ78" s="165"/>
      <c r="CZA78" s="165"/>
      <c r="CZB78" s="165"/>
      <c r="CZC78" s="165"/>
      <c r="CZD78" s="165"/>
      <c r="CZE78" s="165"/>
      <c r="CZF78" s="165"/>
      <c r="CZG78" s="165"/>
      <c r="CZH78" s="165"/>
      <c r="CZI78" s="165"/>
      <c r="CZJ78" s="165"/>
      <c r="CZK78" s="165"/>
      <c r="CZL78" s="165"/>
      <c r="CZM78" s="165"/>
      <c r="CZN78" s="165"/>
      <c r="CZO78" s="165"/>
      <c r="CZP78" s="165"/>
      <c r="CZQ78" s="165"/>
      <c r="CZR78" s="165"/>
      <c r="CZS78" s="165"/>
      <c r="CZT78" s="165"/>
      <c r="CZU78" s="165"/>
      <c r="CZV78" s="165"/>
      <c r="CZW78" s="165"/>
      <c r="CZX78" s="165"/>
      <c r="CZY78" s="165"/>
      <c r="CZZ78" s="165"/>
      <c r="DAA78" s="165"/>
      <c r="DAB78" s="165"/>
      <c r="DAC78" s="165"/>
      <c r="DAD78" s="165"/>
      <c r="DAE78" s="165"/>
      <c r="DAF78" s="165"/>
      <c r="DAG78" s="165"/>
      <c r="DAH78" s="165"/>
      <c r="DAI78" s="165"/>
      <c r="DAJ78" s="165"/>
      <c r="DAK78" s="165"/>
      <c r="DAL78" s="165"/>
      <c r="DAM78" s="165"/>
      <c r="DAN78" s="165"/>
      <c r="DAO78" s="165"/>
      <c r="DAP78" s="165"/>
      <c r="DAQ78" s="165"/>
      <c r="DAR78" s="165"/>
      <c r="DAS78" s="165"/>
      <c r="DAT78" s="165"/>
      <c r="DAU78" s="165"/>
      <c r="DAV78" s="165"/>
      <c r="DAW78" s="165"/>
      <c r="DAX78" s="165"/>
      <c r="DAY78" s="165"/>
      <c r="DAZ78" s="165"/>
      <c r="DBA78" s="165"/>
      <c r="DBB78" s="165"/>
      <c r="DBC78" s="165"/>
      <c r="DBD78" s="165"/>
      <c r="DBE78" s="165"/>
      <c r="DBF78" s="165"/>
      <c r="DBG78" s="165"/>
      <c r="DBH78" s="165"/>
      <c r="DBI78" s="165"/>
      <c r="DBJ78" s="165"/>
      <c r="DBK78" s="165"/>
      <c r="DBL78" s="165"/>
      <c r="DBM78" s="165"/>
      <c r="DBN78" s="165"/>
      <c r="DBO78" s="165"/>
      <c r="DBP78" s="165"/>
      <c r="DBQ78" s="165"/>
      <c r="DBR78" s="165"/>
      <c r="DBS78" s="165"/>
      <c r="DBT78" s="165"/>
      <c r="DBU78" s="165"/>
      <c r="DBV78" s="165"/>
      <c r="DBW78" s="165"/>
      <c r="DBX78" s="165"/>
      <c r="DBY78" s="165"/>
      <c r="DBZ78" s="165"/>
      <c r="DCA78" s="165"/>
      <c r="DCB78" s="165"/>
      <c r="DCC78" s="165"/>
      <c r="DCD78" s="165"/>
      <c r="DCE78" s="165"/>
      <c r="DCF78" s="165"/>
      <c r="DCG78" s="165"/>
      <c r="DCH78" s="165"/>
      <c r="DCI78" s="165"/>
      <c r="DCJ78" s="165"/>
      <c r="DCK78" s="165"/>
      <c r="DCL78" s="165"/>
      <c r="DCM78" s="165"/>
      <c r="DCN78" s="165"/>
      <c r="DCO78" s="165"/>
      <c r="DCP78" s="165"/>
      <c r="DCQ78" s="165"/>
      <c r="DCR78" s="165"/>
      <c r="DCS78" s="165"/>
      <c r="DCT78" s="165"/>
      <c r="DCU78" s="165"/>
      <c r="DCV78" s="165"/>
      <c r="DCW78" s="165"/>
      <c r="DCX78" s="165"/>
      <c r="DCY78" s="165"/>
      <c r="DCZ78" s="165"/>
      <c r="DDA78" s="165"/>
      <c r="DDB78" s="165"/>
      <c r="DDC78" s="165"/>
      <c r="DDD78" s="165"/>
      <c r="DDE78" s="165"/>
      <c r="DDF78" s="165"/>
      <c r="DDG78" s="165"/>
      <c r="DDH78" s="165"/>
      <c r="DDI78" s="165"/>
      <c r="DDJ78" s="165"/>
      <c r="DDK78" s="165"/>
      <c r="DDL78" s="165"/>
      <c r="DDM78" s="165"/>
      <c r="DDN78" s="165"/>
      <c r="DDO78" s="165"/>
      <c r="DDP78" s="165"/>
      <c r="DDQ78" s="165"/>
      <c r="DDR78" s="165"/>
      <c r="DDS78" s="165"/>
      <c r="DDT78" s="165"/>
      <c r="DDU78" s="165"/>
      <c r="DDV78" s="165"/>
      <c r="DDW78" s="165"/>
      <c r="DDX78" s="165"/>
      <c r="DDY78" s="165"/>
      <c r="DDZ78" s="165"/>
      <c r="DEA78" s="165"/>
      <c r="DEB78" s="165"/>
      <c r="DEC78" s="165"/>
      <c r="DED78" s="165"/>
      <c r="DEE78" s="165"/>
      <c r="DEF78" s="165"/>
      <c r="DEG78" s="165"/>
      <c r="DEH78" s="165"/>
      <c r="DEI78" s="165"/>
      <c r="DEJ78" s="165"/>
      <c r="DEK78" s="165"/>
      <c r="DEL78" s="165"/>
      <c r="DEM78" s="165"/>
      <c r="DEN78" s="165"/>
      <c r="DEO78" s="165"/>
      <c r="DEP78" s="165"/>
      <c r="DEQ78" s="165"/>
      <c r="DER78" s="165"/>
      <c r="DES78" s="165"/>
      <c r="DET78" s="165"/>
      <c r="DEU78" s="165"/>
      <c r="DEV78" s="165"/>
      <c r="DEW78" s="165"/>
      <c r="DEX78" s="165"/>
      <c r="DEY78" s="165"/>
      <c r="DEZ78" s="165"/>
      <c r="DFA78" s="165"/>
      <c r="DFB78" s="165"/>
      <c r="DFC78" s="165"/>
      <c r="DFD78" s="165"/>
      <c r="DFE78" s="165"/>
      <c r="DFF78" s="165"/>
      <c r="DFG78" s="165"/>
      <c r="DFH78" s="165"/>
      <c r="DFI78" s="165"/>
      <c r="DFJ78" s="165"/>
      <c r="DFK78" s="165"/>
      <c r="DFL78" s="165"/>
      <c r="DFM78" s="165"/>
      <c r="DFN78" s="165"/>
      <c r="DFO78" s="165"/>
      <c r="DFP78" s="165"/>
      <c r="DFQ78" s="165"/>
      <c r="DFR78" s="165"/>
      <c r="DFS78" s="165"/>
      <c r="DFT78" s="165"/>
      <c r="DFU78" s="165"/>
      <c r="DFV78" s="165"/>
      <c r="DFW78" s="165"/>
      <c r="DFX78" s="165"/>
      <c r="DFY78" s="165"/>
      <c r="DFZ78" s="165"/>
      <c r="DGA78" s="165"/>
      <c r="DGB78" s="165"/>
      <c r="DGC78" s="165"/>
      <c r="DGD78" s="165"/>
      <c r="DGE78" s="165"/>
      <c r="DGF78" s="165"/>
      <c r="DGG78" s="165"/>
      <c r="DGH78" s="165"/>
      <c r="DGI78" s="165"/>
      <c r="DGJ78" s="165"/>
      <c r="DGK78" s="165"/>
      <c r="DGL78" s="165"/>
      <c r="DGM78" s="165"/>
      <c r="DGN78" s="165"/>
      <c r="DGO78" s="165"/>
      <c r="DGP78" s="165"/>
      <c r="DGQ78" s="165"/>
      <c r="DGR78" s="165"/>
      <c r="DGS78" s="165"/>
      <c r="DGT78" s="165"/>
      <c r="DGU78" s="165"/>
      <c r="DGV78" s="165"/>
      <c r="DGW78" s="165"/>
      <c r="DGX78" s="165"/>
      <c r="DGY78" s="165"/>
      <c r="DGZ78" s="165"/>
      <c r="DHA78" s="165"/>
      <c r="DHB78" s="165"/>
      <c r="DHC78" s="165"/>
      <c r="DHD78" s="165"/>
      <c r="DHE78" s="165"/>
      <c r="DHF78" s="165"/>
      <c r="DHG78" s="165"/>
      <c r="DHH78" s="165"/>
      <c r="DHI78" s="165"/>
      <c r="DHJ78" s="165"/>
      <c r="DHK78" s="165"/>
      <c r="DHL78" s="165"/>
      <c r="DHM78" s="165"/>
      <c r="DHN78" s="165"/>
      <c r="DHO78" s="165"/>
      <c r="DHP78" s="165"/>
      <c r="DHQ78" s="165"/>
      <c r="DHR78" s="165"/>
      <c r="DHS78" s="165"/>
      <c r="DHT78" s="165"/>
      <c r="DHU78" s="165"/>
      <c r="DHV78" s="165"/>
      <c r="DHW78" s="165"/>
      <c r="DHX78" s="165"/>
      <c r="DHY78" s="165"/>
      <c r="DHZ78" s="165"/>
      <c r="DIA78" s="165"/>
      <c r="DIB78" s="165"/>
      <c r="DIC78" s="165"/>
      <c r="DID78" s="165"/>
      <c r="DIE78" s="165"/>
      <c r="DIF78" s="165"/>
      <c r="DIG78" s="165"/>
      <c r="DIH78" s="165"/>
      <c r="DII78" s="165"/>
      <c r="DIJ78" s="165"/>
      <c r="DIK78" s="165"/>
      <c r="DIL78" s="165"/>
      <c r="DIM78" s="165"/>
      <c r="DIN78" s="165"/>
      <c r="DIO78" s="165"/>
      <c r="DIP78" s="165"/>
      <c r="DIQ78" s="165"/>
      <c r="DIR78" s="165"/>
      <c r="DIS78" s="165"/>
      <c r="DIT78" s="165"/>
      <c r="DIU78" s="165"/>
      <c r="DIV78" s="165"/>
      <c r="DIW78" s="165"/>
      <c r="DIX78" s="165"/>
      <c r="DIY78" s="165"/>
      <c r="DIZ78" s="165"/>
      <c r="DJA78" s="165"/>
      <c r="DJB78" s="165"/>
      <c r="DJC78" s="165"/>
      <c r="DJD78" s="165"/>
      <c r="DJE78" s="165"/>
      <c r="DJF78" s="165"/>
      <c r="DJG78" s="165"/>
      <c r="DJH78" s="165"/>
      <c r="DJI78" s="165"/>
      <c r="DJJ78" s="165"/>
      <c r="DJK78" s="165"/>
      <c r="DJL78" s="165"/>
      <c r="DJM78" s="165"/>
      <c r="DJN78" s="165"/>
      <c r="DJO78" s="165"/>
      <c r="DJP78" s="165"/>
      <c r="DJQ78" s="165"/>
      <c r="DJR78" s="165"/>
      <c r="DJS78" s="165"/>
      <c r="DJT78" s="165"/>
      <c r="DJU78" s="165"/>
      <c r="DJV78" s="165"/>
      <c r="DJW78" s="165"/>
      <c r="DJX78" s="165"/>
      <c r="DJY78" s="165"/>
      <c r="DJZ78" s="165"/>
      <c r="DKA78" s="165"/>
      <c r="DKB78" s="165"/>
      <c r="DKC78" s="165"/>
      <c r="DKD78" s="165"/>
      <c r="DKE78" s="165"/>
      <c r="DKF78" s="165"/>
      <c r="DKG78" s="165"/>
      <c r="DKH78" s="165"/>
      <c r="DKI78" s="165"/>
      <c r="DKJ78" s="165"/>
      <c r="DKK78" s="165"/>
      <c r="DKL78" s="165"/>
      <c r="DKM78" s="165"/>
      <c r="DKN78" s="165"/>
      <c r="DKO78" s="165"/>
      <c r="DKP78" s="165"/>
      <c r="DKQ78" s="165"/>
      <c r="DKR78" s="165"/>
      <c r="DKS78" s="165"/>
      <c r="DKT78" s="165"/>
      <c r="DKU78" s="165"/>
      <c r="DKV78" s="165"/>
      <c r="DKW78" s="165"/>
      <c r="DKX78" s="165"/>
      <c r="DKY78" s="165"/>
      <c r="DKZ78" s="165"/>
      <c r="DLA78" s="165"/>
      <c r="DLB78" s="165"/>
      <c r="DLC78" s="165"/>
      <c r="DLD78" s="165"/>
      <c r="DLE78" s="165"/>
      <c r="DLF78" s="165"/>
      <c r="DLG78" s="165"/>
      <c r="DLH78" s="165"/>
      <c r="DLI78" s="165"/>
      <c r="DLJ78" s="165"/>
      <c r="DLK78" s="165"/>
      <c r="DLL78" s="165"/>
      <c r="DLM78" s="165"/>
      <c r="DLN78" s="165"/>
      <c r="DLO78" s="165"/>
      <c r="DLP78" s="165"/>
      <c r="DLQ78" s="165"/>
      <c r="DLR78" s="165"/>
      <c r="DLS78" s="165"/>
      <c r="DLT78" s="165"/>
      <c r="DLU78" s="165"/>
      <c r="DLV78" s="165"/>
      <c r="DLW78" s="165"/>
      <c r="DLX78" s="165"/>
      <c r="DLY78" s="165"/>
      <c r="DLZ78" s="165"/>
      <c r="DMA78" s="165"/>
      <c r="DMB78" s="165"/>
      <c r="DMC78" s="165"/>
      <c r="DMD78" s="165"/>
      <c r="DME78" s="165"/>
      <c r="DMF78" s="165"/>
      <c r="DMG78" s="165"/>
      <c r="DMH78" s="165"/>
      <c r="DMI78" s="165"/>
      <c r="DMJ78" s="165"/>
      <c r="DMK78" s="165"/>
      <c r="DML78" s="165"/>
      <c r="DMM78" s="165"/>
      <c r="DMN78" s="165"/>
      <c r="DMO78" s="165"/>
      <c r="DMP78" s="165"/>
      <c r="DMQ78" s="165"/>
      <c r="DMR78" s="165"/>
      <c r="DMS78" s="165"/>
      <c r="DMT78" s="165"/>
      <c r="DMU78" s="165"/>
      <c r="DMV78" s="165"/>
      <c r="DMW78" s="165"/>
      <c r="DMX78" s="165"/>
      <c r="DMY78" s="165"/>
      <c r="DMZ78" s="165"/>
      <c r="DNA78" s="165"/>
      <c r="DNB78" s="165"/>
      <c r="DNC78" s="165"/>
      <c r="DND78" s="165"/>
      <c r="DNE78" s="165"/>
      <c r="DNF78" s="165"/>
      <c r="DNG78" s="165"/>
      <c r="DNH78" s="165"/>
      <c r="DNI78" s="165"/>
      <c r="DNJ78" s="165"/>
      <c r="DNK78" s="165"/>
      <c r="DNL78" s="165"/>
      <c r="DNM78" s="165"/>
      <c r="DNN78" s="165"/>
      <c r="DNO78" s="165"/>
      <c r="DNP78" s="165"/>
      <c r="DNQ78" s="165"/>
      <c r="DNR78" s="165"/>
      <c r="DNS78" s="165"/>
      <c r="DNT78" s="165"/>
      <c r="DNU78" s="165"/>
      <c r="DNV78" s="165"/>
      <c r="DNW78" s="165"/>
      <c r="DNX78" s="165"/>
      <c r="DNY78" s="165"/>
      <c r="DNZ78" s="165"/>
      <c r="DOA78" s="165"/>
      <c r="DOB78" s="165"/>
      <c r="DOC78" s="165"/>
      <c r="DOD78" s="165"/>
      <c r="DOE78" s="165"/>
      <c r="DOF78" s="165"/>
      <c r="DOG78" s="165"/>
      <c r="DOH78" s="165"/>
      <c r="DOI78" s="165"/>
      <c r="DOJ78" s="165"/>
      <c r="DOK78" s="165"/>
      <c r="DOL78" s="165"/>
      <c r="DOM78" s="165"/>
      <c r="DON78" s="165"/>
      <c r="DOO78" s="165"/>
      <c r="DOP78" s="165"/>
      <c r="DOQ78" s="165"/>
      <c r="DOR78" s="165"/>
      <c r="DOS78" s="165"/>
      <c r="DOT78" s="165"/>
      <c r="DOU78" s="165"/>
      <c r="DOV78" s="165"/>
      <c r="DOW78" s="165"/>
      <c r="DOX78" s="165"/>
      <c r="DOY78" s="165"/>
      <c r="DOZ78" s="165"/>
      <c r="DPA78" s="165"/>
      <c r="DPB78" s="165"/>
      <c r="DPC78" s="165"/>
      <c r="DPD78" s="165"/>
      <c r="DPE78" s="165"/>
      <c r="DPF78" s="165"/>
      <c r="DPG78" s="165"/>
      <c r="DPH78" s="165"/>
      <c r="DPI78" s="165"/>
      <c r="DPJ78" s="165"/>
      <c r="DPK78" s="165"/>
      <c r="DPL78" s="165"/>
      <c r="DPM78" s="165"/>
      <c r="DPN78" s="165"/>
      <c r="DPO78" s="165"/>
      <c r="DPP78" s="165"/>
      <c r="DPQ78" s="165"/>
      <c r="DPR78" s="165"/>
      <c r="DPS78" s="165"/>
      <c r="DPT78" s="165"/>
      <c r="DPU78" s="165"/>
      <c r="DPV78" s="165"/>
      <c r="DPW78" s="165"/>
      <c r="DPX78" s="165"/>
      <c r="DPY78" s="165"/>
      <c r="DPZ78" s="165"/>
      <c r="DQA78" s="165"/>
      <c r="DQB78" s="165"/>
      <c r="DQC78" s="165"/>
      <c r="DQD78" s="165"/>
      <c r="DQE78" s="165"/>
      <c r="DQF78" s="165"/>
      <c r="DQG78" s="165"/>
      <c r="DQH78" s="165"/>
      <c r="DQI78" s="165"/>
      <c r="DQJ78" s="165"/>
      <c r="DQK78" s="165"/>
      <c r="DQL78" s="165"/>
      <c r="DQM78" s="165"/>
      <c r="DQN78" s="165"/>
      <c r="DQO78" s="165"/>
      <c r="DQP78" s="165"/>
      <c r="DQQ78" s="165"/>
      <c r="DQR78" s="165"/>
      <c r="DQS78" s="165"/>
      <c r="DQT78" s="165"/>
      <c r="DQU78" s="165"/>
      <c r="DQV78" s="165"/>
      <c r="DQW78" s="165"/>
      <c r="DQX78" s="165"/>
      <c r="DQY78" s="165"/>
      <c r="DQZ78" s="165"/>
      <c r="DRA78" s="165"/>
      <c r="DRB78" s="165"/>
      <c r="DRC78" s="165"/>
      <c r="DRD78" s="165"/>
      <c r="DRE78" s="165"/>
      <c r="DRF78" s="165"/>
      <c r="DRG78" s="165"/>
      <c r="DRH78" s="165"/>
      <c r="DRI78" s="165"/>
      <c r="DRJ78" s="165"/>
      <c r="DRK78" s="165"/>
      <c r="DRL78" s="165"/>
      <c r="DRM78" s="165"/>
      <c r="DRN78" s="165"/>
      <c r="DRO78" s="165"/>
      <c r="DRP78" s="165"/>
      <c r="DRQ78" s="165"/>
      <c r="DRR78" s="165"/>
      <c r="DRS78" s="165"/>
      <c r="DRT78" s="165"/>
      <c r="DRU78" s="165"/>
      <c r="DRV78" s="165"/>
      <c r="DRW78" s="165"/>
      <c r="DRX78" s="165"/>
      <c r="DRY78" s="165"/>
      <c r="DRZ78" s="165"/>
      <c r="DSA78" s="165"/>
      <c r="DSB78" s="165"/>
      <c r="DSC78" s="165"/>
      <c r="DSD78" s="165"/>
      <c r="DSE78" s="165"/>
      <c r="DSF78" s="165"/>
      <c r="DSG78" s="165"/>
      <c r="DSH78" s="165"/>
      <c r="DSI78" s="165"/>
      <c r="DSJ78" s="165"/>
      <c r="DSK78" s="165"/>
      <c r="DSL78" s="165"/>
      <c r="DSM78" s="165"/>
      <c r="DSN78" s="165"/>
      <c r="DSO78" s="165"/>
      <c r="DSP78" s="165"/>
      <c r="DSQ78" s="165"/>
      <c r="DSR78" s="165"/>
      <c r="DSS78" s="165"/>
      <c r="DST78" s="165"/>
      <c r="DSU78" s="165"/>
      <c r="DSV78" s="165"/>
      <c r="DSW78" s="165"/>
      <c r="DSX78" s="165"/>
      <c r="DSY78" s="165"/>
      <c r="DSZ78" s="165"/>
      <c r="DTA78" s="165"/>
      <c r="DTB78" s="165"/>
      <c r="DTC78" s="165"/>
      <c r="DTD78" s="165"/>
      <c r="DTE78" s="165"/>
      <c r="DTF78" s="165"/>
      <c r="DTG78" s="165"/>
      <c r="DTH78" s="165"/>
      <c r="DTI78" s="165"/>
      <c r="DTJ78" s="165"/>
      <c r="DTK78" s="165"/>
      <c r="DTL78" s="165"/>
      <c r="DTM78" s="165"/>
      <c r="DTN78" s="165"/>
      <c r="DTO78" s="165"/>
      <c r="DTP78" s="165"/>
      <c r="DTQ78" s="165"/>
      <c r="DTR78" s="165"/>
      <c r="DTS78" s="165"/>
      <c r="DTT78" s="165"/>
      <c r="DTU78" s="165"/>
      <c r="DTV78" s="165"/>
      <c r="DTW78" s="165"/>
      <c r="DTX78" s="165"/>
      <c r="DTY78" s="165"/>
      <c r="DTZ78" s="165"/>
      <c r="DUA78" s="165"/>
      <c r="DUB78" s="165"/>
      <c r="DUC78" s="165"/>
      <c r="DUD78" s="165"/>
      <c r="DUE78" s="165"/>
      <c r="DUF78" s="165"/>
      <c r="DUG78" s="165"/>
      <c r="DUH78" s="165"/>
      <c r="DUI78" s="165"/>
      <c r="DUJ78" s="165"/>
      <c r="DUK78" s="165"/>
      <c r="DUL78" s="165"/>
      <c r="DUM78" s="165"/>
      <c r="DUN78" s="165"/>
      <c r="DUO78" s="165"/>
      <c r="DUP78" s="165"/>
      <c r="DUQ78" s="165"/>
      <c r="DUR78" s="165"/>
      <c r="DUS78" s="165"/>
      <c r="DUT78" s="165"/>
      <c r="DUU78" s="165"/>
      <c r="DUV78" s="165"/>
      <c r="DUW78" s="165"/>
      <c r="DUX78" s="165"/>
      <c r="DUY78" s="165"/>
      <c r="DUZ78" s="165"/>
      <c r="DVA78" s="165"/>
      <c r="DVB78" s="165"/>
      <c r="DVC78" s="165"/>
      <c r="DVD78" s="165"/>
      <c r="DVE78" s="165"/>
      <c r="DVF78" s="165"/>
      <c r="DVG78" s="165"/>
      <c r="DVH78" s="165"/>
      <c r="DVI78" s="165"/>
      <c r="DVJ78" s="165"/>
      <c r="DVK78" s="165"/>
      <c r="DVL78" s="165"/>
      <c r="DVM78" s="165"/>
      <c r="DVN78" s="165"/>
      <c r="DVO78" s="165"/>
      <c r="DVP78" s="165"/>
      <c r="DVQ78" s="165"/>
      <c r="DVR78" s="165"/>
      <c r="DVS78" s="165"/>
      <c r="DVT78" s="165"/>
      <c r="DVU78" s="165"/>
      <c r="DVV78" s="165"/>
      <c r="DVW78" s="165"/>
      <c r="DVX78" s="165"/>
      <c r="DVY78" s="165"/>
      <c r="DVZ78" s="165"/>
      <c r="DWA78" s="165"/>
      <c r="DWB78" s="165"/>
      <c r="DWC78" s="165"/>
      <c r="DWD78" s="165"/>
      <c r="DWE78" s="165"/>
      <c r="DWF78" s="165"/>
      <c r="DWG78" s="165"/>
      <c r="DWH78" s="165"/>
      <c r="DWI78" s="165"/>
      <c r="DWJ78" s="165"/>
      <c r="DWK78" s="165"/>
      <c r="DWL78" s="165"/>
      <c r="DWM78" s="165"/>
      <c r="DWN78" s="165"/>
      <c r="DWO78" s="165"/>
      <c r="DWP78" s="165"/>
      <c r="DWQ78" s="165"/>
      <c r="DWR78" s="165"/>
      <c r="DWS78" s="165"/>
      <c r="DWT78" s="165"/>
      <c r="DWU78" s="165"/>
      <c r="DWV78" s="165"/>
      <c r="DWW78" s="165"/>
      <c r="DWX78" s="165"/>
      <c r="DWY78" s="165"/>
      <c r="DWZ78" s="165"/>
      <c r="DXA78" s="165"/>
      <c r="DXB78" s="165"/>
      <c r="DXC78" s="165"/>
      <c r="DXD78" s="165"/>
      <c r="DXE78" s="165"/>
      <c r="DXF78" s="165"/>
      <c r="DXG78" s="165"/>
      <c r="DXH78" s="165"/>
      <c r="DXI78" s="165"/>
      <c r="DXJ78" s="165"/>
      <c r="DXK78" s="165"/>
      <c r="DXL78" s="165"/>
      <c r="DXM78" s="165"/>
      <c r="DXN78" s="165"/>
      <c r="DXO78" s="165"/>
      <c r="DXP78" s="165"/>
      <c r="DXQ78" s="165"/>
      <c r="DXR78" s="165"/>
      <c r="DXS78" s="165"/>
      <c r="DXT78" s="165"/>
      <c r="DXU78" s="165"/>
      <c r="DXV78" s="165"/>
      <c r="DXW78" s="165"/>
      <c r="DXX78" s="165"/>
      <c r="DXY78" s="165"/>
      <c r="DXZ78" s="165"/>
      <c r="DYA78" s="165"/>
      <c r="DYB78" s="165"/>
      <c r="DYC78" s="165"/>
      <c r="DYD78" s="165"/>
      <c r="DYE78" s="165"/>
      <c r="DYF78" s="165"/>
      <c r="DYG78" s="165"/>
      <c r="DYH78" s="165"/>
      <c r="DYI78" s="165"/>
      <c r="DYJ78" s="165"/>
      <c r="DYK78" s="165"/>
      <c r="DYL78" s="165"/>
      <c r="DYM78" s="165"/>
      <c r="DYN78" s="165"/>
      <c r="DYO78" s="165"/>
      <c r="DYP78" s="165"/>
      <c r="DYQ78" s="165"/>
      <c r="DYR78" s="165"/>
      <c r="DYS78" s="165"/>
      <c r="DYT78" s="165"/>
      <c r="DYU78" s="165"/>
      <c r="DYV78" s="165"/>
      <c r="DYW78" s="165"/>
      <c r="DYX78" s="165"/>
      <c r="DYY78" s="165"/>
      <c r="DYZ78" s="165"/>
      <c r="DZA78" s="165"/>
      <c r="DZB78" s="165"/>
      <c r="DZC78" s="165"/>
      <c r="DZD78" s="165"/>
      <c r="DZE78" s="165"/>
      <c r="DZF78" s="165"/>
      <c r="DZG78" s="165"/>
      <c r="DZH78" s="165"/>
      <c r="DZI78" s="165"/>
      <c r="DZJ78" s="165"/>
      <c r="DZK78" s="165"/>
      <c r="DZL78" s="165"/>
      <c r="DZM78" s="165"/>
      <c r="DZN78" s="165"/>
      <c r="DZO78" s="165"/>
      <c r="DZP78" s="165"/>
      <c r="DZQ78" s="165"/>
      <c r="DZR78" s="165"/>
      <c r="DZS78" s="165"/>
      <c r="DZT78" s="165"/>
      <c r="DZU78" s="165"/>
      <c r="DZV78" s="165"/>
      <c r="DZW78" s="165"/>
      <c r="DZX78" s="165"/>
      <c r="DZY78" s="165"/>
      <c r="DZZ78" s="165"/>
      <c r="EAA78" s="165"/>
      <c r="EAB78" s="165"/>
      <c r="EAC78" s="165"/>
      <c r="EAD78" s="165"/>
      <c r="EAE78" s="165"/>
      <c r="EAF78" s="165"/>
      <c r="EAG78" s="165"/>
      <c r="EAH78" s="165"/>
      <c r="EAI78" s="165"/>
      <c r="EAJ78" s="165"/>
      <c r="EAK78" s="165"/>
      <c r="EAL78" s="165"/>
      <c r="EAM78" s="165"/>
      <c r="EAN78" s="165"/>
      <c r="EAO78" s="165"/>
      <c r="EAP78" s="165"/>
      <c r="EAQ78" s="165"/>
      <c r="EAR78" s="165"/>
      <c r="EAS78" s="165"/>
      <c r="EAT78" s="165"/>
      <c r="EAU78" s="165"/>
      <c r="EAV78" s="165"/>
      <c r="EAW78" s="165"/>
      <c r="EAX78" s="165"/>
      <c r="EAY78" s="165"/>
      <c r="EAZ78" s="165"/>
      <c r="EBA78" s="165"/>
      <c r="EBB78" s="165"/>
      <c r="EBC78" s="165"/>
      <c r="EBD78" s="165"/>
      <c r="EBE78" s="165"/>
      <c r="EBF78" s="165"/>
      <c r="EBG78" s="165"/>
      <c r="EBH78" s="165"/>
      <c r="EBI78" s="165"/>
      <c r="EBJ78" s="165"/>
      <c r="EBK78" s="165"/>
      <c r="EBL78" s="165"/>
      <c r="EBM78" s="165"/>
      <c r="EBN78" s="165"/>
      <c r="EBO78" s="165"/>
      <c r="EBP78" s="165"/>
      <c r="EBQ78" s="165"/>
      <c r="EBR78" s="165"/>
      <c r="EBS78" s="165"/>
      <c r="EBT78" s="165"/>
      <c r="EBU78" s="165"/>
      <c r="EBV78" s="165"/>
      <c r="EBW78" s="165"/>
      <c r="EBX78" s="165"/>
      <c r="EBY78" s="165"/>
      <c r="EBZ78" s="165"/>
      <c r="ECA78" s="165"/>
      <c r="ECB78" s="165"/>
      <c r="ECC78" s="165"/>
      <c r="ECD78" s="165"/>
      <c r="ECE78" s="165"/>
      <c r="ECF78" s="165"/>
      <c r="ECG78" s="165"/>
      <c r="ECH78" s="165"/>
      <c r="ECI78" s="165"/>
      <c r="ECJ78" s="165"/>
      <c r="ECK78" s="165"/>
      <c r="ECL78" s="165"/>
      <c r="ECM78" s="165"/>
      <c r="ECN78" s="165"/>
      <c r="ECO78" s="165"/>
      <c r="ECP78" s="165"/>
      <c r="ECQ78" s="165"/>
      <c r="ECR78" s="165"/>
      <c r="ECS78" s="165"/>
      <c r="ECT78" s="165"/>
      <c r="ECU78" s="165"/>
      <c r="ECV78" s="165"/>
      <c r="ECW78" s="165"/>
      <c r="ECX78" s="165"/>
      <c r="ECY78" s="165"/>
      <c r="ECZ78" s="165"/>
      <c r="EDA78" s="165"/>
      <c r="EDB78" s="165"/>
      <c r="EDC78" s="165"/>
      <c r="EDD78" s="165"/>
      <c r="EDE78" s="165"/>
      <c r="EDF78" s="165"/>
      <c r="EDG78" s="165"/>
      <c r="EDH78" s="165"/>
      <c r="EDI78" s="165"/>
      <c r="EDJ78" s="165"/>
      <c r="EDK78" s="165"/>
      <c r="EDL78" s="165"/>
      <c r="EDM78" s="165"/>
      <c r="EDN78" s="165"/>
      <c r="EDO78" s="165"/>
      <c r="EDP78" s="165"/>
      <c r="EDQ78" s="165"/>
      <c r="EDR78" s="165"/>
      <c r="EDS78" s="165"/>
      <c r="EDT78" s="165"/>
      <c r="EDU78" s="165"/>
      <c r="EDV78" s="165"/>
      <c r="EDW78" s="165"/>
      <c r="EDX78" s="165"/>
      <c r="EDY78" s="165"/>
      <c r="EDZ78" s="165"/>
      <c r="EEA78" s="165"/>
      <c r="EEB78" s="165"/>
      <c r="EEC78" s="165"/>
      <c r="EED78" s="165"/>
      <c r="EEE78" s="165"/>
      <c r="EEF78" s="165"/>
      <c r="EEG78" s="165"/>
      <c r="EEH78" s="165"/>
      <c r="EEI78" s="165"/>
      <c r="EEJ78" s="165"/>
      <c r="EEK78" s="165"/>
      <c r="EEL78" s="165"/>
      <c r="EEM78" s="165"/>
      <c r="EEN78" s="165"/>
      <c r="EEO78" s="165"/>
      <c r="EEP78" s="165"/>
      <c r="EEQ78" s="165"/>
      <c r="EER78" s="165"/>
      <c r="EES78" s="165"/>
      <c r="EET78" s="165"/>
      <c r="EEU78" s="165"/>
      <c r="EEV78" s="165"/>
      <c r="EEW78" s="165"/>
      <c r="EEX78" s="165"/>
      <c r="EEY78" s="165"/>
      <c r="EEZ78" s="165"/>
      <c r="EFA78" s="165"/>
      <c r="EFB78" s="165"/>
      <c r="EFC78" s="165"/>
      <c r="EFD78" s="165"/>
      <c r="EFE78" s="165"/>
      <c r="EFF78" s="165"/>
      <c r="EFG78" s="165"/>
      <c r="EFH78" s="165"/>
      <c r="EFI78" s="165"/>
      <c r="EFJ78" s="165"/>
      <c r="EFK78" s="165"/>
      <c r="EFL78" s="165"/>
      <c r="EFM78" s="165"/>
      <c r="EFN78" s="165"/>
      <c r="EFO78" s="165"/>
      <c r="EFP78" s="165"/>
      <c r="EFQ78" s="165"/>
      <c r="EFR78" s="165"/>
      <c r="EFS78" s="165"/>
      <c r="EFT78" s="165"/>
      <c r="EFU78" s="165"/>
      <c r="EFV78" s="165"/>
      <c r="EFW78" s="165"/>
      <c r="EFX78" s="165"/>
      <c r="EFY78" s="165"/>
      <c r="EFZ78" s="165"/>
      <c r="EGA78" s="165"/>
      <c r="EGB78" s="165"/>
      <c r="EGC78" s="165"/>
      <c r="EGD78" s="165"/>
      <c r="EGE78" s="165"/>
      <c r="EGF78" s="165"/>
      <c r="EGG78" s="165"/>
      <c r="EGH78" s="165"/>
      <c r="EGI78" s="165"/>
      <c r="EGJ78" s="165"/>
      <c r="EGK78" s="165"/>
      <c r="EGL78" s="165"/>
      <c r="EGM78" s="165"/>
      <c r="EGN78" s="165"/>
      <c r="EGO78" s="165"/>
      <c r="EGP78" s="165"/>
      <c r="EGQ78" s="165"/>
      <c r="EGR78" s="165"/>
      <c r="EGS78" s="165"/>
      <c r="EGT78" s="165"/>
      <c r="EGU78" s="165"/>
      <c r="EGV78" s="165"/>
      <c r="EGW78" s="165"/>
      <c r="EGX78" s="165"/>
      <c r="EGY78" s="165"/>
      <c r="EGZ78" s="165"/>
      <c r="EHA78" s="165"/>
      <c r="EHB78" s="165"/>
      <c r="EHC78" s="165"/>
      <c r="EHD78" s="165"/>
      <c r="EHE78" s="165"/>
      <c r="EHF78" s="165"/>
      <c r="EHG78" s="165"/>
      <c r="EHH78" s="165"/>
      <c r="EHI78" s="165"/>
      <c r="EHJ78" s="165"/>
      <c r="EHK78" s="165"/>
      <c r="EHL78" s="165"/>
      <c r="EHM78" s="165"/>
      <c r="EHN78" s="165"/>
      <c r="EHO78" s="165"/>
      <c r="EHP78" s="165"/>
      <c r="EHQ78" s="165"/>
      <c r="EHR78" s="165"/>
      <c r="EHS78" s="165"/>
      <c r="EHT78" s="165"/>
      <c r="EHU78" s="165"/>
      <c r="EHV78" s="165"/>
      <c r="EHW78" s="165"/>
      <c r="EHX78" s="165"/>
      <c r="EHY78" s="165"/>
      <c r="EHZ78" s="165"/>
      <c r="EIA78" s="165"/>
      <c r="EIB78" s="165"/>
      <c r="EIC78" s="165"/>
      <c r="EID78" s="165"/>
      <c r="EIE78" s="165"/>
      <c r="EIF78" s="165"/>
      <c r="EIG78" s="165"/>
      <c r="EIH78" s="165"/>
      <c r="EII78" s="165"/>
      <c r="EIJ78" s="165"/>
      <c r="EIK78" s="165"/>
      <c r="EIL78" s="165"/>
      <c r="EIM78" s="165"/>
      <c r="EIN78" s="165"/>
      <c r="EIO78" s="165"/>
      <c r="EIP78" s="165"/>
      <c r="EIQ78" s="165"/>
      <c r="EIR78" s="165"/>
      <c r="EIS78" s="165"/>
      <c r="EIT78" s="165"/>
      <c r="EIU78" s="165"/>
      <c r="EIV78" s="165"/>
      <c r="EIW78" s="165"/>
      <c r="EIX78" s="165"/>
      <c r="EIY78" s="165"/>
      <c r="EIZ78" s="165"/>
      <c r="EJA78" s="165"/>
      <c r="EJB78" s="165"/>
      <c r="EJC78" s="165"/>
      <c r="EJD78" s="165"/>
      <c r="EJE78" s="165"/>
      <c r="EJF78" s="165"/>
      <c r="EJG78" s="165"/>
      <c r="EJH78" s="165"/>
      <c r="EJI78" s="165"/>
      <c r="EJJ78" s="165"/>
      <c r="EJK78" s="165"/>
      <c r="EJL78" s="165"/>
      <c r="EJM78" s="165"/>
      <c r="EJN78" s="165"/>
      <c r="EJO78" s="165"/>
      <c r="EJP78" s="165"/>
      <c r="EJQ78" s="165"/>
      <c r="EJR78" s="165"/>
      <c r="EJS78" s="165"/>
      <c r="EJT78" s="165"/>
      <c r="EJU78" s="165"/>
      <c r="EJV78" s="165"/>
      <c r="EJW78" s="165"/>
      <c r="EJX78" s="165"/>
      <c r="EJY78" s="165"/>
      <c r="EJZ78" s="165"/>
      <c r="EKA78" s="165"/>
      <c r="EKB78" s="165"/>
      <c r="EKC78" s="165"/>
      <c r="EKD78" s="165"/>
      <c r="EKE78" s="165"/>
      <c r="EKF78" s="165"/>
      <c r="EKG78" s="165"/>
      <c r="EKH78" s="165"/>
      <c r="EKI78" s="165"/>
      <c r="EKJ78" s="165"/>
      <c r="EKK78" s="165"/>
      <c r="EKL78" s="165"/>
      <c r="EKM78" s="165"/>
      <c r="EKN78" s="165"/>
      <c r="EKO78" s="165"/>
      <c r="EKP78" s="165"/>
      <c r="EKQ78" s="165"/>
      <c r="EKR78" s="165"/>
      <c r="EKS78" s="165"/>
      <c r="EKT78" s="165"/>
      <c r="EKU78" s="165"/>
      <c r="EKV78" s="165"/>
      <c r="EKW78" s="165"/>
      <c r="EKX78" s="165"/>
      <c r="EKY78" s="165"/>
      <c r="EKZ78" s="165"/>
      <c r="ELA78" s="165"/>
      <c r="ELB78" s="165"/>
      <c r="ELC78" s="165"/>
      <c r="ELD78" s="165"/>
      <c r="ELE78" s="165"/>
      <c r="ELF78" s="165"/>
      <c r="ELG78" s="165"/>
      <c r="ELH78" s="165"/>
      <c r="ELI78" s="165"/>
      <c r="ELJ78" s="165"/>
      <c r="ELK78" s="165"/>
      <c r="ELL78" s="165"/>
      <c r="ELM78" s="165"/>
      <c r="ELN78" s="165"/>
      <c r="ELO78" s="165"/>
      <c r="ELP78" s="165"/>
      <c r="ELQ78" s="165"/>
      <c r="ELR78" s="165"/>
      <c r="ELS78" s="165"/>
      <c r="ELT78" s="165"/>
      <c r="ELU78" s="165"/>
      <c r="ELV78" s="165"/>
      <c r="ELW78" s="165"/>
      <c r="ELX78" s="165"/>
      <c r="ELY78" s="165"/>
      <c r="ELZ78" s="165"/>
      <c r="EMA78" s="165"/>
      <c r="EMB78" s="165"/>
      <c r="EMC78" s="165"/>
      <c r="EMD78" s="165"/>
      <c r="EME78" s="165"/>
      <c r="EMF78" s="165"/>
      <c r="EMG78" s="165"/>
      <c r="EMH78" s="165"/>
      <c r="EMI78" s="165"/>
      <c r="EMJ78" s="165"/>
      <c r="EMK78" s="165"/>
      <c r="EML78" s="165"/>
      <c r="EMM78" s="165"/>
      <c r="EMN78" s="165"/>
      <c r="EMO78" s="165"/>
      <c r="EMP78" s="165"/>
      <c r="EMQ78" s="165"/>
      <c r="EMR78" s="165"/>
      <c r="EMS78" s="165"/>
      <c r="EMT78" s="165"/>
      <c r="EMU78" s="165"/>
      <c r="EMV78" s="165"/>
      <c r="EMW78" s="165"/>
      <c r="EMX78" s="165"/>
      <c r="EMY78" s="165"/>
      <c r="EMZ78" s="165"/>
      <c r="ENA78" s="165"/>
      <c r="ENB78" s="165"/>
      <c r="ENC78" s="165"/>
      <c r="END78" s="165"/>
      <c r="ENE78" s="165"/>
      <c r="ENF78" s="165"/>
      <c r="ENG78" s="165"/>
      <c r="ENH78" s="165"/>
      <c r="ENI78" s="165"/>
      <c r="ENJ78" s="165"/>
      <c r="ENK78" s="165"/>
      <c r="ENL78" s="165"/>
      <c r="ENM78" s="165"/>
      <c r="ENN78" s="165"/>
      <c r="ENO78" s="165"/>
      <c r="ENP78" s="165"/>
      <c r="ENQ78" s="165"/>
      <c r="ENR78" s="165"/>
      <c r="ENS78" s="165"/>
      <c r="ENT78" s="165"/>
      <c r="ENU78" s="165"/>
      <c r="ENV78" s="165"/>
      <c r="ENW78" s="165"/>
      <c r="ENX78" s="165"/>
      <c r="ENY78" s="165"/>
      <c r="ENZ78" s="165"/>
      <c r="EOA78" s="165"/>
      <c r="EOB78" s="165"/>
      <c r="EOC78" s="165"/>
      <c r="EOD78" s="165"/>
      <c r="EOE78" s="165"/>
      <c r="EOF78" s="165"/>
      <c r="EOG78" s="165"/>
      <c r="EOH78" s="165"/>
      <c r="EOI78" s="165"/>
      <c r="EOJ78" s="165"/>
      <c r="EOK78" s="165"/>
      <c r="EOL78" s="165"/>
      <c r="EOM78" s="165"/>
      <c r="EON78" s="165"/>
      <c r="EOO78" s="165"/>
      <c r="EOP78" s="165"/>
      <c r="EOQ78" s="165"/>
      <c r="EOR78" s="165"/>
      <c r="EOS78" s="165"/>
      <c r="EOT78" s="165"/>
      <c r="EOU78" s="165"/>
      <c r="EOV78" s="165"/>
      <c r="EOW78" s="165"/>
      <c r="EOX78" s="165"/>
      <c r="EOY78" s="165"/>
      <c r="EOZ78" s="165"/>
      <c r="EPA78" s="165"/>
      <c r="EPB78" s="165"/>
      <c r="EPC78" s="165"/>
      <c r="EPD78" s="165"/>
      <c r="EPE78" s="165"/>
      <c r="EPF78" s="165"/>
      <c r="EPG78" s="165"/>
      <c r="EPH78" s="165"/>
      <c r="EPI78" s="165"/>
      <c r="EPJ78" s="165"/>
      <c r="EPK78" s="165"/>
      <c r="EPL78" s="165"/>
      <c r="EPM78" s="165"/>
      <c r="EPN78" s="165"/>
      <c r="EPO78" s="165"/>
      <c r="EPP78" s="165"/>
      <c r="EPQ78" s="165"/>
      <c r="EPR78" s="165"/>
      <c r="EPS78" s="165"/>
      <c r="EPT78" s="165"/>
      <c r="EPU78" s="165"/>
      <c r="EPV78" s="165"/>
      <c r="EPW78" s="165"/>
      <c r="EPX78" s="165"/>
      <c r="EPY78" s="165"/>
      <c r="EPZ78" s="165"/>
      <c r="EQA78" s="165"/>
      <c r="EQB78" s="165"/>
      <c r="EQC78" s="165"/>
      <c r="EQD78" s="165"/>
      <c r="EQE78" s="165"/>
      <c r="EQF78" s="165"/>
      <c r="EQG78" s="165"/>
      <c r="EQH78" s="165"/>
      <c r="EQI78" s="165"/>
      <c r="EQJ78" s="165"/>
      <c r="EQK78" s="165"/>
      <c r="EQL78" s="165"/>
      <c r="EQM78" s="165"/>
      <c r="EQN78" s="165"/>
      <c r="EQO78" s="165"/>
      <c r="EQP78" s="165"/>
      <c r="EQQ78" s="165"/>
      <c r="EQR78" s="165"/>
      <c r="EQS78" s="165"/>
      <c r="EQT78" s="165"/>
      <c r="EQU78" s="165"/>
      <c r="EQV78" s="165"/>
      <c r="EQW78" s="165"/>
      <c r="EQX78" s="165"/>
      <c r="EQY78" s="165"/>
      <c r="EQZ78" s="165"/>
      <c r="ERA78" s="165"/>
      <c r="ERB78" s="165"/>
      <c r="ERC78" s="165"/>
      <c r="ERD78" s="165"/>
      <c r="ERE78" s="165"/>
      <c r="ERF78" s="165"/>
      <c r="ERG78" s="165"/>
      <c r="ERH78" s="165"/>
      <c r="ERI78" s="165"/>
      <c r="ERJ78" s="165"/>
      <c r="ERK78" s="165"/>
      <c r="ERL78" s="165"/>
      <c r="ERM78" s="165"/>
      <c r="ERN78" s="165"/>
      <c r="ERO78" s="165"/>
      <c r="ERP78" s="165"/>
      <c r="ERQ78" s="165"/>
      <c r="ERR78" s="165"/>
      <c r="ERS78" s="165"/>
      <c r="ERT78" s="165"/>
      <c r="ERU78" s="165"/>
      <c r="ERV78" s="165"/>
      <c r="ERW78" s="165"/>
      <c r="ERX78" s="165"/>
      <c r="ERY78" s="165"/>
      <c r="ERZ78" s="165"/>
      <c r="ESA78" s="165"/>
      <c r="ESB78" s="165"/>
      <c r="ESC78" s="165"/>
      <c r="ESD78" s="165"/>
      <c r="ESE78" s="165"/>
      <c r="ESF78" s="165"/>
      <c r="ESG78" s="165"/>
      <c r="ESH78" s="165"/>
      <c r="ESI78" s="165"/>
      <c r="ESJ78" s="165"/>
      <c r="ESK78" s="165"/>
      <c r="ESL78" s="165"/>
      <c r="ESM78" s="165"/>
      <c r="ESN78" s="165"/>
      <c r="ESO78" s="165"/>
      <c r="ESP78" s="165"/>
      <c r="ESQ78" s="165"/>
      <c r="ESR78" s="165"/>
      <c r="ESS78" s="165"/>
      <c r="EST78" s="165"/>
      <c r="ESU78" s="165"/>
      <c r="ESV78" s="165"/>
      <c r="ESW78" s="165"/>
      <c r="ESX78" s="165"/>
      <c r="ESY78" s="165"/>
      <c r="ESZ78" s="165"/>
      <c r="ETA78" s="165"/>
      <c r="ETB78" s="165"/>
      <c r="ETC78" s="165"/>
      <c r="ETD78" s="165"/>
      <c r="ETE78" s="165"/>
      <c r="ETF78" s="165"/>
      <c r="ETG78" s="165"/>
      <c r="ETH78" s="165"/>
      <c r="ETI78" s="165"/>
      <c r="ETJ78" s="165"/>
      <c r="ETK78" s="165"/>
      <c r="ETL78" s="165"/>
      <c r="ETM78" s="165"/>
      <c r="ETN78" s="165"/>
      <c r="ETO78" s="165"/>
      <c r="ETP78" s="165"/>
      <c r="ETQ78" s="165"/>
      <c r="ETR78" s="165"/>
      <c r="ETS78" s="165"/>
      <c r="ETT78" s="165"/>
      <c r="ETU78" s="165"/>
      <c r="ETV78" s="165"/>
      <c r="ETW78" s="165"/>
      <c r="ETX78" s="165"/>
      <c r="ETY78" s="165"/>
      <c r="ETZ78" s="165"/>
      <c r="EUA78" s="165"/>
      <c r="EUB78" s="165"/>
      <c r="EUC78" s="165"/>
      <c r="EUD78" s="165"/>
      <c r="EUE78" s="165"/>
      <c r="EUF78" s="165"/>
      <c r="EUG78" s="165"/>
      <c r="EUH78" s="165"/>
      <c r="EUI78" s="165"/>
      <c r="EUJ78" s="165"/>
      <c r="EUK78" s="165"/>
      <c r="EUL78" s="165"/>
      <c r="EUM78" s="165"/>
      <c r="EUN78" s="165"/>
      <c r="EUO78" s="165"/>
      <c r="EUP78" s="165"/>
      <c r="EUQ78" s="165"/>
      <c r="EUR78" s="165"/>
      <c r="EUS78" s="165"/>
      <c r="EUT78" s="165"/>
      <c r="EUU78" s="165"/>
      <c r="EUV78" s="165"/>
      <c r="EUW78" s="165"/>
      <c r="EUX78" s="165"/>
      <c r="EUY78" s="165"/>
      <c r="EUZ78" s="165"/>
      <c r="EVA78" s="165"/>
      <c r="EVB78" s="165"/>
      <c r="EVC78" s="165"/>
      <c r="EVD78" s="165"/>
      <c r="EVE78" s="165"/>
      <c r="EVF78" s="165"/>
      <c r="EVG78" s="165"/>
      <c r="EVH78" s="165"/>
      <c r="EVI78" s="165"/>
      <c r="EVJ78" s="165"/>
      <c r="EVK78" s="165"/>
      <c r="EVL78" s="165"/>
      <c r="EVM78" s="165"/>
      <c r="EVN78" s="165"/>
      <c r="EVO78" s="165"/>
      <c r="EVP78" s="165"/>
      <c r="EVQ78" s="165"/>
      <c r="EVR78" s="165"/>
      <c r="EVS78" s="165"/>
      <c r="EVT78" s="165"/>
      <c r="EVU78" s="165"/>
      <c r="EVV78" s="165"/>
      <c r="EVW78" s="165"/>
      <c r="EVX78" s="165"/>
      <c r="EVY78" s="165"/>
      <c r="EVZ78" s="165"/>
      <c r="EWA78" s="165"/>
      <c r="EWB78" s="165"/>
      <c r="EWC78" s="165"/>
      <c r="EWD78" s="165"/>
      <c r="EWE78" s="165"/>
      <c r="EWF78" s="165"/>
      <c r="EWG78" s="165"/>
      <c r="EWH78" s="165"/>
      <c r="EWI78" s="165"/>
      <c r="EWJ78" s="165"/>
      <c r="EWK78" s="165"/>
      <c r="EWL78" s="165"/>
      <c r="EWM78" s="165"/>
      <c r="EWN78" s="165"/>
      <c r="EWO78" s="165"/>
      <c r="EWP78" s="165"/>
      <c r="EWQ78" s="165"/>
      <c r="EWR78" s="165"/>
      <c r="EWS78" s="165"/>
      <c r="EWT78" s="165"/>
      <c r="EWU78" s="165"/>
      <c r="EWV78" s="165"/>
      <c r="EWW78" s="165"/>
      <c r="EWX78" s="165"/>
      <c r="EWY78" s="165"/>
      <c r="EWZ78" s="165"/>
      <c r="EXA78" s="165"/>
      <c r="EXB78" s="165"/>
      <c r="EXC78" s="165"/>
      <c r="EXD78" s="165"/>
      <c r="EXE78" s="165"/>
      <c r="EXF78" s="165"/>
      <c r="EXG78" s="165"/>
      <c r="EXH78" s="165"/>
      <c r="EXI78" s="165"/>
      <c r="EXJ78" s="165"/>
      <c r="EXK78" s="165"/>
      <c r="EXL78" s="165"/>
      <c r="EXM78" s="165"/>
      <c r="EXN78" s="165"/>
      <c r="EXO78" s="165"/>
      <c r="EXP78" s="165"/>
      <c r="EXQ78" s="165"/>
      <c r="EXR78" s="165"/>
      <c r="EXS78" s="165"/>
      <c r="EXT78" s="165"/>
      <c r="EXU78" s="165"/>
      <c r="EXV78" s="165"/>
      <c r="EXW78" s="165"/>
      <c r="EXX78" s="165"/>
      <c r="EXY78" s="165"/>
      <c r="EXZ78" s="165"/>
      <c r="EYA78" s="165"/>
      <c r="EYB78" s="165"/>
      <c r="EYC78" s="165"/>
      <c r="EYD78" s="165"/>
      <c r="EYE78" s="165"/>
      <c r="EYF78" s="165"/>
      <c r="EYG78" s="165"/>
      <c r="EYH78" s="165"/>
      <c r="EYI78" s="165"/>
      <c r="EYJ78" s="165"/>
      <c r="EYK78" s="165"/>
      <c r="EYL78" s="165"/>
      <c r="EYM78" s="165"/>
      <c r="EYN78" s="165"/>
      <c r="EYO78" s="165"/>
      <c r="EYP78" s="165"/>
      <c r="EYQ78" s="165"/>
      <c r="EYR78" s="165"/>
      <c r="EYS78" s="165"/>
      <c r="EYT78" s="165"/>
      <c r="EYU78" s="165"/>
      <c r="EYV78" s="165"/>
      <c r="EYW78" s="165"/>
      <c r="EYX78" s="165"/>
      <c r="EYY78" s="165"/>
      <c r="EYZ78" s="165"/>
      <c r="EZA78" s="165"/>
      <c r="EZB78" s="165"/>
      <c r="EZC78" s="165"/>
      <c r="EZD78" s="165"/>
      <c r="EZE78" s="165"/>
      <c r="EZF78" s="165"/>
      <c r="EZG78" s="165"/>
      <c r="EZH78" s="165"/>
      <c r="EZI78" s="165"/>
      <c r="EZJ78" s="165"/>
      <c r="EZK78" s="165"/>
      <c r="EZL78" s="165"/>
      <c r="EZM78" s="165"/>
      <c r="EZN78" s="165"/>
      <c r="EZO78" s="165"/>
      <c r="EZP78" s="165"/>
      <c r="EZQ78" s="165"/>
      <c r="EZR78" s="165"/>
      <c r="EZS78" s="165"/>
      <c r="EZT78" s="165"/>
      <c r="EZU78" s="165"/>
      <c r="EZV78" s="165"/>
      <c r="EZW78" s="165"/>
      <c r="EZX78" s="165"/>
      <c r="EZY78" s="165"/>
      <c r="EZZ78" s="165"/>
      <c r="FAA78" s="165"/>
      <c r="FAB78" s="165"/>
      <c r="FAC78" s="165"/>
      <c r="FAD78" s="165"/>
      <c r="FAE78" s="165"/>
      <c r="FAF78" s="165"/>
      <c r="FAG78" s="165"/>
      <c r="FAH78" s="165"/>
      <c r="FAI78" s="165"/>
      <c r="FAJ78" s="165"/>
      <c r="FAK78" s="165"/>
      <c r="FAL78" s="165"/>
      <c r="FAM78" s="165"/>
      <c r="FAN78" s="165"/>
      <c r="FAO78" s="165"/>
      <c r="FAP78" s="165"/>
      <c r="FAQ78" s="165"/>
      <c r="FAR78" s="165"/>
      <c r="FAS78" s="165"/>
      <c r="FAT78" s="165"/>
      <c r="FAU78" s="165"/>
      <c r="FAV78" s="165"/>
      <c r="FAW78" s="165"/>
      <c r="FAX78" s="165"/>
      <c r="FAY78" s="165"/>
      <c r="FAZ78" s="165"/>
      <c r="FBA78" s="165"/>
      <c r="FBB78" s="165"/>
      <c r="FBC78" s="165"/>
      <c r="FBD78" s="165"/>
      <c r="FBE78" s="165"/>
      <c r="FBF78" s="165"/>
      <c r="FBG78" s="165"/>
      <c r="FBH78" s="165"/>
      <c r="FBI78" s="165"/>
      <c r="FBJ78" s="165"/>
      <c r="FBK78" s="165"/>
      <c r="FBL78" s="165"/>
      <c r="FBM78" s="165"/>
      <c r="FBN78" s="165"/>
      <c r="FBO78" s="165"/>
      <c r="FBP78" s="165"/>
      <c r="FBQ78" s="165"/>
      <c r="FBR78" s="165"/>
      <c r="FBS78" s="165"/>
      <c r="FBT78" s="165"/>
      <c r="FBU78" s="165"/>
      <c r="FBV78" s="165"/>
      <c r="FBW78" s="165"/>
      <c r="FBX78" s="165"/>
      <c r="FBY78" s="165"/>
      <c r="FBZ78" s="165"/>
      <c r="FCA78" s="165"/>
      <c r="FCB78" s="165"/>
      <c r="FCC78" s="165"/>
      <c r="FCD78" s="165"/>
      <c r="FCE78" s="165"/>
      <c r="FCF78" s="165"/>
      <c r="FCG78" s="165"/>
      <c r="FCH78" s="165"/>
      <c r="FCI78" s="165"/>
      <c r="FCJ78" s="165"/>
      <c r="FCK78" s="165"/>
      <c r="FCL78" s="165"/>
      <c r="FCM78" s="165"/>
      <c r="FCN78" s="165"/>
      <c r="FCO78" s="165"/>
      <c r="FCP78" s="165"/>
      <c r="FCQ78" s="165"/>
      <c r="FCR78" s="165"/>
      <c r="FCS78" s="165"/>
      <c r="FCT78" s="165"/>
      <c r="FCU78" s="165"/>
      <c r="FCV78" s="165"/>
      <c r="FCW78" s="165"/>
      <c r="FCX78" s="165"/>
      <c r="FCY78" s="165"/>
      <c r="FCZ78" s="165"/>
      <c r="FDA78" s="165"/>
      <c r="FDB78" s="165"/>
      <c r="FDC78" s="165"/>
      <c r="FDD78" s="165"/>
      <c r="FDE78" s="165"/>
      <c r="FDF78" s="165"/>
      <c r="FDG78" s="165"/>
      <c r="FDH78" s="165"/>
      <c r="FDI78" s="165"/>
      <c r="FDJ78" s="165"/>
      <c r="FDK78" s="165"/>
      <c r="FDL78" s="165"/>
      <c r="FDM78" s="165"/>
      <c r="FDN78" s="165"/>
      <c r="FDO78" s="165"/>
      <c r="FDP78" s="165"/>
      <c r="FDQ78" s="165"/>
      <c r="FDR78" s="165"/>
      <c r="FDS78" s="165"/>
      <c r="FDT78" s="165"/>
      <c r="FDU78" s="165"/>
      <c r="FDV78" s="165"/>
      <c r="FDW78" s="165"/>
      <c r="FDX78" s="165"/>
      <c r="FDY78" s="165"/>
      <c r="FDZ78" s="165"/>
      <c r="FEA78" s="165"/>
      <c r="FEB78" s="165"/>
      <c r="FEC78" s="165"/>
      <c r="FED78" s="165"/>
      <c r="FEE78" s="165"/>
      <c r="FEF78" s="165"/>
      <c r="FEG78" s="165"/>
      <c r="FEH78" s="165"/>
      <c r="FEI78" s="165"/>
      <c r="FEJ78" s="165"/>
      <c r="FEK78" s="165"/>
      <c r="FEL78" s="165"/>
      <c r="FEM78" s="165"/>
      <c r="FEN78" s="165"/>
      <c r="FEO78" s="165"/>
      <c r="FEP78" s="165"/>
      <c r="FEQ78" s="165"/>
      <c r="FER78" s="165"/>
      <c r="FES78" s="165"/>
      <c r="FET78" s="165"/>
      <c r="FEU78" s="165"/>
      <c r="FEV78" s="165"/>
      <c r="FEW78" s="165"/>
      <c r="FEX78" s="165"/>
      <c r="FEY78" s="165"/>
      <c r="FEZ78" s="165"/>
      <c r="FFA78" s="165"/>
      <c r="FFB78" s="165"/>
      <c r="FFC78" s="165"/>
      <c r="FFD78" s="165"/>
      <c r="FFE78" s="165"/>
      <c r="FFF78" s="165"/>
      <c r="FFG78" s="165"/>
      <c r="FFH78" s="165"/>
      <c r="FFI78" s="165"/>
      <c r="FFJ78" s="165"/>
      <c r="FFK78" s="165"/>
      <c r="FFL78" s="165"/>
      <c r="FFM78" s="165"/>
      <c r="FFN78" s="165"/>
      <c r="FFO78" s="165"/>
      <c r="FFP78" s="165"/>
      <c r="FFQ78" s="165"/>
      <c r="FFR78" s="165"/>
      <c r="FFS78" s="165"/>
      <c r="FFT78" s="165"/>
      <c r="FFU78" s="165"/>
      <c r="FFV78" s="165"/>
      <c r="FFW78" s="165"/>
      <c r="FFX78" s="165"/>
      <c r="FFY78" s="165"/>
      <c r="FFZ78" s="165"/>
      <c r="FGA78" s="165"/>
      <c r="FGB78" s="165"/>
      <c r="FGC78" s="165"/>
      <c r="FGD78" s="165"/>
      <c r="FGE78" s="165"/>
      <c r="FGF78" s="165"/>
      <c r="FGG78" s="165"/>
      <c r="FGH78" s="165"/>
      <c r="FGI78" s="165"/>
      <c r="FGJ78" s="165"/>
      <c r="FGK78" s="165"/>
      <c r="FGL78" s="165"/>
      <c r="FGM78" s="165"/>
      <c r="FGN78" s="165"/>
      <c r="FGO78" s="165"/>
      <c r="FGP78" s="165"/>
      <c r="FGQ78" s="165"/>
      <c r="FGR78" s="165"/>
      <c r="FGS78" s="165"/>
      <c r="FGT78" s="165"/>
      <c r="FGU78" s="165"/>
      <c r="FGV78" s="165"/>
      <c r="FGW78" s="165"/>
      <c r="FGX78" s="165"/>
      <c r="FGY78" s="165"/>
      <c r="FGZ78" s="165"/>
      <c r="FHA78" s="165"/>
      <c r="FHB78" s="165"/>
      <c r="FHC78" s="165"/>
      <c r="FHD78" s="165"/>
      <c r="FHE78" s="165"/>
      <c r="FHF78" s="165"/>
      <c r="FHG78" s="165"/>
      <c r="FHH78" s="165"/>
      <c r="FHI78" s="165"/>
      <c r="FHJ78" s="165"/>
      <c r="FHK78" s="165"/>
      <c r="FHL78" s="165"/>
      <c r="FHM78" s="165"/>
      <c r="FHN78" s="165"/>
      <c r="FHO78" s="165"/>
      <c r="FHP78" s="165"/>
      <c r="FHQ78" s="165"/>
      <c r="FHR78" s="165"/>
      <c r="FHS78" s="165"/>
      <c r="FHT78" s="165"/>
      <c r="FHU78" s="165"/>
      <c r="FHV78" s="165"/>
      <c r="FHW78" s="165"/>
      <c r="FHX78" s="165"/>
      <c r="FHY78" s="165"/>
      <c r="FHZ78" s="165"/>
      <c r="FIA78" s="165"/>
      <c r="FIB78" s="165"/>
      <c r="FIC78" s="165"/>
      <c r="FID78" s="165"/>
      <c r="FIE78" s="165"/>
      <c r="FIF78" s="165"/>
      <c r="FIG78" s="165"/>
      <c r="FIH78" s="165"/>
      <c r="FII78" s="165"/>
      <c r="FIJ78" s="165"/>
      <c r="FIK78" s="165"/>
      <c r="FIL78" s="165"/>
      <c r="FIM78" s="165"/>
      <c r="FIN78" s="165"/>
      <c r="FIO78" s="165"/>
      <c r="FIP78" s="165"/>
      <c r="FIQ78" s="165"/>
      <c r="FIR78" s="165"/>
      <c r="FIS78" s="165"/>
      <c r="FIT78" s="165"/>
      <c r="FIU78" s="165"/>
      <c r="FIV78" s="165"/>
      <c r="FIW78" s="165"/>
      <c r="FIX78" s="165"/>
      <c r="FIY78" s="165"/>
      <c r="FIZ78" s="165"/>
      <c r="FJA78" s="165"/>
      <c r="FJB78" s="165"/>
      <c r="FJC78" s="165"/>
      <c r="FJD78" s="165"/>
      <c r="FJE78" s="165"/>
      <c r="FJF78" s="165"/>
      <c r="FJG78" s="165"/>
      <c r="FJH78" s="165"/>
      <c r="FJI78" s="165"/>
      <c r="FJJ78" s="165"/>
      <c r="FJK78" s="165"/>
      <c r="FJL78" s="165"/>
      <c r="FJM78" s="165"/>
      <c r="FJN78" s="165"/>
      <c r="FJO78" s="165"/>
      <c r="FJP78" s="165"/>
      <c r="FJQ78" s="165"/>
      <c r="FJR78" s="165"/>
      <c r="FJS78" s="165"/>
      <c r="FJT78" s="165"/>
      <c r="FJU78" s="165"/>
      <c r="FJV78" s="165"/>
      <c r="FJW78" s="165"/>
      <c r="FJX78" s="165"/>
      <c r="FJY78" s="165"/>
      <c r="FJZ78" s="165"/>
      <c r="FKA78" s="165"/>
      <c r="FKB78" s="165"/>
      <c r="FKC78" s="165"/>
      <c r="FKD78" s="165"/>
      <c r="FKE78" s="165"/>
      <c r="FKF78" s="165"/>
      <c r="FKG78" s="165"/>
      <c r="FKH78" s="165"/>
      <c r="FKI78" s="165"/>
      <c r="FKJ78" s="165"/>
      <c r="FKK78" s="165"/>
      <c r="FKL78" s="165"/>
      <c r="FKM78" s="165"/>
      <c r="FKN78" s="165"/>
      <c r="FKO78" s="165"/>
      <c r="FKP78" s="165"/>
      <c r="FKQ78" s="165"/>
      <c r="FKR78" s="165"/>
      <c r="FKS78" s="165"/>
      <c r="FKT78" s="165"/>
      <c r="FKU78" s="165"/>
      <c r="FKV78" s="165"/>
      <c r="FKW78" s="165"/>
      <c r="FKX78" s="165"/>
      <c r="FKY78" s="165"/>
      <c r="FKZ78" s="165"/>
      <c r="FLA78" s="165"/>
      <c r="FLB78" s="165"/>
      <c r="FLC78" s="165"/>
      <c r="FLD78" s="165"/>
      <c r="FLE78" s="165"/>
      <c r="FLF78" s="165"/>
      <c r="FLG78" s="165"/>
      <c r="FLH78" s="165"/>
      <c r="FLI78" s="165"/>
      <c r="FLJ78" s="165"/>
      <c r="FLK78" s="165"/>
      <c r="FLL78" s="165"/>
      <c r="FLM78" s="165"/>
      <c r="FLN78" s="165"/>
      <c r="FLO78" s="165"/>
      <c r="FLP78" s="165"/>
      <c r="FLQ78" s="165"/>
      <c r="FLR78" s="165"/>
      <c r="FLS78" s="165"/>
      <c r="FLT78" s="165"/>
      <c r="FLU78" s="165"/>
      <c r="FLV78" s="165"/>
      <c r="FLW78" s="165"/>
      <c r="FLX78" s="165"/>
      <c r="FLY78" s="165"/>
      <c r="FLZ78" s="165"/>
      <c r="FMA78" s="165"/>
      <c r="FMB78" s="165"/>
      <c r="FMC78" s="165"/>
      <c r="FMD78" s="165"/>
      <c r="FME78" s="165"/>
      <c r="FMF78" s="165"/>
      <c r="FMG78" s="165"/>
      <c r="FMH78" s="165"/>
      <c r="FMI78" s="165"/>
      <c r="FMJ78" s="165"/>
      <c r="FMK78" s="165"/>
      <c r="FML78" s="165"/>
      <c r="FMM78" s="165"/>
      <c r="FMN78" s="165"/>
      <c r="FMO78" s="165"/>
      <c r="FMP78" s="165"/>
      <c r="FMQ78" s="165"/>
      <c r="FMR78" s="165"/>
      <c r="FMS78" s="165"/>
      <c r="FMT78" s="165"/>
      <c r="FMU78" s="165"/>
      <c r="FMV78" s="165"/>
      <c r="FMW78" s="165"/>
      <c r="FMX78" s="165"/>
      <c r="FMY78" s="165"/>
      <c r="FMZ78" s="165"/>
      <c r="FNA78" s="165"/>
      <c r="FNB78" s="165"/>
      <c r="FNC78" s="165"/>
      <c r="FND78" s="165"/>
      <c r="FNE78" s="165"/>
      <c r="FNF78" s="165"/>
      <c r="FNG78" s="165"/>
      <c r="FNH78" s="165"/>
      <c r="FNI78" s="165"/>
      <c r="FNJ78" s="165"/>
      <c r="FNK78" s="165"/>
      <c r="FNL78" s="165"/>
      <c r="FNM78" s="165"/>
      <c r="FNN78" s="165"/>
      <c r="FNO78" s="165"/>
      <c r="FNP78" s="165"/>
      <c r="FNQ78" s="165"/>
      <c r="FNR78" s="165"/>
      <c r="FNS78" s="165"/>
      <c r="FNT78" s="165"/>
      <c r="FNU78" s="165"/>
      <c r="FNV78" s="165"/>
      <c r="FNW78" s="165"/>
      <c r="FNX78" s="165"/>
      <c r="FNY78" s="165"/>
      <c r="FNZ78" s="165"/>
      <c r="FOA78" s="165"/>
      <c r="FOB78" s="165"/>
      <c r="FOC78" s="165"/>
      <c r="FOD78" s="165"/>
      <c r="FOE78" s="165"/>
      <c r="FOF78" s="165"/>
      <c r="FOG78" s="165"/>
      <c r="FOH78" s="165"/>
      <c r="FOI78" s="165"/>
      <c r="FOJ78" s="165"/>
      <c r="FOK78" s="165"/>
      <c r="FOL78" s="165"/>
      <c r="FOM78" s="165"/>
      <c r="FON78" s="165"/>
      <c r="FOO78" s="165"/>
      <c r="FOP78" s="165"/>
      <c r="FOQ78" s="165"/>
      <c r="FOR78" s="165"/>
      <c r="FOS78" s="165"/>
      <c r="FOT78" s="165"/>
      <c r="FOU78" s="165"/>
      <c r="FOV78" s="165"/>
      <c r="FOW78" s="165"/>
      <c r="FOX78" s="165"/>
      <c r="FOY78" s="165"/>
      <c r="FOZ78" s="165"/>
      <c r="FPA78" s="165"/>
      <c r="FPB78" s="165"/>
      <c r="FPC78" s="165"/>
      <c r="FPD78" s="165"/>
      <c r="FPE78" s="165"/>
      <c r="FPF78" s="165"/>
      <c r="FPG78" s="165"/>
      <c r="FPH78" s="165"/>
      <c r="FPI78" s="165"/>
      <c r="FPJ78" s="165"/>
      <c r="FPK78" s="165"/>
      <c r="FPL78" s="165"/>
      <c r="FPM78" s="165"/>
      <c r="FPN78" s="165"/>
      <c r="FPO78" s="165"/>
      <c r="FPP78" s="165"/>
      <c r="FPQ78" s="165"/>
      <c r="FPR78" s="165"/>
      <c r="FPS78" s="165"/>
      <c r="FPT78" s="165"/>
      <c r="FPU78" s="165"/>
      <c r="FPV78" s="165"/>
      <c r="FPW78" s="165"/>
      <c r="FPX78" s="165"/>
      <c r="FPY78" s="165"/>
      <c r="FPZ78" s="165"/>
      <c r="FQA78" s="165"/>
      <c r="FQB78" s="165"/>
      <c r="FQC78" s="165"/>
      <c r="FQD78" s="165"/>
      <c r="FQE78" s="165"/>
      <c r="FQF78" s="165"/>
      <c r="FQG78" s="165"/>
      <c r="FQH78" s="165"/>
      <c r="FQI78" s="165"/>
      <c r="FQJ78" s="165"/>
      <c r="FQK78" s="165"/>
      <c r="FQL78" s="165"/>
      <c r="FQM78" s="165"/>
      <c r="FQN78" s="165"/>
      <c r="FQO78" s="165"/>
      <c r="FQP78" s="165"/>
      <c r="FQQ78" s="165"/>
      <c r="FQR78" s="165"/>
      <c r="FQS78" s="165"/>
      <c r="FQT78" s="165"/>
      <c r="FQU78" s="165"/>
      <c r="FQV78" s="165"/>
      <c r="FQW78" s="165"/>
      <c r="FQX78" s="165"/>
      <c r="FQY78" s="165"/>
      <c r="FQZ78" s="165"/>
      <c r="FRA78" s="165"/>
      <c r="FRB78" s="165"/>
      <c r="FRC78" s="165"/>
      <c r="FRD78" s="165"/>
      <c r="FRE78" s="165"/>
      <c r="FRF78" s="165"/>
      <c r="FRG78" s="165"/>
      <c r="FRH78" s="165"/>
      <c r="FRI78" s="165"/>
      <c r="FRJ78" s="165"/>
      <c r="FRK78" s="165"/>
      <c r="FRL78" s="165"/>
      <c r="FRM78" s="165"/>
      <c r="FRN78" s="165"/>
      <c r="FRO78" s="165"/>
      <c r="FRP78" s="165"/>
      <c r="FRQ78" s="165"/>
      <c r="FRR78" s="165"/>
      <c r="FRS78" s="165"/>
      <c r="FRT78" s="165"/>
      <c r="FRU78" s="165"/>
      <c r="FRV78" s="165"/>
      <c r="FRW78" s="165"/>
      <c r="FRX78" s="165"/>
      <c r="FRY78" s="165"/>
      <c r="FRZ78" s="165"/>
      <c r="FSA78" s="165"/>
      <c r="FSB78" s="165"/>
      <c r="FSC78" s="165"/>
      <c r="FSD78" s="165"/>
      <c r="FSE78" s="165"/>
      <c r="FSF78" s="165"/>
      <c r="FSG78" s="165"/>
      <c r="FSH78" s="165"/>
      <c r="FSI78" s="165"/>
      <c r="FSJ78" s="165"/>
      <c r="FSK78" s="165"/>
      <c r="FSL78" s="165"/>
      <c r="FSM78" s="165"/>
      <c r="FSN78" s="165"/>
      <c r="FSO78" s="165"/>
      <c r="FSP78" s="165"/>
      <c r="FSQ78" s="165"/>
      <c r="FSR78" s="165"/>
      <c r="FSS78" s="165"/>
      <c r="FST78" s="165"/>
      <c r="FSU78" s="165"/>
      <c r="FSV78" s="165"/>
      <c r="FSW78" s="165"/>
      <c r="FSX78" s="165"/>
      <c r="FSY78" s="165"/>
      <c r="FSZ78" s="165"/>
      <c r="FTA78" s="165"/>
      <c r="FTB78" s="165"/>
      <c r="FTC78" s="165"/>
      <c r="FTD78" s="165"/>
      <c r="FTE78" s="165"/>
      <c r="FTF78" s="165"/>
      <c r="FTG78" s="165"/>
      <c r="FTH78" s="165"/>
      <c r="FTI78" s="165"/>
      <c r="FTJ78" s="165"/>
      <c r="FTK78" s="165"/>
      <c r="FTL78" s="165"/>
      <c r="FTM78" s="165"/>
      <c r="FTN78" s="165"/>
      <c r="FTO78" s="165"/>
      <c r="FTP78" s="165"/>
      <c r="FTQ78" s="165"/>
      <c r="FTR78" s="165"/>
      <c r="FTS78" s="165"/>
      <c r="FTT78" s="165"/>
      <c r="FTU78" s="165"/>
      <c r="FTV78" s="165"/>
      <c r="FTW78" s="165"/>
      <c r="FTX78" s="165"/>
      <c r="FTY78" s="165"/>
      <c r="FTZ78" s="165"/>
      <c r="FUA78" s="165"/>
      <c r="FUB78" s="165"/>
      <c r="FUC78" s="165"/>
      <c r="FUD78" s="165"/>
      <c r="FUE78" s="165"/>
      <c r="FUF78" s="165"/>
      <c r="FUG78" s="165"/>
      <c r="FUH78" s="165"/>
      <c r="FUI78" s="165"/>
      <c r="FUJ78" s="165"/>
      <c r="FUK78" s="165"/>
      <c r="FUL78" s="165"/>
      <c r="FUM78" s="165"/>
      <c r="FUN78" s="165"/>
      <c r="FUO78" s="165"/>
      <c r="FUP78" s="165"/>
      <c r="FUQ78" s="165"/>
      <c r="FUR78" s="165"/>
      <c r="FUS78" s="165"/>
      <c r="FUT78" s="165"/>
      <c r="FUU78" s="165"/>
      <c r="FUV78" s="165"/>
      <c r="FUW78" s="165"/>
      <c r="FUX78" s="165"/>
      <c r="FUY78" s="165"/>
      <c r="FUZ78" s="165"/>
      <c r="FVA78" s="165"/>
      <c r="FVB78" s="165"/>
      <c r="FVC78" s="165"/>
      <c r="FVD78" s="165"/>
      <c r="FVE78" s="165"/>
      <c r="FVF78" s="165"/>
      <c r="FVG78" s="165"/>
      <c r="FVH78" s="165"/>
      <c r="FVI78" s="165"/>
      <c r="FVJ78" s="165"/>
      <c r="FVK78" s="165"/>
      <c r="FVL78" s="165"/>
      <c r="FVM78" s="165"/>
      <c r="FVN78" s="165"/>
      <c r="FVO78" s="165"/>
      <c r="FVP78" s="165"/>
      <c r="FVQ78" s="165"/>
      <c r="FVR78" s="165"/>
      <c r="FVS78" s="165"/>
      <c r="FVT78" s="165"/>
      <c r="FVU78" s="165"/>
      <c r="FVV78" s="165"/>
      <c r="FVW78" s="165"/>
      <c r="FVX78" s="165"/>
      <c r="FVY78" s="165"/>
      <c r="FVZ78" s="165"/>
      <c r="FWA78" s="165"/>
      <c r="FWB78" s="165"/>
      <c r="FWC78" s="165"/>
      <c r="FWD78" s="165"/>
      <c r="FWE78" s="165"/>
      <c r="FWF78" s="165"/>
      <c r="FWG78" s="165"/>
      <c r="FWH78" s="165"/>
      <c r="FWI78" s="165"/>
      <c r="FWJ78" s="165"/>
      <c r="FWK78" s="165"/>
      <c r="FWL78" s="165"/>
      <c r="FWM78" s="165"/>
      <c r="FWN78" s="165"/>
      <c r="FWO78" s="165"/>
      <c r="FWP78" s="165"/>
      <c r="FWQ78" s="165"/>
      <c r="FWR78" s="165"/>
      <c r="FWS78" s="165"/>
      <c r="FWT78" s="165"/>
      <c r="FWU78" s="165"/>
      <c r="FWV78" s="165"/>
      <c r="FWW78" s="165"/>
      <c r="FWX78" s="165"/>
      <c r="FWY78" s="165"/>
      <c r="FWZ78" s="165"/>
      <c r="FXA78" s="165"/>
      <c r="FXB78" s="165"/>
      <c r="FXC78" s="165"/>
      <c r="FXD78" s="165"/>
      <c r="FXE78" s="165"/>
      <c r="FXF78" s="165"/>
      <c r="FXG78" s="165"/>
      <c r="FXH78" s="165"/>
      <c r="FXI78" s="165"/>
      <c r="FXJ78" s="165"/>
      <c r="FXK78" s="165"/>
      <c r="FXL78" s="165"/>
      <c r="FXM78" s="165"/>
      <c r="FXN78" s="165"/>
      <c r="FXO78" s="165"/>
      <c r="FXP78" s="165"/>
      <c r="FXQ78" s="165"/>
      <c r="FXR78" s="165"/>
      <c r="FXS78" s="165"/>
      <c r="FXT78" s="165"/>
      <c r="FXU78" s="165"/>
      <c r="FXV78" s="165"/>
      <c r="FXW78" s="165"/>
      <c r="FXX78" s="165"/>
      <c r="FXY78" s="165"/>
      <c r="FXZ78" s="165"/>
      <c r="FYA78" s="165"/>
      <c r="FYB78" s="165"/>
      <c r="FYC78" s="165"/>
      <c r="FYD78" s="165"/>
      <c r="FYE78" s="165"/>
      <c r="FYF78" s="165"/>
      <c r="FYG78" s="165"/>
      <c r="FYH78" s="165"/>
      <c r="FYI78" s="165"/>
      <c r="FYJ78" s="165"/>
      <c r="FYK78" s="165"/>
      <c r="FYL78" s="165"/>
      <c r="FYM78" s="165"/>
      <c r="FYN78" s="165"/>
      <c r="FYO78" s="165"/>
      <c r="FYP78" s="165"/>
      <c r="FYQ78" s="165"/>
      <c r="FYR78" s="165"/>
      <c r="FYS78" s="165"/>
      <c r="FYT78" s="165"/>
      <c r="FYU78" s="165"/>
      <c r="FYV78" s="165"/>
      <c r="FYW78" s="165"/>
      <c r="FYX78" s="165"/>
      <c r="FYY78" s="165"/>
      <c r="FYZ78" s="165"/>
      <c r="FZA78" s="165"/>
      <c r="FZB78" s="165"/>
      <c r="FZC78" s="165"/>
      <c r="FZD78" s="165"/>
      <c r="FZE78" s="165"/>
      <c r="FZF78" s="165"/>
      <c r="FZG78" s="165"/>
      <c r="FZH78" s="165"/>
      <c r="FZI78" s="165"/>
      <c r="FZJ78" s="165"/>
      <c r="FZK78" s="165"/>
      <c r="FZL78" s="165"/>
      <c r="FZM78" s="165"/>
      <c r="FZN78" s="165"/>
      <c r="FZO78" s="165"/>
      <c r="FZP78" s="165"/>
      <c r="FZQ78" s="165"/>
      <c r="FZR78" s="165"/>
      <c r="FZS78" s="165"/>
      <c r="FZT78" s="165"/>
      <c r="FZU78" s="165"/>
      <c r="FZV78" s="165"/>
      <c r="FZW78" s="165"/>
      <c r="FZX78" s="165"/>
      <c r="FZY78" s="165"/>
      <c r="FZZ78" s="165"/>
      <c r="GAA78" s="165"/>
      <c r="GAB78" s="165"/>
      <c r="GAC78" s="165"/>
      <c r="GAD78" s="165"/>
      <c r="GAE78" s="165"/>
      <c r="GAF78" s="165"/>
      <c r="GAG78" s="165"/>
      <c r="GAH78" s="165"/>
      <c r="GAI78" s="165"/>
      <c r="GAJ78" s="165"/>
      <c r="GAK78" s="165"/>
      <c r="GAL78" s="165"/>
      <c r="GAM78" s="165"/>
      <c r="GAN78" s="165"/>
      <c r="GAO78" s="165"/>
      <c r="GAP78" s="165"/>
      <c r="GAQ78" s="165"/>
      <c r="GAR78" s="165"/>
      <c r="GAS78" s="165"/>
      <c r="GAT78" s="165"/>
      <c r="GAU78" s="165"/>
      <c r="GAV78" s="165"/>
      <c r="GAW78" s="165"/>
      <c r="GAX78" s="165"/>
      <c r="GAY78" s="165"/>
      <c r="GAZ78" s="165"/>
      <c r="GBA78" s="165"/>
      <c r="GBB78" s="165"/>
      <c r="GBC78" s="165"/>
      <c r="GBD78" s="165"/>
      <c r="GBE78" s="165"/>
      <c r="GBF78" s="165"/>
      <c r="GBG78" s="165"/>
      <c r="GBH78" s="165"/>
      <c r="GBI78" s="165"/>
      <c r="GBJ78" s="165"/>
      <c r="GBK78" s="165"/>
      <c r="GBL78" s="165"/>
      <c r="GBM78" s="165"/>
      <c r="GBN78" s="165"/>
      <c r="GBO78" s="165"/>
      <c r="GBP78" s="165"/>
      <c r="GBQ78" s="165"/>
      <c r="GBR78" s="165"/>
      <c r="GBS78" s="165"/>
      <c r="GBT78" s="165"/>
      <c r="GBU78" s="165"/>
      <c r="GBV78" s="165"/>
      <c r="GBW78" s="165"/>
      <c r="GBX78" s="165"/>
      <c r="GBY78" s="165"/>
      <c r="GBZ78" s="165"/>
      <c r="GCA78" s="165"/>
      <c r="GCB78" s="165"/>
      <c r="GCC78" s="165"/>
      <c r="GCD78" s="165"/>
      <c r="GCE78" s="165"/>
      <c r="GCF78" s="165"/>
      <c r="GCG78" s="165"/>
      <c r="GCH78" s="165"/>
      <c r="GCI78" s="165"/>
      <c r="GCJ78" s="165"/>
      <c r="GCK78" s="165"/>
      <c r="GCL78" s="165"/>
      <c r="GCM78" s="165"/>
      <c r="GCN78" s="165"/>
      <c r="GCO78" s="165"/>
      <c r="GCP78" s="165"/>
      <c r="GCQ78" s="165"/>
      <c r="GCR78" s="165"/>
      <c r="GCS78" s="165"/>
      <c r="GCT78" s="165"/>
      <c r="GCU78" s="165"/>
      <c r="GCV78" s="165"/>
      <c r="GCW78" s="165"/>
      <c r="GCX78" s="165"/>
      <c r="GCY78" s="165"/>
      <c r="GCZ78" s="165"/>
      <c r="GDA78" s="165"/>
      <c r="GDB78" s="165"/>
      <c r="GDC78" s="165"/>
      <c r="GDD78" s="165"/>
      <c r="GDE78" s="165"/>
      <c r="GDF78" s="165"/>
      <c r="GDG78" s="165"/>
      <c r="GDH78" s="165"/>
      <c r="GDI78" s="165"/>
      <c r="GDJ78" s="165"/>
      <c r="GDK78" s="165"/>
      <c r="GDL78" s="165"/>
      <c r="GDM78" s="165"/>
      <c r="GDN78" s="165"/>
      <c r="GDO78" s="165"/>
      <c r="GDP78" s="165"/>
      <c r="GDQ78" s="165"/>
      <c r="GDR78" s="165"/>
      <c r="GDS78" s="165"/>
      <c r="GDT78" s="165"/>
      <c r="GDU78" s="165"/>
      <c r="GDV78" s="165"/>
      <c r="GDW78" s="165"/>
      <c r="GDX78" s="165"/>
      <c r="GDY78" s="165"/>
      <c r="GDZ78" s="165"/>
      <c r="GEA78" s="165"/>
      <c r="GEB78" s="165"/>
      <c r="GEC78" s="165"/>
      <c r="GED78" s="165"/>
      <c r="GEE78" s="165"/>
      <c r="GEF78" s="165"/>
      <c r="GEG78" s="165"/>
      <c r="GEH78" s="165"/>
      <c r="GEI78" s="165"/>
      <c r="GEJ78" s="165"/>
      <c r="GEK78" s="165"/>
      <c r="GEL78" s="165"/>
      <c r="GEM78" s="165"/>
      <c r="GEN78" s="165"/>
      <c r="GEO78" s="165"/>
      <c r="GEP78" s="165"/>
      <c r="GEQ78" s="165"/>
      <c r="GER78" s="165"/>
      <c r="GES78" s="165"/>
      <c r="GET78" s="165"/>
      <c r="GEU78" s="165"/>
      <c r="GEV78" s="165"/>
      <c r="GEW78" s="165"/>
      <c r="GEX78" s="165"/>
      <c r="GEY78" s="165"/>
      <c r="GEZ78" s="165"/>
      <c r="GFA78" s="165"/>
      <c r="GFB78" s="165"/>
      <c r="GFC78" s="165"/>
      <c r="GFD78" s="165"/>
      <c r="GFE78" s="165"/>
      <c r="GFF78" s="165"/>
      <c r="GFG78" s="165"/>
      <c r="GFH78" s="165"/>
      <c r="GFI78" s="165"/>
      <c r="GFJ78" s="165"/>
      <c r="GFK78" s="165"/>
      <c r="GFL78" s="165"/>
      <c r="GFM78" s="165"/>
      <c r="GFN78" s="165"/>
      <c r="GFO78" s="165"/>
      <c r="GFP78" s="165"/>
      <c r="GFQ78" s="165"/>
      <c r="GFR78" s="165"/>
      <c r="GFS78" s="165"/>
      <c r="GFT78" s="165"/>
      <c r="GFU78" s="165"/>
      <c r="GFV78" s="165"/>
      <c r="GFW78" s="165"/>
      <c r="GFX78" s="165"/>
      <c r="GFY78" s="165"/>
      <c r="GFZ78" s="165"/>
      <c r="GGA78" s="165"/>
      <c r="GGB78" s="165"/>
      <c r="GGC78" s="165"/>
      <c r="GGD78" s="165"/>
      <c r="GGE78" s="165"/>
      <c r="GGF78" s="165"/>
      <c r="GGG78" s="165"/>
      <c r="GGH78" s="165"/>
      <c r="GGI78" s="165"/>
      <c r="GGJ78" s="165"/>
      <c r="GGK78" s="165"/>
      <c r="GGL78" s="165"/>
      <c r="GGM78" s="165"/>
      <c r="GGN78" s="165"/>
      <c r="GGO78" s="165"/>
      <c r="GGP78" s="165"/>
      <c r="GGQ78" s="165"/>
      <c r="GGR78" s="165"/>
      <c r="GGS78" s="165"/>
      <c r="GGT78" s="165"/>
      <c r="GGU78" s="165"/>
      <c r="GGV78" s="165"/>
      <c r="GGW78" s="165"/>
      <c r="GGX78" s="165"/>
      <c r="GGY78" s="165"/>
      <c r="GGZ78" s="165"/>
      <c r="GHA78" s="165"/>
      <c r="GHB78" s="165"/>
      <c r="GHC78" s="165"/>
      <c r="GHD78" s="165"/>
      <c r="GHE78" s="165"/>
      <c r="GHF78" s="165"/>
      <c r="GHG78" s="165"/>
      <c r="GHH78" s="165"/>
      <c r="GHI78" s="165"/>
      <c r="GHJ78" s="165"/>
      <c r="GHK78" s="165"/>
      <c r="GHL78" s="165"/>
      <c r="GHM78" s="165"/>
      <c r="GHN78" s="165"/>
      <c r="GHO78" s="165"/>
      <c r="GHP78" s="165"/>
      <c r="GHQ78" s="165"/>
      <c r="GHR78" s="165"/>
      <c r="GHS78" s="165"/>
      <c r="GHT78" s="165"/>
      <c r="GHU78" s="165"/>
      <c r="GHV78" s="165"/>
      <c r="GHW78" s="165"/>
      <c r="GHX78" s="165"/>
      <c r="GHY78" s="165"/>
      <c r="GHZ78" s="165"/>
      <c r="GIA78" s="165"/>
      <c r="GIB78" s="165"/>
      <c r="GIC78" s="165"/>
      <c r="GID78" s="165"/>
      <c r="GIE78" s="165"/>
      <c r="GIF78" s="165"/>
      <c r="GIG78" s="165"/>
      <c r="GIH78" s="165"/>
      <c r="GII78" s="165"/>
      <c r="GIJ78" s="165"/>
      <c r="GIK78" s="165"/>
      <c r="GIL78" s="165"/>
      <c r="GIM78" s="165"/>
      <c r="GIN78" s="165"/>
      <c r="GIO78" s="165"/>
      <c r="GIP78" s="165"/>
      <c r="GIQ78" s="165"/>
      <c r="GIR78" s="165"/>
      <c r="GIS78" s="165"/>
      <c r="GIT78" s="165"/>
      <c r="GIU78" s="165"/>
      <c r="GIV78" s="165"/>
      <c r="GIW78" s="165"/>
      <c r="GIX78" s="165"/>
      <c r="GIY78" s="165"/>
      <c r="GIZ78" s="165"/>
      <c r="GJA78" s="165"/>
      <c r="GJB78" s="165"/>
      <c r="GJC78" s="165"/>
      <c r="GJD78" s="165"/>
      <c r="GJE78" s="165"/>
      <c r="GJF78" s="165"/>
      <c r="GJG78" s="165"/>
      <c r="GJH78" s="165"/>
      <c r="GJI78" s="165"/>
      <c r="GJJ78" s="165"/>
      <c r="GJK78" s="165"/>
      <c r="GJL78" s="165"/>
      <c r="GJM78" s="165"/>
      <c r="GJN78" s="165"/>
      <c r="GJO78" s="165"/>
      <c r="GJP78" s="165"/>
      <c r="GJQ78" s="165"/>
      <c r="GJR78" s="165"/>
      <c r="GJS78" s="165"/>
      <c r="GJT78" s="165"/>
      <c r="GJU78" s="165"/>
      <c r="GJV78" s="165"/>
      <c r="GJW78" s="165"/>
      <c r="GJX78" s="165"/>
      <c r="GJY78" s="165"/>
      <c r="GJZ78" s="165"/>
      <c r="GKA78" s="165"/>
      <c r="GKB78" s="165"/>
      <c r="GKC78" s="165"/>
      <c r="GKD78" s="165"/>
      <c r="GKE78" s="165"/>
      <c r="GKF78" s="165"/>
      <c r="GKG78" s="165"/>
      <c r="GKH78" s="165"/>
      <c r="GKI78" s="165"/>
      <c r="GKJ78" s="165"/>
      <c r="GKK78" s="165"/>
      <c r="GKL78" s="165"/>
      <c r="GKM78" s="165"/>
      <c r="GKN78" s="165"/>
      <c r="GKO78" s="165"/>
      <c r="GKP78" s="165"/>
      <c r="GKQ78" s="165"/>
      <c r="GKR78" s="165"/>
      <c r="GKS78" s="165"/>
      <c r="GKT78" s="165"/>
      <c r="GKU78" s="165"/>
      <c r="GKV78" s="165"/>
      <c r="GKW78" s="165"/>
      <c r="GKX78" s="165"/>
      <c r="GKY78" s="165"/>
      <c r="GKZ78" s="165"/>
      <c r="GLA78" s="165"/>
      <c r="GLB78" s="165"/>
      <c r="GLC78" s="165"/>
      <c r="GLD78" s="165"/>
      <c r="GLE78" s="165"/>
      <c r="GLF78" s="165"/>
      <c r="GLG78" s="165"/>
      <c r="GLH78" s="165"/>
      <c r="GLI78" s="165"/>
      <c r="GLJ78" s="165"/>
      <c r="GLK78" s="165"/>
      <c r="GLL78" s="165"/>
      <c r="GLM78" s="165"/>
      <c r="GLN78" s="165"/>
      <c r="GLO78" s="165"/>
      <c r="GLP78" s="165"/>
      <c r="GLQ78" s="165"/>
      <c r="GLR78" s="165"/>
      <c r="GLS78" s="165"/>
      <c r="GLT78" s="165"/>
      <c r="GLU78" s="165"/>
      <c r="GLV78" s="165"/>
      <c r="GLW78" s="165"/>
      <c r="GLX78" s="165"/>
      <c r="GLY78" s="165"/>
      <c r="GLZ78" s="165"/>
      <c r="GMA78" s="165"/>
      <c r="GMB78" s="165"/>
      <c r="GMC78" s="165"/>
      <c r="GMD78" s="165"/>
      <c r="GME78" s="165"/>
      <c r="GMF78" s="165"/>
      <c r="GMG78" s="165"/>
      <c r="GMH78" s="165"/>
      <c r="GMI78" s="165"/>
      <c r="GMJ78" s="165"/>
      <c r="GMK78" s="165"/>
      <c r="GML78" s="165"/>
      <c r="GMM78" s="165"/>
      <c r="GMN78" s="165"/>
      <c r="GMO78" s="165"/>
      <c r="GMP78" s="165"/>
      <c r="GMQ78" s="165"/>
      <c r="GMR78" s="165"/>
      <c r="GMS78" s="165"/>
      <c r="GMT78" s="165"/>
      <c r="GMU78" s="165"/>
      <c r="GMV78" s="165"/>
      <c r="GMW78" s="165"/>
      <c r="GMX78" s="165"/>
      <c r="GMY78" s="165"/>
      <c r="GMZ78" s="165"/>
      <c r="GNA78" s="165"/>
      <c r="GNB78" s="165"/>
      <c r="GNC78" s="165"/>
      <c r="GND78" s="165"/>
      <c r="GNE78" s="165"/>
      <c r="GNF78" s="165"/>
      <c r="GNG78" s="165"/>
      <c r="GNH78" s="165"/>
      <c r="GNI78" s="165"/>
      <c r="GNJ78" s="165"/>
      <c r="GNK78" s="165"/>
      <c r="GNL78" s="165"/>
      <c r="GNM78" s="165"/>
      <c r="GNN78" s="165"/>
      <c r="GNO78" s="165"/>
      <c r="GNP78" s="165"/>
      <c r="GNQ78" s="165"/>
      <c r="GNR78" s="165"/>
      <c r="GNS78" s="165"/>
      <c r="GNT78" s="165"/>
      <c r="GNU78" s="165"/>
      <c r="GNV78" s="165"/>
      <c r="GNW78" s="165"/>
      <c r="GNX78" s="165"/>
      <c r="GNY78" s="165"/>
      <c r="GNZ78" s="165"/>
      <c r="GOA78" s="165"/>
      <c r="GOB78" s="165"/>
      <c r="GOC78" s="165"/>
      <c r="GOD78" s="165"/>
      <c r="GOE78" s="165"/>
      <c r="GOF78" s="165"/>
      <c r="GOG78" s="165"/>
      <c r="GOH78" s="165"/>
      <c r="GOI78" s="165"/>
      <c r="GOJ78" s="165"/>
      <c r="GOK78" s="165"/>
      <c r="GOL78" s="165"/>
      <c r="GOM78" s="165"/>
      <c r="GON78" s="165"/>
      <c r="GOO78" s="165"/>
      <c r="GOP78" s="165"/>
      <c r="GOQ78" s="165"/>
      <c r="GOR78" s="165"/>
      <c r="GOS78" s="165"/>
      <c r="GOT78" s="165"/>
      <c r="GOU78" s="165"/>
      <c r="GOV78" s="165"/>
      <c r="GOW78" s="165"/>
      <c r="GOX78" s="165"/>
      <c r="GOY78" s="165"/>
      <c r="GOZ78" s="165"/>
      <c r="GPA78" s="165"/>
      <c r="GPB78" s="165"/>
      <c r="GPC78" s="165"/>
      <c r="GPD78" s="165"/>
      <c r="GPE78" s="165"/>
      <c r="GPF78" s="165"/>
      <c r="GPG78" s="165"/>
      <c r="GPH78" s="165"/>
      <c r="GPI78" s="165"/>
      <c r="GPJ78" s="165"/>
      <c r="GPK78" s="165"/>
      <c r="GPL78" s="165"/>
      <c r="GPM78" s="165"/>
      <c r="GPN78" s="165"/>
      <c r="GPO78" s="165"/>
      <c r="GPP78" s="165"/>
      <c r="GPQ78" s="165"/>
      <c r="GPR78" s="165"/>
      <c r="GPS78" s="165"/>
      <c r="GPT78" s="165"/>
      <c r="GPU78" s="165"/>
      <c r="GPV78" s="165"/>
      <c r="GPW78" s="165"/>
      <c r="GPX78" s="165"/>
      <c r="GPY78" s="165"/>
      <c r="GPZ78" s="165"/>
      <c r="GQA78" s="165"/>
      <c r="GQB78" s="165"/>
      <c r="GQC78" s="165"/>
      <c r="GQD78" s="165"/>
      <c r="GQE78" s="165"/>
      <c r="GQF78" s="165"/>
      <c r="GQG78" s="165"/>
      <c r="GQH78" s="165"/>
      <c r="GQI78" s="165"/>
      <c r="GQJ78" s="165"/>
      <c r="GQK78" s="165"/>
      <c r="GQL78" s="165"/>
      <c r="GQM78" s="165"/>
      <c r="GQN78" s="165"/>
      <c r="GQO78" s="165"/>
      <c r="GQP78" s="165"/>
      <c r="GQQ78" s="165"/>
      <c r="GQR78" s="165"/>
      <c r="GQS78" s="165"/>
      <c r="GQT78" s="165"/>
      <c r="GQU78" s="165"/>
      <c r="GQV78" s="165"/>
      <c r="GQW78" s="165"/>
      <c r="GQX78" s="165"/>
      <c r="GQY78" s="165"/>
      <c r="GQZ78" s="165"/>
      <c r="GRA78" s="165"/>
      <c r="GRB78" s="165"/>
      <c r="GRC78" s="165"/>
      <c r="GRD78" s="165"/>
      <c r="GRE78" s="165"/>
      <c r="GRF78" s="165"/>
      <c r="GRG78" s="165"/>
      <c r="GRH78" s="165"/>
      <c r="GRI78" s="165"/>
      <c r="GRJ78" s="165"/>
      <c r="GRK78" s="165"/>
      <c r="GRL78" s="165"/>
      <c r="GRM78" s="165"/>
      <c r="GRN78" s="165"/>
      <c r="GRO78" s="165"/>
      <c r="GRP78" s="165"/>
      <c r="GRQ78" s="165"/>
      <c r="GRR78" s="165"/>
      <c r="GRS78" s="165"/>
      <c r="GRT78" s="165"/>
      <c r="GRU78" s="165"/>
      <c r="GRV78" s="165"/>
      <c r="GRW78" s="165"/>
      <c r="GRX78" s="165"/>
      <c r="GRY78" s="165"/>
      <c r="GRZ78" s="165"/>
      <c r="GSA78" s="165"/>
      <c r="GSB78" s="165"/>
      <c r="GSC78" s="165"/>
      <c r="GSD78" s="165"/>
      <c r="GSE78" s="165"/>
      <c r="GSF78" s="165"/>
      <c r="GSG78" s="165"/>
      <c r="GSH78" s="165"/>
      <c r="GSI78" s="165"/>
      <c r="GSJ78" s="165"/>
      <c r="GSK78" s="165"/>
      <c r="GSL78" s="165"/>
      <c r="GSM78" s="165"/>
      <c r="GSN78" s="165"/>
      <c r="GSO78" s="165"/>
      <c r="GSP78" s="165"/>
      <c r="GSQ78" s="165"/>
      <c r="GSR78" s="165"/>
      <c r="GSS78" s="165"/>
      <c r="GST78" s="165"/>
      <c r="GSU78" s="165"/>
      <c r="GSV78" s="165"/>
      <c r="GSW78" s="165"/>
      <c r="GSX78" s="165"/>
      <c r="GSY78" s="165"/>
      <c r="GSZ78" s="165"/>
      <c r="GTA78" s="165"/>
      <c r="GTB78" s="165"/>
      <c r="GTC78" s="165"/>
      <c r="GTD78" s="165"/>
      <c r="GTE78" s="165"/>
      <c r="GTF78" s="165"/>
      <c r="GTG78" s="165"/>
      <c r="GTH78" s="165"/>
      <c r="GTI78" s="165"/>
      <c r="GTJ78" s="165"/>
      <c r="GTK78" s="165"/>
      <c r="GTL78" s="165"/>
      <c r="GTM78" s="165"/>
      <c r="GTN78" s="165"/>
      <c r="GTO78" s="165"/>
      <c r="GTP78" s="165"/>
      <c r="GTQ78" s="165"/>
      <c r="GTR78" s="165"/>
      <c r="GTS78" s="165"/>
      <c r="GTT78" s="165"/>
      <c r="GTU78" s="165"/>
      <c r="GTV78" s="165"/>
      <c r="GTW78" s="165"/>
      <c r="GTX78" s="165"/>
      <c r="GTY78" s="165"/>
      <c r="GTZ78" s="165"/>
      <c r="GUA78" s="165"/>
      <c r="GUB78" s="165"/>
      <c r="GUC78" s="165"/>
      <c r="GUD78" s="165"/>
      <c r="GUE78" s="165"/>
      <c r="GUF78" s="165"/>
      <c r="GUG78" s="165"/>
      <c r="GUH78" s="165"/>
      <c r="GUI78" s="165"/>
      <c r="GUJ78" s="165"/>
      <c r="GUK78" s="165"/>
      <c r="GUL78" s="165"/>
      <c r="GUM78" s="165"/>
      <c r="GUN78" s="165"/>
      <c r="GUO78" s="165"/>
      <c r="GUP78" s="165"/>
      <c r="GUQ78" s="165"/>
      <c r="GUR78" s="165"/>
      <c r="GUS78" s="165"/>
      <c r="GUT78" s="165"/>
      <c r="GUU78" s="165"/>
      <c r="GUV78" s="165"/>
      <c r="GUW78" s="165"/>
      <c r="GUX78" s="165"/>
      <c r="GUY78" s="165"/>
      <c r="GUZ78" s="165"/>
      <c r="GVA78" s="165"/>
      <c r="GVB78" s="165"/>
      <c r="GVC78" s="165"/>
      <c r="GVD78" s="165"/>
      <c r="GVE78" s="165"/>
      <c r="GVF78" s="165"/>
      <c r="GVG78" s="165"/>
      <c r="GVH78" s="165"/>
      <c r="GVI78" s="165"/>
      <c r="GVJ78" s="165"/>
      <c r="GVK78" s="165"/>
      <c r="GVL78" s="165"/>
      <c r="GVM78" s="165"/>
      <c r="GVN78" s="165"/>
      <c r="GVO78" s="165"/>
      <c r="GVP78" s="165"/>
      <c r="GVQ78" s="165"/>
      <c r="GVR78" s="165"/>
      <c r="GVS78" s="165"/>
      <c r="GVT78" s="165"/>
      <c r="GVU78" s="165"/>
      <c r="GVV78" s="165"/>
      <c r="GVW78" s="165"/>
      <c r="GVX78" s="165"/>
      <c r="GVY78" s="165"/>
      <c r="GVZ78" s="165"/>
      <c r="GWA78" s="165"/>
      <c r="GWB78" s="165"/>
      <c r="GWC78" s="165"/>
      <c r="GWD78" s="165"/>
      <c r="GWE78" s="165"/>
      <c r="GWF78" s="165"/>
      <c r="GWG78" s="165"/>
      <c r="GWH78" s="165"/>
      <c r="GWI78" s="165"/>
      <c r="GWJ78" s="165"/>
      <c r="GWK78" s="165"/>
      <c r="GWL78" s="165"/>
      <c r="GWM78" s="165"/>
      <c r="GWN78" s="165"/>
      <c r="GWO78" s="165"/>
      <c r="GWP78" s="165"/>
      <c r="GWQ78" s="165"/>
      <c r="GWR78" s="165"/>
      <c r="GWS78" s="165"/>
      <c r="GWT78" s="165"/>
      <c r="GWU78" s="165"/>
      <c r="GWV78" s="165"/>
      <c r="GWW78" s="165"/>
      <c r="GWX78" s="165"/>
      <c r="GWY78" s="165"/>
      <c r="GWZ78" s="165"/>
      <c r="GXA78" s="165"/>
      <c r="GXB78" s="165"/>
      <c r="GXC78" s="165"/>
      <c r="GXD78" s="165"/>
      <c r="GXE78" s="165"/>
      <c r="GXF78" s="165"/>
      <c r="GXG78" s="165"/>
      <c r="GXH78" s="165"/>
      <c r="GXI78" s="165"/>
      <c r="GXJ78" s="165"/>
      <c r="GXK78" s="165"/>
      <c r="GXL78" s="165"/>
      <c r="GXM78" s="165"/>
      <c r="GXN78" s="165"/>
      <c r="GXO78" s="165"/>
      <c r="GXP78" s="165"/>
      <c r="GXQ78" s="165"/>
      <c r="GXR78" s="165"/>
      <c r="GXS78" s="165"/>
      <c r="GXT78" s="165"/>
      <c r="GXU78" s="165"/>
      <c r="GXV78" s="165"/>
      <c r="GXW78" s="165"/>
      <c r="GXX78" s="165"/>
      <c r="GXY78" s="165"/>
      <c r="GXZ78" s="165"/>
      <c r="GYA78" s="165"/>
      <c r="GYB78" s="165"/>
      <c r="GYC78" s="165"/>
      <c r="GYD78" s="165"/>
      <c r="GYE78" s="165"/>
      <c r="GYF78" s="165"/>
      <c r="GYG78" s="165"/>
      <c r="GYH78" s="165"/>
      <c r="GYI78" s="165"/>
      <c r="GYJ78" s="165"/>
      <c r="GYK78" s="165"/>
      <c r="GYL78" s="165"/>
      <c r="GYM78" s="165"/>
      <c r="GYN78" s="165"/>
      <c r="GYO78" s="165"/>
      <c r="GYP78" s="165"/>
      <c r="GYQ78" s="165"/>
      <c r="GYR78" s="165"/>
      <c r="GYS78" s="165"/>
      <c r="GYT78" s="165"/>
      <c r="GYU78" s="165"/>
      <c r="GYV78" s="165"/>
      <c r="GYW78" s="165"/>
      <c r="GYX78" s="165"/>
      <c r="GYY78" s="165"/>
      <c r="GYZ78" s="165"/>
      <c r="GZA78" s="165"/>
      <c r="GZB78" s="165"/>
      <c r="GZC78" s="165"/>
      <c r="GZD78" s="165"/>
      <c r="GZE78" s="165"/>
      <c r="GZF78" s="165"/>
      <c r="GZG78" s="165"/>
      <c r="GZH78" s="165"/>
      <c r="GZI78" s="165"/>
      <c r="GZJ78" s="165"/>
      <c r="GZK78" s="165"/>
      <c r="GZL78" s="165"/>
      <c r="GZM78" s="165"/>
      <c r="GZN78" s="165"/>
      <c r="GZO78" s="165"/>
      <c r="GZP78" s="165"/>
      <c r="GZQ78" s="165"/>
      <c r="GZR78" s="165"/>
      <c r="GZS78" s="165"/>
      <c r="GZT78" s="165"/>
      <c r="GZU78" s="165"/>
      <c r="GZV78" s="165"/>
      <c r="GZW78" s="165"/>
      <c r="GZX78" s="165"/>
      <c r="GZY78" s="165"/>
      <c r="GZZ78" s="165"/>
      <c r="HAA78" s="165"/>
      <c r="HAB78" s="165"/>
      <c r="HAC78" s="165"/>
      <c r="HAD78" s="165"/>
      <c r="HAE78" s="165"/>
      <c r="HAF78" s="165"/>
      <c r="HAG78" s="165"/>
      <c r="HAH78" s="165"/>
      <c r="HAI78" s="165"/>
      <c r="HAJ78" s="165"/>
      <c r="HAK78" s="165"/>
      <c r="HAL78" s="165"/>
      <c r="HAM78" s="165"/>
      <c r="HAN78" s="165"/>
      <c r="HAO78" s="165"/>
      <c r="HAP78" s="165"/>
      <c r="HAQ78" s="165"/>
      <c r="HAR78" s="165"/>
      <c r="HAS78" s="165"/>
      <c r="HAT78" s="165"/>
      <c r="HAU78" s="165"/>
      <c r="HAV78" s="165"/>
      <c r="HAW78" s="165"/>
      <c r="HAX78" s="165"/>
      <c r="HAY78" s="165"/>
      <c r="HAZ78" s="165"/>
      <c r="HBA78" s="165"/>
      <c r="HBB78" s="165"/>
      <c r="HBC78" s="165"/>
      <c r="HBD78" s="165"/>
      <c r="HBE78" s="165"/>
      <c r="HBF78" s="165"/>
      <c r="HBG78" s="165"/>
      <c r="HBH78" s="165"/>
      <c r="HBI78" s="165"/>
      <c r="HBJ78" s="165"/>
      <c r="HBK78" s="165"/>
      <c r="HBL78" s="165"/>
      <c r="HBM78" s="165"/>
      <c r="HBN78" s="165"/>
      <c r="HBO78" s="165"/>
      <c r="HBP78" s="165"/>
      <c r="HBQ78" s="165"/>
      <c r="HBR78" s="165"/>
      <c r="HBS78" s="165"/>
      <c r="HBT78" s="165"/>
      <c r="HBU78" s="165"/>
      <c r="HBV78" s="165"/>
      <c r="HBW78" s="165"/>
      <c r="HBX78" s="165"/>
      <c r="HBY78" s="165"/>
      <c r="HBZ78" s="165"/>
      <c r="HCA78" s="165"/>
      <c r="HCB78" s="165"/>
      <c r="HCC78" s="165"/>
      <c r="HCD78" s="165"/>
      <c r="HCE78" s="165"/>
      <c r="HCF78" s="165"/>
      <c r="HCG78" s="165"/>
      <c r="HCH78" s="165"/>
      <c r="HCI78" s="165"/>
      <c r="HCJ78" s="165"/>
      <c r="HCK78" s="165"/>
      <c r="HCL78" s="165"/>
      <c r="HCM78" s="165"/>
      <c r="HCN78" s="165"/>
      <c r="HCO78" s="165"/>
      <c r="HCP78" s="165"/>
      <c r="HCQ78" s="165"/>
      <c r="HCR78" s="165"/>
      <c r="HCS78" s="165"/>
      <c r="HCT78" s="165"/>
      <c r="HCU78" s="165"/>
      <c r="HCV78" s="165"/>
      <c r="HCW78" s="165"/>
      <c r="HCX78" s="165"/>
      <c r="HCY78" s="165"/>
      <c r="HCZ78" s="165"/>
      <c r="HDA78" s="165"/>
      <c r="HDB78" s="165"/>
      <c r="HDC78" s="165"/>
      <c r="HDD78" s="165"/>
      <c r="HDE78" s="165"/>
      <c r="HDF78" s="165"/>
      <c r="HDG78" s="165"/>
      <c r="HDH78" s="165"/>
      <c r="HDI78" s="165"/>
      <c r="HDJ78" s="165"/>
      <c r="HDK78" s="165"/>
      <c r="HDL78" s="165"/>
      <c r="HDM78" s="165"/>
      <c r="HDN78" s="165"/>
      <c r="HDO78" s="165"/>
      <c r="HDP78" s="165"/>
      <c r="HDQ78" s="165"/>
      <c r="HDR78" s="165"/>
      <c r="HDS78" s="165"/>
      <c r="HDT78" s="165"/>
      <c r="HDU78" s="165"/>
      <c r="HDV78" s="165"/>
      <c r="HDW78" s="165"/>
      <c r="HDX78" s="165"/>
      <c r="HDY78" s="165"/>
      <c r="HDZ78" s="165"/>
      <c r="HEA78" s="165"/>
      <c r="HEB78" s="165"/>
      <c r="HEC78" s="165"/>
      <c r="HED78" s="165"/>
      <c r="HEE78" s="165"/>
      <c r="HEF78" s="165"/>
      <c r="HEG78" s="165"/>
      <c r="HEH78" s="165"/>
      <c r="HEI78" s="165"/>
      <c r="HEJ78" s="165"/>
      <c r="HEK78" s="165"/>
      <c r="HEL78" s="165"/>
      <c r="HEM78" s="165"/>
      <c r="HEN78" s="165"/>
      <c r="HEO78" s="165"/>
      <c r="HEP78" s="165"/>
      <c r="HEQ78" s="165"/>
      <c r="HER78" s="165"/>
      <c r="HES78" s="165"/>
      <c r="HET78" s="165"/>
      <c r="HEU78" s="165"/>
      <c r="HEV78" s="165"/>
      <c r="HEW78" s="165"/>
      <c r="HEX78" s="165"/>
      <c r="HEY78" s="165"/>
      <c r="HEZ78" s="165"/>
      <c r="HFA78" s="165"/>
      <c r="HFB78" s="165"/>
      <c r="HFC78" s="165"/>
      <c r="HFD78" s="165"/>
      <c r="HFE78" s="165"/>
      <c r="HFF78" s="165"/>
      <c r="HFG78" s="165"/>
      <c r="HFH78" s="165"/>
      <c r="HFI78" s="165"/>
      <c r="HFJ78" s="165"/>
      <c r="HFK78" s="165"/>
      <c r="HFL78" s="165"/>
      <c r="HFM78" s="165"/>
      <c r="HFN78" s="165"/>
      <c r="HFO78" s="165"/>
      <c r="HFP78" s="165"/>
      <c r="HFQ78" s="165"/>
      <c r="HFR78" s="165"/>
      <c r="HFS78" s="165"/>
      <c r="HFT78" s="165"/>
      <c r="HFU78" s="165"/>
      <c r="HFV78" s="165"/>
      <c r="HFW78" s="165"/>
      <c r="HFX78" s="165"/>
      <c r="HFY78" s="165"/>
      <c r="HFZ78" s="165"/>
      <c r="HGA78" s="165"/>
      <c r="HGB78" s="165"/>
      <c r="HGC78" s="165"/>
      <c r="HGD78" s="165"/>
      <c r="HGE78" s="165"/>
      <c r="HGF78" s="165"/>
      <c r="HGG78" s="165"/>
      <c r="HGH78" s="165"/>
      <c r="HGI78" s="165"/>
      <c r="HGJ78" s="165"/>
      <c r="HGK78" s="165"/>
      <c r="HGL78" s="165"/>
      <c r="HGM78" s="165"/>
      <c r="HGN78" s="165"/>
      <c r="HGO78" s="165"/>
      <c r="HGP78" s="165"/>
      <c r="HGQ78" s="165"/>
      <c r="HGR78" s="165"/>
      <c r="HGS78" s="165"/>
      <c r="HGT78" s="165"/>
      <c r="HGU78" s="165"/>
      <c r="HGV78" s="165"/>
      <c r="HGW78" s="165"/>
      <c r="HGX78" s="165"/>
      <c r="HGY78" s="165"/>
      <c r="HGZ78" s="165"/>
      <c r="HHA78" s="165"/>
      <c r="HHB78" s="165"/>
      <c r="HHC78" s="165"/>
      <c r="HHD78" s="165"/>
      <c r="HHE78" s="165"/>
      <c r="HHF78" s="165"/>
      <c r="HHG78" s="165"/>
      <c r="HHH78" s="165"/>
      <c r="HHI78" s="165"/>
      <c r="HHJ78" s="165"/>
      <c r="HHK78" s="165"/>
      <c r="HHL78" s="165"/>
      <c r="HHM78" s="165"/>
      <c r="HHN78" s="165"/>
      <c r="HHO78" s="165"/>
      <c r="HHP78" s="165"/>
      <c r="HHQ78" s="165"/>
      <c r="HHR78" s="165"/>
      <c r="HHS78" s="165"/>
      <c r="HHT78" s="165"/>
      <c r="HHU78" s="165"/>
      <c r="HHV78" s="165"/>
      <c r="HHW78" s="165"/>
      <c r="HHX78" s="165"/>
      <c r="HHY78" s="165"/>
      <c r="HHZ78" s="165"/>
      <c r="HIA78" s="165"/>
      <c r="HIB78" s="165"/>
      <c r="HIC78" s="165"/>
      <c r="HID78" s="165"/>
      <c r="HIE78" s="165"/>
      <c r="HIF78" s="165"/>
      <c r="HIG78" s="165"/>
      <c r="HIH78" s="165"/>
      <c r="HII78" s="165"/>
      <c r="HIJ78" s="165"/>
      <c r="HIK78" s="165"/>
      <c r="HIL78" s="165"/>
      <c r="HIM78" s="165"/>
      <c r="HIN78" s="165"/>
      <c r="HIO78" s="165"/>
      <c r="HIP78" s="165"/>
      <c r="HIQ78" s="165"/>
      <c r="HIR78" s="165"/>
      <c r="HIS78" s="165"/>
      <c r="HIT78" s="165"/>
      <c r="HIU78" s="165"/>
      <c r="HIV78" s="165"/>
      <c r="HIW78" s="165"/>
      <c r="HIX78" s="165"/>
      <c r="HIY78" s="165"/>
      <c r="HIZ78" s="165"/>
      <c r="HJA78" s="165"/>
      <c r="HJB78" s="165"/>
      <c r="HJC78" s="165"/>
      <c r="HJD78" s="165"/>
      <c r="HJE78" s="165"/>
      <c r="HJF78" s="165"/>
      <c r="HJG78" s="165"/>
      <c r="HJH78" s="165"/>
      <c r="HJI78" s="165"/>
      <c r="HJJ78" s="165"/>
      <c r="HJK78" s="165"/>
      <c r="HJL78" s="165"/>
      <c r="HJM78" s="165"/>
      <c r="HJN78" s="165"/>
      <c r="HJO78" s="165"/>
      <c r="HJP78" s="165"/>
      <c r="HJQ78" s="165"/>
      <c r="HJR78" s="165"/>
      <c r="HJS78" s="165"/>
      <c r="HJT78" s="165"/>
      <c r="HJU78" s="165"/>
      <c r="HJV78" s="165"/>
      <c r="HJW78" s="165"/>
      <c r="HJX78" s="165"/>
      <c r="HJY78" s="165"/>
      <c r="HJZ78" s="165"/>
      <c r="HKA78" s="165"/>
      <c r="HKB78" s="165"/>
      <c r="HKC78" s="165"/>
      <c r="HKD78" s="165"/>
      <c r="HKE78" s="165"/>
      <c r="HKF78" s="165"/>
      <c r="HKG78" s="165"/>
      <c r="HKH78" s="165"/>
      <c r="HKI78" s="165"/>
      <c r="HKJ78" s="165"/>
      <c r="HKK78" s="165"/>
      <c r="HKL78" s="165"/>
      <c r="HKM78" s="165"/>
      <c r="HKN78" s="165"/>
      <c r="HKO78" s="165"/>
      <c r="HKP78" s="165"/>
      <c r="HKQ78" s="165"/>
      <c r="HKR78" s="165"/>
      <c r="HKS78" s="165"/>
      <c r="HKT78" s="165"/>
      <c r="HKU78" s="165"/>
      <c r="HKV78" s="165"/>
      <c r="HKW78" s="165"/>
      <c r="HKX78" s="165"/>
      <c r="HKY78" s="165"/>
      <c r="HKZ78" s="165"/>
      <c r="HLA78" s="165"/>
      <c r="HLB78" s="165"/>
      <c r="HLC78" s="165"/>
      <c r="HLD78" s="165"/>
      <c r="HLE78" s="165"/>
      <c r="HLF78" s="165"/>
      <c r="HLG78" s="165"/>
      <c r="HLH78" s="165"/>
      <c r="HLI78" s="165"/>
      <c r="HLJ78" s="165"/>
      <c r="HLK78" s="165"/>
      <c r="HLL78" s="165"/>
      <c r="HLM78" s="165"/>
      <c r="HLN78" s="165"/>
      <c r="HLO78" s="165"/>
      <c r="HLP78" s="165"/>
      <c r="HLQ78" s="165"/>
      <c r="HLR78" s="165"/>
      <c r="HLS78" s="165"/>
      <c r="HLT78" s="165"/>
      <c r="HLU78" s="165"/>
      <c r="HLV78" s="165"/>
      <c r="HLW78" s="165"/>
      <c r="HLX78" s="165"/>
      <c r="HLY78" s="165"/>
      <c r="HLZ78" s="165"/>
      <c r="HMA78" s="165"/>
      <c r="HMB78" s="165"/>
      <c r="HMC78" s="165"/>
      <c r="HMD78" s="165"/>
      <c r="HME78" s="165"/>
      <c r="HMF78" s="165"/>
      <c r="HMG78" s="165"/>
      <c r="HMH78" s="165"/>
      <c r="HMI78" s="165"/>
      <c r="HMJ78" s="165"/>
      <c r="HMK78" s="165"/>
      <c r="HML78" s="165"/>
      <c r="HMM78" s="165"/>
      <c r="HMN78" s="165"/>
      <c r="HMO78" s="165"/>
      <c r="HMP78" s="165"/>
      <c r="HMQ78" s="165"/>
      <c r="HMR78" s="165"/>
      <c r="HMS78" s="165"/>
      <c r="HMT78" s="165"/>
      <c r="HMU78" s="165"/>
      <c r="HMV78" s="165"/>
      <c r="HMW78" s="165"/>
      <c r="HMX78" s="165"/>
      <c r="HMY78" s="165"/>
      <c r="HMZ78" s="165"/>
      <c r="HNA78" s="165"/>
      <c r="HNB78" s="165"/>
      <c r="HNC78" s="165"/>
      <c r="HND78" s="165"/>
      <c r="HNE78" s="165"/>
      <c r="HNF78" s="165"/>
      <c r="HNG78" s="165"/>
      <c r="HNH78" s="165"/>
      <c r="HNI78" s="165"/>
      <c r="HNJ78" s="165"/>
      <c r="HNK78" s="165"/>
      <c r="HNL78" s="165"/>
      <c r="HNM78" s="165"/>
      <c r="HNN78" s="165"/>
      <c r="HNO78" s="165"/>
      <c r="HNP78" s="165"/>
      <c r="HNQ78" s="165"/>
      <c r="HNR78" s="165"/>
      <c r="HNS78" s="165"/>
      <c r="HNT78" s="165"/>
      <c r="HNU78" s="165"/>
      <c r="HNV78" s="165"/>
      <c r="HNW78" s="165"/>
      <c r="HNX78" s="165"/>
      <c r="HNY78" s="165"/>
      <c r="HNZ78" s="165"/>
      <c r="HOA78" s="165"/>
      <c r="HOB78" s="165"/>
      <c r="HOC78" s="165"/>
      <c r="HOD78" s="165"/>
      <c r="HOE78" s="165"/>
      <c r="HOF78" s="165"/>
      <c r="HOG78" s="165"/>
      <c r="HOH78" s="165"/>
      <c r="HOI78" s="165"/>
      <c r="HOJ78" s="165"/>
      <c r="HOK78" s="165"/>
      <c r="HOL78" s="165"/>
      <c r="HOM78" s="165"/>
      <c r="HON78" s="165"/>
      <c r="HOO78" s="165"/>
      <c r="HOP78" s="165"/>
      <c r="HOQ78" s="165"/>
      <c r="HOR78" s="165"/>
      <c r="HOS78" s="165"/>
      <c r="HOT78" s="165"/>
      <c r="HOU78" s="165"/>
      <c r="HOV78" s="165"/>
      <c r="HOW78" s="165"/>
      <c r="HOX78" s="165"/>
      <c r="HOY78" s="165"/>
      <c r="HOZ78" s="165"/>
      <c r="HPA78" s="165"/>
      <c r="HPB78" s="165"/>
      <c r="HPC78" s="165"/>
      <c r="HPD78" s="165"/>
      <c r="HPE78" s="165"/>
      <c r="HPF78" s="165"/>
      <c r="HPG78" s="165"/>
      <c r="HPH78" s="165"/>
      <c r="HPI78" s="165"/>
      <c r="HPJ78" s="165"/>
      <c r="HPK78" s="165"/>
      <c r="HPL78" s="165"/>
      <c r="HPM78" s="165"/>
      <c r="HPN78" s="165"/>
      <c r="HPO78" s="165"/>
      <c r="HPP78" s="165"/>
      <c r="HPQ78" s="165"/>
      <c r="HPR78" s="165"/>
      <c r="HPS78" s="165"/>
      <c r="HPT78" s="165"/>
      <c r="HPU78" s="165"/>
      <c r="HPV78" s="165"/>
      <c r="HPW78" s="165"/>
      <c r="HPX78" s="165"/>
      <c r="HPY78" s="165"/>
      <c r="HPZ78" s="165"/>
      <c r="HQA78" s="165"/>
      <c r="HQB78" s="165"/>
      <c r="HQC78" s="165"/>
      <c r="HQD78" s="165"/>
      <c r="HQE78" s="165"/>
      <c r="HQF78" s="165"/>
      <c r="HQG78" s="165"/>
      <c r="HQH78" s="165"/>
      <c r="HQI78" s="165"/>
      <c r="HQJ78" s="165"/>
      <c r="HQK78" s="165"/>
      <c r="HQL78" s="165"/>
      <c r="HQM78" s="165"/>
      <c r="HQN78" s="165"/>
      <c r="HQO78" s="165"/>
      <c r="HQP78" s="165"/>
      <c r="HQQ78" s="165"/>
      <c r="HQR78" s="165"/>
      <c r="HQS78" s="165"/>
      <c r="HQT78" s="165"/>
      <c r="HQU78" s="165"/>
      <c r="HQV78" s="165"/>
      <c r="HQW78" s="165"/>
      <c r="HQX78" s="165"/>
      <c r="HQY78" s="165"/>
      <c r="HQZ78" s="165"/>
      <c r="HRA78" s="165"/>
      <c r="HRB78" s="165"/>
      <c r="HRC78" s="165"/>
      <c r="HRD78" s="165"/>
      <c r="HRE78" s="165"/>
      <c r="HRF78" s="165"/>
      <c r="HRG78" s="165"/>
      <c r="HRH78" s="165"/>
      <c r="HRI78" s="165"/>
      <c r="HRJ78" s="165"/>
      <c r="HRK78" s="165"/>
      <c r="HRL78" s="165"/>
      <c r="HRM78" s="165"/>
      <c r="HRN78" s="165"/>
      <c r="HRO78" s="165"/>
      <c r="HRP78" s="165"/>
      <c r="HRQ78" s="165"/>
      <c r="HRR78" s="165"/>
      <c r="HRS78" s="165"/>
      <c r="HRT78" s="165"/>
      <c r="HRU78" s="165"/>
      <c r="HRV78" s="165"/>
      <c r="HRW78" s="165"/>
      <c r="HRX78" s="165"/>
      <c r="HRY78" s="165"/>
      <c r="HRZ78" s="165"/>
      <c r="HSA78" s="165"/>
      <c r="HSB78" s="165"/>
      <c r="HSC78" s="165"/>
      <c r="HSD78" s="165"/>
      <c r="HSE78" s="165"/>
      <c r="HSF78" s="165"/>
      <c r="HSG78" s="165"/>
      <c r="HSH78" s="165"/>
      <c r="HSI78" s="165"/>
      <c r="HSJ78" s="165"/>
      <c r="HSK78" s="165"/>
      <c r="HSL78" s="165"/>
      <c r="HSM78" s="165"/>
      <c r="HSN78" s="165"/>
      <c r="HSO78" s="165"/>
      <c r="HSP78" s="165"/>
      <c r="HSQ78" s="165"/>
      <c r="HSR78" s="165"/>
      <c r="HSS78" s="165"/>
      <c r="HST78" s="165"/>
      <c r="HSU78" s="165"/>
      <c r="HSV78" s="165"/>
      <c r="HSW78" s="165"/>
      <c r="HSX78" s="165"/>
      <c r="HSY78" s="165"/>
      <c r="HSZ78" s="165"/>
      <c r="HTA78" s="165"/>
      <c r="HTB78" s="165"/>
      <c r="HTC78" s="165"/>
      <c r="HTD78" s="165"/>
      <c r="HTE78" s="165"/>
      <c r="HTF78" s="165"/>
      <c r="HTG78" s="165"/>
      <c r="HTH78" s="165"/>
      <c r="HTI78" s="165"/>
      <c r="HTJ78" s="165"/>
      <c r="HTK78" s="165"/>
      <c r="HTL78" s="165"/>
      <c r="HTM78" s="165"/>
      <c r="HTN78" s="165"/>
      <c r="HTO78" s="165"/>
      <c r="HTP78" s="165"/>
      <c r="HTQ78" s="165"/>
      <c r="HTR78" s="165"/>
      <c r="HTS78" s="165"/>
      <c r="HTT78" s="165"/>
      <c r="HTU78" s="165"/>
      <c r="HTV78" s="165"/>
      <c r="HTW78" s="165"/>
      <c r="HTX78" s="165"/>
      <c r="HTY78" s="165"/>
      <c r="HTZ78" s="165"/>
      <c r="HUA78" s="165"/>
      <c r="HUB78" s="165"/>
      <c r="HUC78" s="165"/>
      <c r="HUD78" s="165"/>
      <c r="HUE78" s="165"/>
      <c r="HUF78" s="165"/>
      <c r="HUG78" s="165"/>
      <c r="HUH78" s="165"/>
      <c r="HUI78" s="165"/>
      <c r="HUJ78" s="165"/>
      <c r="HUK78" s="165"/>
      <c r="HUL78" s="165"/>
      <c r="HUM78" s="165"/>
      <c r="HUN78" s="165"/>
      <c r="HUO78" s="165"/>
      <c r="HUP78" s="165"/>
      <c r="HUQ78" s="165"/>
      <c r="HUR78" s="165"/>
      <c r="HUS78" s="165"/>
      <c r="HUT78" s="165"/>
      <c r="HUU78" s="165"/>
      <c r="HUV78" s="165"/>
      <c r="HUW78" s="165"/>
      <c r="HUX78" s="165"/>
      <c r="HUY78" s="165"/>
      <c r="HUZ78" s="165"/>
      <c r="HVA78" s="165"/>
      <c r="HVB78" s="165"/>
      <c r="HVC78" s="165"/>
      <c r="HVD78" s="165"/>
      <c r="HVE78" s="165"/>
      <c r="HVF78" s="165"/>
      <c r="HVG78" s="165"/>
      <c r="HVH78" s="165"/>
      <c r="HVI78" s="165"/>
      <c r="HVJ78" s="165"/>
      <c r="HVK78" s="165"/>
      <c r="HVL78" s="165"/>
      <c r="HVM78" s="165"/>
      <c r="HVN78" s="165"/>
      <c r="HVO78" s="165"/>
      <c r="HVP78" s="165"/>
      <c r="HVQ78" s="165"/>
      <c r="HVR78" s="165"/>
      <c r="HVS78" s="165"/>
      <c r="HVT78" s="165"/>
      <c r="HVU78" s="165"/>
      <c r="HVV78" s="165"/>
      <c r="HVW78" s="165"/>
      <c r="HVX78" s="165"/>
      <c r="HVY78" s="165"/>
      <c r="HVZ78" s="165"/>
      <c r="HWA78" s="165"/>
      <c r="HWB78" s="165"/>
      <c r="HWC78" s="165"/>
      <c r="HWD78" s="165"/>
      <c r="HWE78" s="165"/>
      <c r="HWF78" s="165"/>
      <c r="HWG78" s="165"/>
      <c r="HWH78" s="165"/>
      <c r="HWI78" s="165"/>
      <c r="HWJ78" s="165"/>
      <c r="HWK78" s="165"/>
      <c r="HWL78" s="165"/>
      <c r="HWM78" s="165"/>
      <c r="HWN78" s="165"/>
      <c r="HWO78" s="165"/>
      <c r="HWP78" s="165"/>
      <c r="HWQ78" s="165"/>
      <c r="HWR78" s="165"/>
      <c r="HWS78" s="165"/>
      <c r="HWT78" s="165"/>
      <c r="HWU78" s="165"/>
      <c r="HWV78" s="165"/>
      <c r="HWW78" s="165"/>
      <c r="HWX78" s="165"/>
      <c r="HWY78" s="165"/>
      <c r="HWZ78" s="165"/>
      <c r="HXA78" s="165"/>
      <c r="HXB78" s="165"/>
      <c r="HXC78" s="165"/>
      <c r="HXD78" s="165"/>
      <c r="HXE78" s="165"/>
      <c r="HXF78" s="165"/>
      <c r="HXG78" s="165"/>
      <c r="HXH78" s="165"/>
      <c r="HXI78" s="165"/>
      <c r="HXJ78" s="165"/>
      <c r="HXK78" s="165"/>
      <c r="HXL78" s="165"/>
      <c r="HXM78" s="165"/>
      <c r="HXN78" s="165"/>
      <c r="HXO78" s="165"/>
      <c r="HXP78" s="165"/>
      <c r="HXQ78" s="165"/>
      <c r="HXR78" s="165"/>
      <c r="HXS78" s="165"/>
      <c r="HXT78" s="165"/>
      <c r="HXU78" s="165"/>
      <c r="HXV78" s="165"/>
      <c r="HXW78" s="165"/>
      <c r="HXX78" s="165"/>
      <c r="HXY78" s="165"/>
      <c r="HXZ78" s="165"/>
      <c r="HYA78" s="165"/>
      <c r="HYB78" s="165"/>
      <c r="HYC78" s="165"/>
      <c r="HYD78" s="165"/>
      <c r="HYE78" s="165"/>
      <c r="HYF78" s="165"/>
      <c r="HYG78" s="165"/>
      <c r="HYH78" s="165"/>
      <c r="HYI78" s="165"/>
      <c r="HYJ78" s="165"/>
      <c r="HYK78" s="165"/>
      <c r="HYL78" s="165"/>
      <c r="HYM78" s="165"/>
      <c r="HYN78" s="165"/>
      <c r="HYO78" s="165"/>
      <c r="HYP78" s="165"/>
      <c r="HYQ78" s="165"/>
      <c r="HYR78" s="165"/>
      <c r="HYS78" s="165"/>
      <c r="HYT78" s="165"/>
      <c r="HYU78" s="165"/>
      <c r="HYV78" s="165"/>
      <c r="HYW78" s="165"/>
      <c r="HYX78" s="165"/>
      <c r="HYY78" s="165"/>
      <c r="HYZ78" s="165"/>
      <c r="HZA78" s="165"/>
      <c r="HZB78" s="165"/>
      <c r="HZC78" s="165"/>
      <c r="HZD78" s="165"/>
      <c r="HZE78" s="165"/>
      <c r="HZF78" s="165"/>
      <c r="HZG78" s="165"/>
      <c r="HZH78" s="165"/>
      <c r="HZI78" s="165"/>
      <c r="HZJ78" s="165"/>
      <c r="HZK78" s="165"/>
      <c r="HZL78" s="165"/>
      <c r="HZM78" s="165"/>
      <c r="HZN78" s="165"/>
      <c r="HZO78" s="165"/>
      <c r="HZP78" s="165"/>
      <c r="HZQ78" s="165"/>
      <c r="HZR78" s="165"/>
      <c r="HZS78" s="165"/>
      <c r="HZT78" s="165"/>
      <c r="HZU78" s="165"/>
      <c r="HZV78" s="165"/>
      <c r="HZW78" s="165"/>
      <c r="HZX78" s="165"/>
      <c r="HZY78" s="165"/>
      <c r="HZZ78" s="165"/>
      <c r="IAA78" s="165"/>
      <c r="IAB78" s="165"/>
      <c r="IAC78" s="165"/>
      <c r="IAD78" s="165"/>
      <c r="IAE78" s="165"/>
      <c r="IAF78" s="165"/>
      <c r="IAG78" s="165"/>
      <c r="IAH78" s="165"/>
      <c r="IAI78" s="165"/>
      <c r="IAJ78" s="165"/>
      <c r="IAK78" s="165"/>
      <c r="IAL78" s="165"/>
      <c r="IAM78" s="165"/>
      <c r="IAN78" s="165"/>
      <c r="IAO78" s="165"/>
      <c r="IAP78" s="165"/>
      <c r="IAQ78" s="165"/>
      <c r="IAR78" s="165"/>
      <c r="IAS78" s="165"/>
      <c r="IAT78" s="165"/>
      <c r="IAU78" s="165"/>
      <c r="IAV78" s="165"/>
      <c r="IAW78" s="165"/>
      <c r="IAX78" s="165"/>
      <c r="IAY78" s="165"/>
      <c r="IAZ78" s="165"/>
      <c r="IBA78" s="165"/>
      <c r="IBB78" s="165"/>
      <c r="IBC78" s="165"/>
      <c r="IBD78" s="165"/>
      <c r="IBE78" s="165"/>
      <c r="IBF78" s="165"/>
      <c r="IBG78" s="165"/>
      <c r="IBH78" s="165"/>
      <c r="IBI78" s="165"/>
      <c r="IBJ78" s="165"/>
      <c r="IBK78" s="165"/>
      <c r="IBL78" s="165"/>
      <c r="IBM78" s="165"/>
      <c r="IBN78" s="165"/>
      <c r="IBO78" s="165"/>
      <c r="IBP78" s="165"/>
      <c r="IBQ78" s="165"/>
      <c r="IBR78" s="165"/>
      <c r="IBS78" s="165"/>
      <c r="IBT78" s="165"/>
      <c r="IBU78" s="165"/>
      <c r="IBV78" s="165"/>
      <c r="IBW78" s="165"/>
      <c r="IBX78" s="165"/>
      <c r="IBY78" s="165"/>
      <c r="IBZ78" s="165"/>
      <c r="ICA78" s="165"/>
      <c r="ICB78" s="165"/>
      <c r="ICC78" s="165"/>
      <c r="ICD78" s="165"/>
      <c r="ICE78" s="165"/>
      <c r="ICF78" s="165"/>
      <c r="ICG78" s="165"/>
      <c r="ICH78" s="165"/>
      <c r="ICI78" s="165"/>
      <c r="ICJ78" s="165"/>
      <c r="ICK78" s="165"/>
      <c r="ICL78" s="165"/>
      <c r="ICM78" s="165"/>
      <c r="ICN78" s="165"/>
      <c r="ICO78" s="165"/>
      <c r="ICP78" s="165"/>
      <c r="ICQ78" s="165"/>
      <c r="ICR78" s="165"/>
      <c r="ICS78" s="165"/>
      <c r="ICT78" s="165"/>
      <c r="ICU78" s="165"/>
      <c r="ICV78" s="165"/>
      <c r="ICW78" s="165"/>
      <c r="ICX78" s="165"/>
      <c r="ICY78" s="165"/>
      <c r="ICZ78" s="165"/>
      <c r="IDA78" s="165"/>
      <c r="IDB78" s="165"/>
      <c r="IDC78" s="165"/>
      <c r="IDD78" s="165"/>
      <c r="IDE78" s="165"/>
      <c r="IDF78" s="165"/>
      <c r="IDG78" s="165"/>
      <c r="IDH78" s="165"/>
      <c r="IDI78" s="165"/>
      <c r="IDJ78" s="165"/>
      <c r="IDK78" s="165"/>
      <c r="IDL78" s="165"/>
      <c r="IDM78" s="165"/>
      <c r="IDN78" s="165"/>
      <c r="IDO78" s="165"/>
      <c r="IDP78" s="165"/>
      <c r="IDQ78" s="165"/>
      <c r="IDR78" s="165"/>
      <c r="IDS78" s="165"/>
      <c r="IDT78" s="165"/>
      <c r="IDU78" s="165"/>
      <c r="IDV78" s="165"/>
      <c r="IDW78" s="165"/>
      <c r="IDX78" s="165"/>
      <c r="IDY78" s="165"/>
      <c r="IDZ78" s="165"/>
      <c r="IEA78" s="165"/>
      <c r="IEB78" s="165"/>
      <c r="IEC78" s="165"/>
      <c r="IED78" s="165"/>
      <c r="IEE78" s="165"/>
      <c r="IEF78" s="165"/>
      <c r="IEG78" s="165"/>
      <c r="IEH78" s="165"/>
      <c r="IEI78" s="165"/>
      <c r="IEJ78" s="165"/>
      <c r="IEK78" s="165"/>
      <c r="IEL78" s="165"/>
      <c r="IEM78" s="165"/>
      <c r="IEN78" s="165"/>
      <c r="IEO78" s="165"/>
      <c r="IEP78" s="165"/>
      <c r="IEQ78" s="165"/>
      <c r="IER78" s="165"/>
      <c r="IES78" s="165"/>
      <c r="IET78" s="165"/>
      <c r="IEU78" s="165"/>
      <c r="IEV78" s="165"/>
      <c r="IEW78" s="165"/>
      <c r="IEX78" s="165"/>
      <c r="IEY78" s="165"/>
      <c r="IEZ78" s="165"/>
      <c r="IFA78" s="165"/>
      <c r="IFB78" s="165"/>
      <c r="IFC78" s="165"/>
      <c r="IFD78" s="165"/>
      <c r="IFE78" s="165"/>
      <c r="IFF78" s="165"/>
      <c r="IFG78" s="165"/>
      <c r="IFH78" s="165"/>
      <c r="IFI78" s="165"/>
      <c r="IFJ78" s="165"/>
      <c r="IFK78" s="165"/>
      <c r="IFL78" s="165"/>
      <c r="IFM78" s="165"/>
      <c r="IFN78" s="165"/>
      <c r="IFO78" s="165"/>
      <c r="IFP78" s="165"/>
      <c r="IFQ78" s="165"/>
      <c r="IFR78" s="165"/>
      <c r="IFS78" s="165"/>
      <c r="IFT78" s="165"/>
      <c r="IFU78" s="165"/>
      <c r="IFV78" s="165"/>
      <c r="IFW78" s="165"/>
      <c r="IFX78" s="165"/>
      <c r="IFY78" s="165"/>
      <c r="IFZ78" s="165"/>
      <c r="IGA78" s="165"/>
      <c r="IGB78" s="165"/>
      <c r="IGC78" s="165"/>
      <c r="IGD78" s="165"/>
      <c r="IGE78" s="165"/>
      <c r="IGF78" s="165"/>
      <c r="IGG78" s="165"/>
      <c r="IGH78" s="165"/>
      <c r="IGI78" s="165"/>
      <c r="IGJ78" s="165"/>
      <c r="IGK78" s="165"/>
      <c r="IGL78" s="165"/>
      <c r="IGM78" s="165"/>
      <c r="IGN78" s="165"/>
      <c r="IGO78" s="165"/>
      <c r="IGP78" s="165"/>
      <c r="IGQ78" s="165"/>
      <c r="IGR78" s="165"/>
      <c r="IGS78" s="165"/>
      <c r="IGT78" s="165"/>
      <c r="IGU78" s="165"/>
      <c r="IGV78" s="165"/>
      <c r="IGW78" s="165"/>
      <c r="IGX78" s="165"/>
      <c r="IGY78" s="165"/>
      <c r="IGZ78" s="165"/>
      <c r="IHA78" s="165"/>
      <c r="IHB78" s="165"/>
      <c r="IHC78" s="165"/>
      <c r="IHD78" s="165"/>
      <c r="IHE78" s="165"/>
      <c r="IHF78" s="165"/>
      <c r="IHG78" s="165"/>
      <c r="IHH78" s="165"/>
      <c r="IHI78" s="165"/>
      <c r="IHJ78" s="165"/>
      <c r="IHK78" s="165"/>
      <c r="IHL78" s="165"/>
      <c r="IHM78" s="165"/>
      <c r="IHN78" s="165"/>
      <c r="IHO78" s="165"/>
      <c r="IHP78" s="165"/>
      <c r="IHQ78" s="165"/>
      <c r="IHR78" s="165"/>
      <c r="IHS78" s="165"/>
      <c r="IHT78" s="165"/>
      <c r="IHU78" s="165"/>
      <c r="IHV78" s="165"/>
      <c r="IHW78" s="165"/>
      <c r="IHX78" s="165"/>
      <c r="IHY78" s="165"/>
      <c r="IHZ78" s="165"/>
      <c r="IIA78" s="165"/>
      <c r="IIB78" s="165"/>
      <c r="IIC78" s="165"/>
      <c r="IID78" s="165"/>
      <c r="IIE78" s="165"/>
      <c r="IIF78" s="165"/>
      <c r="IIG78" s="165"/>
      <c r="IIH78" s="165"/>
      <c r="III78" s="165"/>
      <c r="IIJ78" s="165"/>
      <c r="IIK78" s="165"/>
      <c r="IIL78" s="165"/>
      <c r="IIM78" s="165"/>
      <c r="IIN78" s="165"/>
      <c r="IIO78" s="165"/>
      <c r="IIP78" s="165"/>
      <c r="IIQ78" s="165"/>
      <c r="IIR78" s="165"/>
      <c r="IIS78" s="165"/>
      <c r="IIT78" s="165"/>
      <c r="IIU78" s="165"/>
      <c r="IIV78" s="165"/>
      <c r="IIW78" s="165"/>
      <c r="IIX78" s="165"/>
      <c r="IIY78" s="165"/>
      <c r="IIZ78" s="165"/>
      <c r="IJA78" s="165"/>
      <c r="IJB78" s="165"/>
      <c r="IJC78" s="165"/>
      <c r="IJD78" s="165"/>
      <c r="IJE78" s="165"/>
      <c r="IJF78" s="165"/>
      <c r="IJG78" s="165"/>
      <c r="IJH78" s="165"/>
      <c r="IJI78" s="165"/>
      <c r="IJJ78" s="165"/>
      <c r="IJK78" s="165"/>
      <c r="IJL78" s="165"/>
      <c r="IJM78" s="165"/>
      <c r="IJN78" s="165"/>
      <c r="IJO78" s="165"/>
      <c r="IJP78" s="165"/>
      <c r="IJQ78" s="165"/>
      <c r="IJR78" s="165"/>
      <c r="IJS78" s="165"/>
      <c r="IJT78" s="165"/>
      <c r="IJU78" s="165"/>
      <c r="IJV78" s="165"/>
      <c r="IJW78" s="165"/>
      <c r="IJX78" s="165"/>
      <c r="IJY78" s="165"/>
      <c r="IJZ78" s="165"/>
      <c r="IKA78" s="165"/>
      <c r="IKB78" s="165"/>
      <c r="IKC78" s="165"/>
      <c r="IKD78" s="165"/>
      <c r="IKE78" s="165"/>
      <c r="IKF78" s="165"/>
      <c r="IKG78" s="165"/>
      <c r="IKH78" s="165"/>
      <c r="IKI78" s="165"/>
      <c r="IKJ78" s="165"/>
      <c r="IKK78" s="165"/>
      <c r="IKL78" s="165"/>
      <c r="IKM78" s="165"/>
      <c r="IKN78" s="165"/>
      <c r="IKO78" s="165"/>
      <c r="IKP78" s="165"/>
      <c r="IKQ78" s="165"/>
      <c r="IKR78" s="165"/>
      <c r="IKS78" s="165"/>
      <c r="IKT78" s="165"/>
      <c r="IKU78" s="165"/>
      <c r="IKV78" s="165"/>
      <c r="IKW78" s="165"/>
      <c r="IKX78" s="165"/>
      <c r="IKY78" s="165"/>
      <c r="IKZ78" s="165"/>
      <c r="ILA78" s="165"/>
      <c r="ILB78" s="165"/>
      <c r="ILC78" s="165"/>
      <c r="ILD78" s="165"/>
      <c r="ILE78" s="165"/>
      <c r="ILF78" s="165"/>
      <c r="ILG78" s="165"/>
      <c r="ILH78" s="165"/>
      <c r="ILI78" s="165"/>
      <c r="ILJ78" s="165"/>
      <c r="ILK78" s="165"/>
      <c r="ILL78" s="165"/>
      <c r="ILM78" s="165"/>
      <c r="ILN78" s="165"/>
      <c r="ILO78" s="165"/>
      <c r="ILP78" s="165"/>
      <c r="ILQ78" s="165"/>
      <c r="ILR78" s="165"/>
      <c r="ILS78" s="165"/>
      <c r="ILT78" s="165"/>
      <c r="ILU78" s="165"/>
      <c r="ILV78" s="165"/>
      <c r="ILW78" s="165"/>
      <c r="ILX78" s="165"/>
      <c r="ILY78" s="165"/>
      <c r="ILZ78" s="165"/>
      <c r="IMA78" s="165"/>
      <c r="IMB78" s="165"/>
      <c r="IMC78" s="165"/>
      <c r="IMD78" s="165"/>
      <c r="IME78" s="165"/>
      <c r="IMF78" s="165"/>
      <c r="IMG78" s="165"/>
      <c r="IMH78" s="165"/>
      <c r="IMI78" s="165"/>
      <c r="IMJ78" s="165"/>
      <c r="IMK78" s="165"/>
      <c r="IML78" s="165"/>
      <c r="IMM78" s="165"/>
      <c r="IMN78" s="165"/>
      <c r="IMO78" s="165"/>
      <c r="IMP78" s="165"/>
      <c r="IMQ78" s="165"/>
      <c r="IMR78" s="165"/>
      <c r="IMS78" s="165"/>
      <c r="IMT78" s="165"/>
      <c r="IMU78" s="165"/>
      <c r="IMV78" s="165"/>
      <c r="IMW78" s="165"/>
      <c r="IMX78" s="165"/>
      <c r="IMY78" s="165"/>
      <c r="IMZ78" s="165"/>
      <c r="INA78" s="165"/>
      <c r="INB78" s="165"/>
      <c r="INC78" s="165"/>
      <c r="IND78" s="165"/>
      <c r="INE78" s="165"/>
      <c r="INF78" s="165"/>
      <c r="ING78" s="165"/>
      <c r="INH78" s="165"/>
      <c r="INI78" s="165"/>
      <c r="INJ78" s="165"/>
      <c r="INK78" s="165"/>
      <c r="INL78" s="165"/>
      <c r="INM78" s="165"/>
      <c r="INN78" s="165"/>
      <c r="INO78" s="165"/>
      <c r="INP78" s="165"/>
      <c r="INQ78" s="165"/>
      <c r="INR78" s="165"/>
      <c r="INS78" s="165"/>
      <c r="INT78" s="165"/>
      <c r="INU78" s="165"/>
      <c r="INV78" s="165"/>
      <c r="INW78" s="165"/>
      <c r="INX78" s="165"/>
      <c r="INY78" s="165"/>
      <c r="INZ78" s="165"/>
      <c r="IOA78" s="165"/>
      <c r="IOB78" s="165"/>
      <c r="IOC78" s="165"/>
      <c r="IOD78" s="165"/>
      <c r="IOE78" s="165"/>
      <c r="IOF78" s="165"/>
      <c r="IOG78" s="165"/>
      <c r="IOH78" s="165"/>
      <c r="IOI78" s="165"/>
      <c r="IOJ78" s="165"/>
      <c r="IOK78" s="165"/>
      <c r="IOL78" s="165"/>
      <c r="IOM78" s="165"/>
      <c r="ION78" s="165"/>
      <c r="IOO78" s="165"/>
      <c r="IOP78" s="165"/>
      <c r="IOQ78" s="165"/>
      <c r="IOR78" s="165"/>
      <c r="IOS78" s="165"/>
      <c r="IOT78" s="165"/>
      <c r="IOU78" s="165"/>
      <c r="IOV78" s="165"/>
      <c r="IOW78" s="165"/>
      <c r="IOX78" s="165"/>
      <c r="IOY78" s="165"/>
      <c r="IOZ78" s="165"/>
      <c r="IPA78" s="165"/>
      <c r="IPB78" s="165"/>
      <c r="IPC78" s="165"/>
      <c r="IPD78" s="165"/>
      <c r="IPE78" s="165"/>
      <c r="IPF78" s="165"/>
      <c r="IPG78" s="165"/>
      <c r="IPH78" s="165"/>
      <c r="IPI78" s="165"/>
      <c r="IPJ78" s="165"/>
      <c r="IPK78" s="165"/>
      <c r="IPL78" s="165"/>
      <c r="IPM78" s="165"/>
      <c r="IPN78" s="165"/>
      <c r="IPO78" s="165"/>
      <c r="IPP78" s="165"/>
      <c r="IPQ78" s="165"/>
      <c r="IPR78" s="165"/>
      <c r="IPS78" s="165"/>
      <c r="IPT78" s="165"/>
      <c r="IPU78" s="165"/>
      <c r="IPV78" s="165"/>
      <c r="IPW78" s="165"/>
      <c r="IPX78" s="165"/>
      <c r="IPY78" s="165"/>
      <c r="IPZ78" s="165"/>
      <c r="IQA78" s="165"/>
      <c r="IQB78" s="165"/>
      <c r="IQC78" s="165"/>
      <c r="IQD78" s="165"/>
      <c r="IQE78" s="165"/>
      <c r="IQF78" s="165"/>
      <c r="IQG78" s="165"/>
      <c r="IQH78" s="165"/>
      <c r="IQI78" s="165"/>
      <c r="IQJ78" s="165"/>
      <c r="IQK78" s="165"/>
      <c r="IQL78" s="165"/>
      <c r="IQM78" s="165"/>
      <c r="IQN78" s="165"/>
      <c r="IQO78" s="165"/>
      <c r="IQP78" s="165"/>
      <c r="IQQ78" s="165"/>
      <c r="IQR78" s="165"/>
      <c r="IQS78" s="165"/>
      <c r="IQT78" s="165"/>
      <c r="IQU78" s="165"/>
      <c r="IQV78" s="165"/>
      <c r="IQW78" s="165"/>
      <c r="IQX78" s="165"/>
      <c r="IQY78" s="165"/>
      <c r="IQZ78" s="165"/>
      <c r="IRA78" s="165"/>
      <c r="IRB78" s="165"/>
      <c r="IRC78" s="165"/>
      <c r="IRD78" s="165"/>
      <c r="IRE78" s="165"/>
      <c r="IRF78" s="165"/>
      <c r="IRG78" s="165"/>
      <c r="IRH78" s="165"/>
      <c r="IRI78" s="165"/>
      <c r="IRJ78" s="165"/>
      <c r="IRK78" s="165"/>
      <c r="IRL78" s="165"/>
      <c r="IRM78" s="165"/>
      <c r="IRN78" s="165"/>
      <c r="IRO78" s="165"/>
      <c r="IRP78" s="165"/>
      <c r="IRQ78" s="165"/>
      <c r="IRR78" s="165"/>
      <c r="IRS78" s="165"/>
      <c r="IRT78" s="165"/>
      <c r="IRU78" s="165"/>
      <c r="IRV78" s="165"/>
      <c r="IRW78" s="165"/>
      <c r="IRX78" s="165"/>
      <c r="IRY78" s="165"/>
      <c r="IRZ78" s="165"/>
      <c r="ISA78" s="165"/>
      <c r="ISB78" s="165"/>
      <c r="ISC78" s="165"/>
      <c r="ISD78" s="165"/>
      <c r="ISE78" s="165"/>
      <c r="ISF78" s="165"/>
      <c r="ISG78" s="165"/>
      <c r="ISH78" s="165"/>
      <c r="ISI78" s="165"/>
      <c r="ISJ78" s="165"/>
      <c r="ISK78" s="165"/>
      <c r="ISL78" s="165"/>
      <c r="ISM78" s="165"/>
      <c r="ISN78" s="165"/>
      <c r="ISO78" s="165"/>
      <c r="ISP78" s="165"/>
      <c r="ISQ78" s="165"/>
      <c r="ISR78" s="165"/>
      <c r="ISS78" s="165"/>
      <c r="IST78" s="165"/>
      <c r="ISU78" s="165"/>
      <c r="ISV78" s="165"/>
      <c r="ISW78" s="165"/>
      <c r="ISX78" s="165"/>
      <c r="ISY78" s="165"/>
      <c r="ISZ78" s="165"/>
      <c r="ITA78" s="165"/>
      <c r="ITB78" s="165"/>
      <c r="ITC78" s="165"/>
      <c r="ITD78" s="165"/>
      <c r="ITE78" s="165"/>
      <c r="ITF78" s="165"/>
      <c r="ITG78" s="165"/>
      <c r="ITH78" s="165"/>
      <c r="ITI78" s="165"/>
      <c r="ITJ78" s="165"/>
      <c r="ITK78" s="165"/>
      <c r="ITL78" s="165"/>
      <c r="ITM78" s="165"/>
      <c r="ITN78" s="165"/>
      <c r="ITO78" s="165"/>
      <c r="ITP78" s="165"/>
      <c r="ITQ78" s="165"/>
      <c r="ITR78" s="165"/>
      <c r="ITS78" s="165"/>
      <c r="ITT78" s="165"/>
      <c r="ITU78" s="165"/>
      <c r="ITV78" s="165"/>
      <c r="ITW78" s="165"/>
      <c r="ITX78" s="165"/>
      <c r="ITY78" s="165"/>
      <c r="ITZ78" s="165"/>
      <c r="IUA78" s="165"/>
      <c r="IUB78" s="165"/>
      <c r="IUC78" s="165"/>
      <c r="IUD78" s="165"/>
      <c r="IUE78" s="165"/>
      <c r="IUF78" s="165"/>
      <c r="IUG78" s="165"/>
      <c r="IUH78" s="165"/>
      <c r="IUI78" s="165"/>
      <c r="IUJ78" s="165"/>
      <c r="IUK78" s="165"/>
      <c r="IUL78" s="165"/>
      <c r="IUM78" s="165"/>
      <c r="IUN78" s="165"/>
      <c r="IUO78" s="165"/>
      <c r="IUP78" s="165"/>
      <c r="IUQ78" s="165"/>
      <c r="IUR78" s="165"/>
      <c r="IUS78" s="165"/>
      <c r="IUT78" s="165"/>
      <c r="IUU78" s="165"/>
      <c r="IUV78" s="165"/>
      <c r="IUW78" s="165"/>
      <c r="IUX78" s="165"/>
      <c r="IUY78" s="165"/>
      <c r="IUZ78" s="165"/>
      <c r="IVA78" s="165"/>
      <c r="IVB78" s="165"/>
      <c r="IVC78" s="165"/>
      <c r="IVD78" s="165"/>
      <c r="IVE78" s="165"/>
      <c r="IVF78" s="165"/>
      <c r="IVG78" s="165"/>
      <c r="IVH78" s="165"/>
      <c r="IVI78" s="165"/>
      <c r="IVJ78" s="165"/>
      <c r="IVK78" s="165"/>
      <c r="IVL78" s="165"/>
      <c r="IVM78" s="165"/>
      <c r="IVN78" s="165"/>
      <c r="IVO78" s="165"/>
      <c r="IVP78" s="165"/>
      <c r="IVQ78" s="165"/>
      <c r="IVR78" s="165"/>
      <c r="IVS78" s="165"/>
      <c r="IVT78" s="165"/>
      <c r="IVU78" s="165"/>
      <c r="IVV78" s="165"/>
      <c r="IVW78" s="165"/>
      <c r="IVX78" s="165"/>
      <c r="IVY78" s="165"/>
      <c r="IVZ78" s="165"/>
      <c r="IWA78" s="165"/>
      <c r="IWB78" s="165"/>
      <c r="IWC78" s="165"/>
      <c r="IWD78" s="165"/>
      <c r="IWE78" s="165"/>
      <c r="IWF78" s="165"/>
      <c r="IWG78" s="165"/>
      <c r="IWH78" s="165"/>
      <c r="IWI78" s="165"/>
      <c r="IWJ78" s="165"/>
      <c r="IWK78" s="165"/>
      <c r="IWL78" s="165"/>
      <c r="IWM78" s="165"/>
      <c r="IWN78" s="165"/>
      <c r="IWO78" s="165"/>
      <c r="IWP78" s="165"/>
      <c r="IWQ78" s="165"/>
      <c r="IWR78" s="165"/>
      <c r="IWS78" s="165"/>
      <c r="IWT78" s="165"/>
      <c r="IWU78" s="165"/>
      <c r="IWV78" s="165"/>
      <c r="IWW78" s="165"/>
      <c r="IWX78" s="165"/>
      <c r="IWY78" s="165"/>
      <c r="IWZ78" s="165"/>
      <c r="IXA78" s="165"/>
      <c r="IXB78" s="165"/>
      <c r="IXC78" s="165"/>
      <c r="IXD78" s="165"/>
      <c r="IXE78" s="165"/>
      <c r="IXF78" s="165"/>
      <c r="IXG78" s="165"/>
      <c r="IXH78" s="165"/>
      <c r="IXI78" s="165"/>
      <c r="IXJ78" s="165"/>
      <c r="IXK78" s="165"/>
      <c r="IXL78" s="165"/>
      <c r="IXM78" s="165"/>
      <c r="IXN78" s="165"/>
      <c r="IXO78" s="165"/>
      <c r="IXP78" s="165"/>
      <c r="IXQ78" s="165"/>
      <c r="IXR78" s="165"/>
      <c r="IXS78" s="165"/>
      <c r="IXT78" s="165"/>
      <c r="IXU78" s="165"/>
      <c r="IXV78" s="165"/>
      <c r="IXW78" s="165"/>
      <c r="IXX78" s="165"/>
      <c r="IXY78" s="165"/>
      <c r="IXZ78" s="165"/>
      <c r="IYA78" s="165"/>
      <c r="IYB78" s="165"/>
      <c r="IYC78" s="165"/>
      <c r="IYD78" s="165"/>
      <c r="IYE78" s="165"/>
      <c r="IYF78" s="165"/>
      <c r="IYG78" s="165"/>
      <c r="IYH78" s="165"/>
      <c r="IYI78" s="165"/>
      <c r="IYJ78" s="165"/>
      <c r="IYK78" s="165"/>
      <c r="IYL78" s="165"/>
      <c r="IYM78" s="165"/>
      <c r="IYN78" s="165"/>
      <c r="IYO78" s="165"/>
      <c r="IYP78" s="165"/>
      <c r="IYQ78" s="165"/>
      <c r="IYR78" s="165"/>
      <c r="IYS78" s="165"/>
      <c r="IYT78" s="165"/>
      <c r="IYU78" s="165"/>
      <c r="IYV78" s="165"/>
      <c r="IYW78" s="165"/>
      <c r="IYX78" s="165"/>
      <c r="IYY78" s="165"/>
      <c r="IYZ78" s="165"/>
      <c r="IZA78" s="165"/>
      <c r="IZB78" s="165"/>
      <c r="IZC78" s="165"/>
      <c r="IZD78" s="165"/>
      <c r="IZE78" s="165"/>
      <c r="IZF78" s="165"/>
      <c r="IZG78" s="165"/>
      <c r="IZH78" s="165"/>
      <c r="IZI78" s="165"/>
      <c r="IZJ78" s="165"/>
      <c r="IZK78" s="165"/>
      <c r="IZL78" s="165"/>
      <c r="IZM78" s="165"/>
      <c r="IZN78" s="165"/>
      <c r="IZO78" s="165"/>
      <c r="IZP78" s="165"/>
      <c r="IZQ78" s="165"/>
      <c r="IZR78" s="165"/>
      <c r="IZS78" s="165"/>
      <c r="IZT78" s="165"/>
      <c r="IZU78" s="165"/>
      <c r="IZV78" s="165"/>
      <c r="IZW78" s="165"/>
      <c r="IZX78" s="165"/>
      <c r="IZY78" s="165"/>
      <c r="IZZ78" s="165"/>
      <c r="JAA78" s="165"/>
      <c r="JAB78" s="165"/>
      <c r="JAC78" s="165"/>
      <c r="JAD78" s="165"/>
      <c r="JAE78" s="165"/>
      <c r="JAF78" s="165"/>
      <c r="JAG78" s="165"/>
      <c r="JAH78" s="165"/>
      <c r="JAI78" s="165"/>
      <c r="JAJ78" s="165"/>
      <c r="JAK78" s="165"/>
      <c r="JAL78" s="165"/>
      <c r="JAM78" s="165"/>
      <c r="JAN78" s="165"/>
      <c r="JAO78" s="165"/>
      <c r="JAP78" s="165"/>
      <c r="JAQ78" s="165"/>
      <c r="JAR78" s="165"/>
      <c r="JAS78" s="165"/>
      <c r="JAT78" s="165"/>
      <c r="JAU78" s="165"/>
      <c r="JAV78" s="165"/>
      <c r="JAW78" s="165"/>
      <c r="JAX78" s="165"/>
      <c r="JAY78" s="165"/>
      <c r="JAZ78" s="165"/>
      <c r="JBA78" s="165"/>
      <c r="JBB78" s="165"/>
      <c r="JBC78" s="165"/>
      <c r="JBD78" s="165"/>
      <c r="JBE78" s="165"/>
      <c r="JBF78" s="165"/>
      <c r="JBG78" s="165"/>
      <c r="JBH78" s="165"/>
      <c r="JBI78" s="165"/>
      <c r="JBJ78" s="165"/>
      <c r="JBK78" s="165"/>
      <c r="JBL78" s="165"/>
      <c r="JBM78" s="165"/>
      <c r="JBN78" s="165"/>
      <c r="JBO78" s="165"/>
      <c r="JBP78" s="165"/>
      <c r="JBQ78" s="165"/>
      <c r="JBR78" s="165"/>
      <c r="JBS78" s="165"/>
      <c r="JBT78" s="165"/>
      <c r="JBU78" s="165"/>
      <c r="JBV78" s="165"/>
      <c r="JBW78" s="165"/>
      <c r="JBX78" s="165"/>
      <c r="JBY78" s="165"/>
      <c r="JBZ78" s="165"/>
      <c r="JCA78" s="165"/>
      <c r="JCB78" s="165"/>
      <c r="JCC78" s="165"/>
      <c r="JCD78" s="165"/>
      <c r="JCE78" s="165"/>
      <c r="JCF78" s="165"/>
      <c r="JCG78" s="165"/>
      <c r="JCH78" s="165"/>
      <c r="JCI78" s="165"/>
      <c r="JCJ78" s="165"/>
      <c r="JCK78" s="165"/>
      <c r="JCL78" s="165"/>
      <c r="JCM78" s="165"/>
      <c r="JCN78" s="165"/>
      <c r="JCO78" s="165"/>
      <c r="JCP78" s="165"/>
      <c r="JCQ78" s="165"/>
      <c r="JCR78" s="165"/>
      <c r="JCS78" s="165"/>
      <c r="JCT78" s="165"/>
      <c r="JCU78" s="165"/>
      <c r="JCV78" s="165"/>
      <c r="JCW78" s="165"/>
      <c r="JCX78" s="165"/>
      <c r="JCY78" s="165"/>
      <c r="JCZ78" s="165"/>
      <c r="JDA78" s="165"/>
      <c r="JDB78" s="165"/>
      <c r="JDC78" s="165"/>
      <c r="JDD78" s="165"/>
      <c r="JDE78" s="165"/>
      <c r="JDF78" s="165"/>
      <c r="JDG78" s="165"/>
      <c r="JDH78" s="165"/>
      <c r="JDI78" s="165"/>
      <c r="JDJ78" s="165"/>
      <c r="JDK78" s="165"/>
      <c r="JDL78" s="165"/>
      <c r="JDM78" s="165"/>
      <c r="JDN78" s="165"/>
      <c r="JDO78" s="165"/>
      <c r="JDP78" s="165"/>
      <c r="JDQ78" s="165"/>
      <c r="JDR78" s="165"/>
      <c r="JDS78" s="165"/>
      <c r="JDT78" s="165"/>
      <c r="JDU78" s="165"/>
      <c r="JDV78" s="165"/>
      <c r="JDW78" s="165"/>
      <c r="JDX78" s="165"/>
      <c r="JDY78" s="165"/>
      <c r="JDZ78" s="165"/>
      <c r="JEA78" s="165"/>
      <c r="JEB78" s="165"/>
      <c r="JEC78" s="165"/>
      <c r="JED78" s="165"/>
      <c r="JEE78" s="165"/>
      <c r="JEF78" s="165"/>
      <c r="JEG78" s="165"/>
      <c r="JEH78" s="165"/>
      <c r="JEI78" s="165"/>
      <c r="JEJ78" s="165"/>
      <c r="JEK78" s="165"/>
      <c r="JEL78" s="165"/>
      <c r="JEM78" s="165"/>
      <c r="JEN78" s="165"/>
      <c r="JEO78" s="165"/>
      <c r="JEP78" s="165"/>
      <c r="JEQ78" s="165"/>
      <c r="JER78" s="165"/>
      <c r="JES78" s="165"/>
      <c r="JET78" s="165"/>
      <c r="JEU78" s="165"/>
      <c r="JEV78" s="165"/>
      <c r="JEW78" s="165"/>
      <c r="JEX78" s="165"/>
      <c r="JEY78" s="165"/>
      <c r="JEZ78" s="165"/>
      <c r="JFA78" s="165"/>
      <c r="JFB78" s="165"/>
      <c r="JFC78" s="165"/>
      <c r="JFD78" s="165"/>
      <c r="JFE78" s="165"/>
      <c r="JFF78" s="165"/>
      <c r="JFG78" s="165"/>
      <c r="JFH78" s="165"/>
      <c r="JFI78" s="165"/>
      <c r="JFJ78" s="165"/>
      <c r="JFK78" s="165"/>
      <c r="JFL78" s="165"/>
      <c r="JFM78" s="165"/>
      <c r="JFN78" s="165"/>
      <c r="JFO78" s="165"/>
      <c r="JFP78" s="165"/>
      <c r="JFQ78" s="165"/>
      <c r="JFR78" s="165"/>
      <c r="JFS78" s="165"/>
      <c r="JFT78" s="165"/>
      <c r="JFU78" s="165"/>
      <c r="JFV78" s="165"/>
      <c r="JFW78" s="165"/>
      <c r="JFX78" s="165"/>
      <c r="JFY78" s="165"/>
      <c r="JFZ78" s="165"/>
      <c r="JGA78" s="165"/>
      <c r="JGB78" s="165"/>
      <c r="JGC78" s="165"/>
      <c r="JGD78" s="165"/>
      <c r="JGE78" s="165"/>
      <c r="JGF78" s="165"/>
      <c r="JGG78" s="165"/>
      <c r="JGH78" s="165"/>
      <c r="JGI78" s="165"/>
      <c r="JGJ78" s="165"/>
      <c r="JGK78" s="165"/>
      <c r="JGL78" s="165"/>
      <c r="JGM78" s="165"/>
      <c r="JGN78" s="165"/>
      <c r="JGO78" s="165"/>
      <c r="JGP78" s="165"/>
      <c r="JGQ78" s="165"/>
      <c r="JGR78" s="165"/>
      <c r="JGS78" s="165"/>
      <c r="JGT78" s="165"/>
      <c r="JGU78" s="165"/>
      <c r="JGV78" s="165"/>
      <c r="JGW78" s="165"/>
      <c r="JGX78" s="165"/>
      <c r="JGY78" s="165"/>
      <c r="JGZ78" s="165"/>
      <c r="JHA78" s="165"/>
      <c r="JHB78" s="165"/>
      <c r="JHC78" s="165"/>
      <c r="JHD78" s="165"/>
      <c r="JHE78" s="165"/>
      <c r="JHF78" s="165"/>
      <c r="JHG78" s="165"/>
      <c r="JHH78" s="165"/>
      <c r="JHI78" s="165"/>
      <c r="JHJ78" s="165"/>
      <c r="JHK78" s="165"/>
      <c r="JHL78" s="165"/>
      <c r="JHM78" s="165"/>
      <c r="JHN78" s="165"/>
      <c r="JHO78" s="165"/>
      <c r="JHP78" s="165"/>
      <c r="JHQ78" s="165"/>
      <c r="JHR78" s="165"/>
      <c r="JHS78" s="165"/>
      <c r="JHT78" s="165"/>
      <c r="JHU78" s="165"/>
      <c r="JHV78" s="165"/>
      <c r="JHW78" s="165"/>
      <c r="JHX78" s="165"/>
      <c r="JHY78" s="165"/>
      <c r="JHZ78" s="165"/>
      <c r="JIA78" s="165"/>
      <c r="JIB78" s="165"/>
      <c r="JIC78" s="165"/>
      <c r="JID78" s="165"/>
      <c r="JIE78" s="165"/>
      <c r="JIF78" s="165"/>
      <c r="JIG78" s="165"/>
      <c r="JIH78" s="165"/>
      <c r="JII78" s="165"/>
      <c r="JIJ78" s="165"/>
      <c r="JIK78" s="165"/>
      <c r="JIL78" s="165"/>
      <c r="JIM78" s="165"/>
      <c r="JIN78" s="165"/>
      <c r="JIO78" s="165"/>
      <c r="JIP78" s="165"/>
      <c r="JIQ78" s="165"/>
      <c r="JIR78" s="165"/>
      <c r="JIS78" s="165"/>
      <c r="JIT78" s="165"/>
      <c r="JIU78" s="165"/>
      <c r="JIV78" s="165"/>
      <c r="JIW78" s="165"/>
      <c r="JIX78" s="165"/>
      <c r="JIY78" s="165"/>
      <c r="JIZ78" s="165"/>
      <c r="JJA78" s="165"/>
      <c r="JJB78" s="165"/>
      <c r="JJC78" s="165"/>
      <c r="JJD78" s="165"/>
      <c r="JJE78" s="165"/>
      <c r="JJF78" s="165"/>
      <c r="JJG78" s="165"/>
      <c r="JJH78" s="165"/>
      <c r="JJI78" s="165"/>
      <c r="JJJ78" s="165"/>
      <c r="JJK78" s="165"/>
      <c r="JJL78" s="165"/>
      <c r="JJM78" s="165"/>
      <c r="JJN78" s="165"/>
      <c r="JJO78" s="165"/>
      <c r="JJP78" s="165"/>
      <c r="JJQ78" s="165"/>
      <c r="JJR78" s="165"/>
      <c r="JJS78" s="165"/>
      <c r="JJT78" s="165"/>
      <c r="JJU78" s="165"/>
      <c r="JJV78" s="165"/>
      <c r="JJW78" s="165"/>
      <c r="JJX78" s="165"/>
      <c r="JJY78" s="165"/>
      <c r="JJZ78" s="165"/>
      <c r="JKA78" s="165"/>
      <c r="JKB78" s="165"/>
      <c r="JKC78" s="165"/>
      <c r="JKD78" s="165"/>
      <c r="JKE78" s="165"/>
      <c r="JKF78" s="165"/>
      <c r="JKG78" s="165"/>
      <c r="JKH78" s="165"/>
      <c r="JKI78" s="165"/>
      <c r="JKJ78" s="165"/>
      <c r="JKK78" s="165"/>
      <c r="JKL78" s="165"/>
      <c r="JKM78" s="165"/>
      <c r="JKN78" s="165"/>
      <c r="JKO78" s="165"/>
      <c r="JKP78" s="165"/>
      <c r="JKQ78" s="165"/>
      <c r="JKR78" s="165"/>
      <c r="JKS78" s="165"/>
      <c r="JKT78" s="165"/>
      <c r="JKU78" s="165"/>
      <c r="JKV78" s="165"/>
      <c r="JKW78" s="165"/>
      <c r="JKX78" s="165"/>
      <c r="JKY78" s="165"/>
      <c r="JKZ78" s="165"/>
      <c r="JLA78" s="165"/>
      <c r="JLB78" s="165"/>
      <c r="JLC78" s="165"/>
      <c r="JLD78" s="165"/>
      <c r="JLE78" s="165"/>
      <c r="JLF78" s="165"/>
      <c r="JLG78" s="165"/>
      <c r="JLH78" s="165"/>
      <c r="JLI78" s="165"/>
      <c r="JLJ78" s="165"/>
      <c r="JLK78" s="165"/>
      <c r="JLL78" s="165"/>
      <c r="JLM78" s="165"/>
      <c r="JLN78" s="165"/>
      <c r="JLO78" s="165"/>
      <c r="JLP78" s="165"/>
      <c r="JLQ78" s="165"/>
      <c r="JLR78" s="165"/>
      <c r="JLS78" s="165"/>
      <c r="JLT78" s="165"/>
      <c r="JLU78" s="165"/>
      <c r="JLV78" s="165"/>
      <c r="JLW78" s="165"/>
      <c r="JLX78" s="165"/>
      <c r="JLY78" s="165"/>
      <c r="JLZ78" s="165"/>
      <c r="JMA78" s="165"/>
      <c r="JMB78" s="165"/>
      <c r="JMC78" s="165"/>
      <c r="JMD78" s="165"/>
      <c r="JME78" s="165"/>
      <c r="JMF78" s="165"/>
      <c r="JMG78" s="165"/>
      <c r="JMH78" s="165"/>
      <c r="JMI78" s="165"/>
      <c r="JMJ78" s="165"/>
      <c r="JMK78" s="165"/>
      <c r="JML78" s="165"/>
      <c r="JMM78" s="165"/>
      <c r="JMN78" s="165"/>
      <c r="JMO78" s="165"/>
      <c r="JMP78" s="165"/>
      <c r="JMQ78" s="165"/>
      <c r="JMR78" s="165"/>
      <c r="JMS78" s="165"/>
      <c r="JMT78" s="165"/>
      <c r="JMU78" s="165"/>
      <c r="JMV78" s="165"/>
      <c r="JMW78" s="165"/>
      <c r="JMX78" s="165"/>
      <c r="JMY78" s="165"/>
      <c r="JMZ78" s="165"/>
      <c r="JNA78" s="165"/>
      <c r="JNB78" s="165"/>
      <c r="JNC78" s="165"/>
      <c r="JND78" s="165"/>
      <c r="JNE78" s="165"/>
      <c r="JNF78" s="165"/>
      <c r="JNG78" s="165"/>
      <c r="JNH78" s="165"/>
      <c r="JNI78" s="165"/>
      <c r="JNJ78" s="165"/>
      <c r="JNK78" s="165"/>
      <c r="JNL78" s="165"/>
      <c r="JNM78" s="165"/>
      <c r="JNN78" s="165"/>
      <c r="JNO78" s="165"/>
      <c r="JNP78" s="165"/>
      <c r="JNQ78" s="165"/>
      <c r="JNR78" s="165"/>
      <c r="JNS78" s="165"/>
      <c r="JNT78" s="165"/>
      <c r="JNU78" s="165"/>
      <c r="JNV78" s="165"/>
      <c r="JNW78" s="165"/>
      <c r="JNX78" s="165"/>
      <c r="JNY78" s="165"/>
      <c r="JNZ78" s="165"/>
      <c r="JOA78" s="165"/>
      <c r="JOB78" s="165"/>
      <c r="JOC78" s="165"/>
      <c r="JOD78" s="165"/>
      <c r="JOE78" s="165"/>
      <c r="JOF78" s="165"/>
      <c r="JOG78" s="165"/>
      <c r="JOH78" s="165"/>
      <c r="JOI78" s="165"/>
      <c r="JOJ78" s="165"/>
      <c r="JOK78" s="165"/>
      <c r="JOL78" s="165"/>
      <c r="JOM78" s="165"/>
      <c r="JON78" s="165"/>
      <c r="JOO78" s="165"/>
      <c r="JOP78" s="165"/>
      <c r="JOQ78" s="165"/>
      <c r="JOR78" s="165"/>
      <c r="JOS78" s="165"/>
      <c r="JOT78" s="165"/>
      <c r="JOU78" s="165"/>
      <c r="JOV78" s="165"/>
      <c r="JOW78" s="165"/>
      <c r="JOX78" s="165"/>
      <c r="JOY78" s="165"/>
      <c r="JOZ78" s="165"/>
      <c r="JPA78" s="165"/>
      <c r="JPB78" s="165"/>
      <c r="JPC78" s="165"/>
      <c r="JPD78" s="165"/>
      <c r="JPE78" s="165"/>
      <c r="JPF78" s="165"/>
      <c r="JPG78" s="165"/>
      <c r="JPH78" s="165"/>
      <c r="JPI78" s="165"/>
      <c r="JPJ78" s="165"/>
      <c r="JPK78" s="165"/>
      <c r="JPL78" s="165"/>
      <c r="JPM78" s="165"/>
      <c r="JPN78" s="165"/>
      <c r="JPO78" s="165"/>
      <c r="JPP78" s="165"/>
      <c r="JPQ78" s="165"/>
      <c r="JPR78" s="165"/>
      <c r="JPS78" s="165"/>
      <c r="JPT78" s="165"/>
      <c r="JPU78" s="165"/>
      <c r="JPV78" s="165"/>
      <c r="JPW78" s="165"/>
      <c r="JPX78" s="165"/>
      <c r="JPY78" s="165"/>
      <c r="JPZ78" s="165"/>
      <c r="JQA78" s="165"/>
      <c r="JQB78" s="165"/>
      <c r="JQC78" s="165"/>
      <c r="JQD78" s="165"/>
      <c r="JQE78" s="165"/>
      <c r="JQF78" s="165"/>
      <c r="JQG78" s="165"/>
      <c r="JQH78" s="165"/>
      <c r="JQI78" s="165"/>
      <c r="JQJ78" s="165"/>
      <c r="JQK78" s="165"/>
      <c r="JQL78" s="165"/>
      <c r="JQM78" s="165"/>
      <c r="JQN78" s="165"/>
      <c r="JQO78" s="165"/>
      <c r="JQP78" s="165"/>
      <c r="JQQ78" s="165"/>
      <c r="JQR78" s="165"/>
      <c r="JQS78" s="165"/>
      <c r="JQT78" s="165"/>
      <c r="JQU78" s="165"/>
      <c r="JQV78" s="165"/>
      <c r="JQW78" s="165"/>
      <c r="JQX78" s="165"/>
      <c r="JQY78" s="165"/>
      <c r="JQZ78" s="165"/>
      <c r="JRA78" s="165"/>
      <c r="JRB78" s="165"/>
      <c r="JRC78" s="165"/>
      <c r="JRD78" s="165"/>
      <c r="JRE78" s="165"/>
      <c r="JRF78" s="165"/>
      <c r="JRG78" s="165"/>
      <c r="JRH78" s="165"/>
      <c r="JRI78" s="165"/>
      <c r="JRJ78" s="165"/>
      <c r="JRK78" s="165"/>
      <c r="JRL78" s="165"/>
      <c r="JRM78" s="165"/>
      <c r="JRN78" s="165"/>
      <c r="JRO78" s="165"/>
      <c r="JRP78" s="165"/>
      <c r="JRQ78" s="165"/>
      <c r="JRR78" s="165"/>
      <c r="JRS78" s="165"/>
      <c r="JRT78" s="165"/>
      <c r="JRU78" s="165"/>
      <c r="JRV78" s="165"/>
      <c r="JRW78" s="165"/>
      <c r="JRX78" s="165"/>
      <c r="JRY78" s="165"/>
      <c r="JRZ78" s="165"/>
      <c r="JSA78" s="165"/>
      <c r="JSB78" s="165"/>
      <c r="JSC78" s="165"/>
      <c r="JSD78" s="165"/>
      <c r="JSE78" s="165"/>
      <c r="JSF78" s="165"/>
      <c r="JSG78" s="165"/>
      <c r="JSH78" s="165"/>
      <c r="JSI78" s="165"/>
      <c r="JSJ78" s="165"/>
      <c r="JSK78" s="165"/>
      <c r="JSL78" s="165"/>
      <c r="JSM78" s="165"/>
      <c r="JSN78" s="165"/>
      <c r="JSO78" s="165"/>
      <c r="JSP78" s="165"/>
      <c r="JSQ78" s="165"/>
      <c r="JSR78" s="165"/>
      <c r="JSS78" s="165"/>
      <c r="JST78" s="165"/>
      <c r="JSU78" s="165"/>
      <c r="JSV78" s="165"/>
      <c r="JSW78" s="165"/>
      <c r="JSX78" s="165"/>
      <c r="JSY78" s="165"/>
      <c r="JSZ78" s="165"/>
      <c r="JTA78" s="165"/>
      <c r="JTB78" s="165"/>
      <c r="JTC78" s="165"/>
      <c r="JTD78" s="165"/>
      <c r="JTE78" s="165"/>
      <c r="JTF78" s="165"/>
      <c r="JTG78" s="165"/>
      <c r="JTH78" s="165"/>
      <c r="JTI78" s="165"/>
      <c r="JTJ78" s="165"/>
      <c r="JTK78" s="165"/>
      <c r="JTL78" s="165"/>
      <c r="JTM78" s="165"/>
      <c r="JTN78" s="165"/>
      <c r="JTO78" s="165"/>
      <c r="JTP78" s="165"/>
      <c r="JTQ78" s="165"/>
      <c r="JTR78" s="165"/>
      <c r="JTS78" s="165"/>
      <c r="JTT78" s="165"/>
      <c r="JTU78" s="165"/>
      <c r="JTV78" s="165"/>
      <c r="JTW78" s="165"/>
      <c r="JTX78" s="165"/>
      <c r="JTY78" s="165"/>
      <c r="JTZ78" s="165"/>
      <c r="JUA78" s="165"/>
      <c r="JUB78" s="165"/>
      <c r="JUC78" s="165"/>
      <c r="JUD78" s="165"/>
      <c r="JUE78" s="165"/>
      <c r="JUF78" s="165"/>
      <c r="JUG78" s="165"/>
      <c r="JUH78" s="165"/>
      <c r="JUI78" s="165"/>
      <c r="JUJ78" s="165"/>
      <c r="JUK78" s="165"/>
      <c r="JUL78" s="165"/>
      <c r="JUM78" s="165"/>
      <c r="JUN78" s="165"/>
      <c r="JUO78" s="165"/>
      <c r="JUP78" s="165"/>
      <c r="JUQ78" s="165"/>
      <c r="JUR78" s="165"/>
      <c r="JUS78" s="165"/>
      <c r="JUT78" s="165"/>
      <c r="JUU78" s="165"/>
      <c r="JUV78" s="165"/>
      <c r="JUW78" s="165"/>
      <c r="JUX78" s="165"/>
      <c r="JUY78" s="165"/>
      <c r="JUZ78" s="165"/>
      <c r="JVA78" s="165"/>
      <c r="JVB78" s="165"/>
      <c r="JVC78" s="165"/>
      <c r="JVD78" s="165"/>
      <c r="JVE78" s="165"/>
      <c r="JVF78" s="165"/>
      <c r="JVG78" s="165"/>
      <c r="JVH78" s="165"/>
      <c r="JVI78" s="165"/>
      <c r="JVJ78" s="165"/>
      <c r="JVK78" s="165"/>
      <c r="JVL78" s="165"/>
      <c r="JVM78" s="165"/>
      <c r="JVN78" s="165"/>
      <c r="JVO78" s="165"/>
      <c r="JVP78" s="165"/>
      <c r="JVQ78" s="165"/>
      <c r="JVR78" s="165"/>
      <c r="JVS78" s="165"/>
      <c r="JVT78" s="165"/>
      <c r="JVU78" s="165"/>
      <c r="JVV78" s="165"/>
      <c r="JVW78" s="165"/>
      <c r="JVX78" s="165"/>
      <c r="JVY78" s="165"/>
      <c r="JVZ78" s="165"/>
      <c r="JWA78" s="165"/>
      <c r="JWB78" s="165"/>
      <c r="JWC78" s="165"/>
      <c r="JWD78" s="165"/>
      <c r="JWE78" s="165"/>
      <c r="JWF78" s="165"/>
      <c r="JWG78" s="165"/>
      <c r="JWH78" s="165"/>
      <c r="JWI78" s="165"/>
      <c r="JWJ78" s="165"/>
      <c r="JWK78" s="165"/>
      <c r="JWL78" s="165"/>
      <c r="JWM78" s="165"/>
      <c r="JWN78" s="165"/>
      <c r="JWO78" s="165"/>
      <c r="JWP78" s="165"/>
      <c r="JWQ78" s="165"/>
      <c r="JWR78" s="165"/>
      <c r="JWS78" s="165"/>
      <c r="JWT78" s="165"/>
      <c r="JWU78" s="165"/>
      <c r="JWV78" s="165"/>
      <c r="JWW78" s="165"/>
      <c r="JWX78" s="165"/>
      <c r="JWY78" s="165"/>
      <c r="JWZ78" s="165"/>
      <c r="JXA78" s="165"/>
      <c r="JXB78" s="165"/>
      <c r="JXC78" s="165"/>
      <c r="JXD78" s="165"/>
      <c r="JXE78" s="165"/>
      <c r="JXF78" s="165"/>
      <c r="JXG78" s="165"/>
      <c r="JXH78" s="165"/>
      <c r="JXI78" s="165"/>
      <c r="JXJ78" s="165"/>
      <c r="JXK78" s="165"/>
      <c r="JXL78" s="165"/>
      <c r="JXM78" s="165"/>
      <c r="JXN78" s="165"/>
      <c r="JXO78" s="165"/>
      <c r="JXP78" s="165"/>
      <c r="JXQ78" s="165"/>
      <c r="JXR78" s="165"/>
      <c r="JXS78" s="165"/>
      <c r="JXT78" s="165"/>
      <c r="JXU78" s="165"/>
      <c r="JXV78" s="165"/>
      <c r="JXW78" s="165"/>
      <c r="JXX78" s="165"/>
      <c r="JXY78" s="165"/>
      <c r="JXZ78" s="165"/>
      <c r="JYA78" s="165"/>
      <c r="JYB78" s="165"/>
      <c r="JYC78" s="165"/>
      <c r="JYD78" s="165"/>
      <c r="JYE78" s="165"/>
      <c r="JYF78" s="165"/>
      <c r="JYG78" s="165"/>
      <c r="JYH78" s="165"/>
      <c r="JYI78" s="165"/>
      <c r="JYJ78" s="165"/>
      <c r="JYK78" s="165"/>
      <c r="JYL78" s="165"/>
      <c r="JYM78" s="165"/>
      <c r="JYN78" s="165"/>
      <c r="JYO78" s="165"/>
      <c r="JYP78" s="165"/>
      <c r="JYQ78" s="165"/>
      <c r="JYR78" s="165"/>
      <c r="JYS78" s="165"/>
      <c r="JYT78" s="165"/>
      <c r="JYU78" s="165"/>
      <c r="JYV78" s="165"/>
      <c r="JYW78" s="165"/>
      <c r="JYX78" s="165"/>
      <c r="JYY78" s="165"/>
      <c r="JYZ78" s="165"/>
      <c r="JZA78" s="165"/>
      <c r="JZB78" s="165"/>
      <c r="JZC78" s="165"/>
      <c r="JZD78" s="165"/>
      <c r="JZE78" s="165"/>
      <c r="JZF78" s="165"/>
      <c r="JZG78" s="165"/>
      <c r="JZH78" s="165"/>
      <c r="JZI78" s="165"/>
      <c r="JZJ78" s="165"/>
      <c r="JZK78" s="165"/>
      <c r="JZL78" s="165"/>
      <c r="JZM78" s="165"/>
      <c r="JZN78" s="165"/>
      <c r="JZO78" s="165"/>
      <c r="JZP78" s="165"/>
      <c r="JZQ78" s="165"/>
      <c r="JZR78" s="165"/>
      <c r="JZS78" s="165"/>
      <c r="JZT78" s="165"/>
      <c r="JZU78" s="165"/>
      <c r="JZV78" s="165"/>
      <c r="JZW78" s="165"/>
      <c r="JZX78" s="165"/>
      <c r="JZY78" s="165"/>
      <c r="JZZ78" s="165"/>
      <c r="KAA78" s="165"/>
      <c r="KAB78" s="165"/>
      <c r="KAC78" s="165"/>
      <c r="KAD78" s="165"/>
      <c r="KAE78" s="165"/>
      <c r="KAF78" s="165"/>
      <c r="KAG78" s="165"/>
      <c r="KAH78" s="165"/>
      <c r="KAI78" s="165"/>
      <c r="KAJ78" s="165"/>
      <c r="KAK78" s="165"/>
      <c r="KAL78" s="165"/>
      <c r="KAM78" s="165"/>
      <c r="KAN78" s="165"/>
      <c r="KAO78" s="165"/>
      <c r="KAP78" s="165"/>
      <c r="KAQ78" s="165"/>
      <c r="KAR78" s="165"/>
      <c r="KAS78" s="165"/>
      <c r="KAT78" s="165"/>
      <c r="KAU78" s="165"/>
      <c r="KAV78" s="165"/>
      <c r="KAW78" s="165"/>
      <c r="KAX78" s="165"/>
      <c r="KAY78" s="165"/>
      <c r="KAZ78" s="165"/>
      <c r="KBA78" s="165"/>
      <c r="KBB78" s="165"/>
      <c r="KBC78" s="165"/>
      <c r="KBD78" s="165"/>
      <c r="KBE78" s="165"/>
      <c r="KBF78" s="165"/>
      <c r="KBG78" s="165"/>
      <c r="KBH78" s="165"/>
      <c r="KBI78" s="165"/>
      <c r="KBJ78" s="165"/>
      <c r="KBK78" s="165"/>
      <c r="KBL78" s="165"/>
      <c r="KBM78" s="165"/>
      <c r="KBN78" s="165"/>
      <c r="KBO78" s="165"/>
      <c r="KBP78" s="165"/>
      <c r="KBQ78" s="165"/>
      <c r="KBR78" s="165"/>
      <c r="KBS78" s="165"/>
      <c r="KBT78" s="165"/>
      <c r="KBU78" s="165"/>
      <c r="KBV78" s="165"/>
      <c r="KBW78" s="165"/>
      <c r="KBX78" s="165"/>
      <c r="KBY78" s="165"/>
      <c r="KBZ78" s="165"/>
      <c r="KCA78" s="165"/>
      <c r="KCB78" s="165"/>
      <c r="KCC78" s="165"/>
      <c r="KCD78" s="165"/>
      <c r="KCE78" s="165"/>
      <c r="KCF78" s="165"/>
      <c r="KCG78" s="165"/>
      <c r="KCH78" s="165"/>
      <c r="KCI78" s="165"/>
      <c r="KCJ78" s="165"/>
      <c r="KCK78" s="165"/>
      <c r="KCL78" s="165"/>
      <c r="KCM78" s="165"/>
      <c r="KCN78" s="165"/>
      <c r="KCO78" s="165"/>
      <c r="KCP78" s="165"/>
      <c r="KCQ78" s="165"/>
      <c r="KCR78" s="165"/>
      <c r="KCS78" s="165"/>
      <c r="KCT78" s="165"/>
      <c r="KCU78" s="165"/>
      <c r="KCV78" s="165"/>
      <c r="KCW78" s="165"/>
      <c r="KCX78" s="165"/>
      <c r="KCY78" s="165"/>
      <c r="KCZ78" s="165"/>
      <c r="KDA78" s="165"/>
      <c r="KDB78" s="165"/>
      <c r="KDC78" s="165"/>
      <c r="KDD78" s="165"/>
      <c r="KDE78" s="165"/>
      <c r="KDF78" s="165"/>
      <c r="KDG78" s="165"/>
      <c r="KDH78" s="165"/>
      <c r="KDI78" s="165"/>
      <c r="KDJ78" s="165"/>
      <c r="KDK78" s="165"/>
      <c r="KDL78" s="165"/>
      <c r="KDM78" s="165"/>
      <c r="KDN78" s="165"/>
      <c r="KDO78" s="165"/>
      <c r="KDP78" s="165"/>
      <c r="KDQ78" s="165"/>
      <c r="KDR78" s="165"/>
      <c r="KDS78" s="165"/>
      <c r="KDT78" s="165"/>
      <c r="KDU78" s="165"/>
      <c r="KDV78" s="165"/>
      <c r="KDW78" s="165"/>
      <c r="KDX78" s="165"/>
      <c r="KDY78" s="165"/>
      <c r="KDZ78" s="165"/>
      <c r="KEA78" s="165"/>
      <c r="KEB78" s="165"/>
      <c r="KEC78" s="165"/>
      <c r="KED78" s="165"/>
      <c r="KEE78" s="165"/>
      <c r="KEF78" s="165"/>
      <c r="KEG78" s="165"/>
      <c r="KEH78" s="165"/>
      <c r="KEI78" s="165"/>
      <c r="KEJ78" s="165"/>
      <c r="KEK78" s="165"/>
      <c r="KEL78" s="165"/>
      <c r="KEM78" s="165"/>
      <c r="KEN78" s="165"/>
      <c r="KEO78" s="165"/>
      <c r="KEP78" s="165"/>
      <c r="KEQ78" s="165"/>
      <c r="KER78" s="165"/>
      <c r="KES78" s="165"/>
      <c r="KET78" s="165"/>
      <c r="KEU78" s="165"/>
      <c r="KEV78" s="165"/>
      <c r="KEW78" s="165"/>
      <c r="KEX78" s="165"/>
      <c r="KEY78" s="165"/>
      <c r="KEZ78" s="165"/>
      <c r="KFA78" s="165"/>
      <c r="KFB78" s="165"/>
      <c r="KFC78" s="165"/>
      <c r="KFD78" s="165"/>
      <c r="KFE78" s="165"/>
      <c r="KFF78" s="165"/>
      <c r="KFG78" s="165"/>
      <c r="KFH78" s="165"/>
      <c r="KFI78" s="165"/>
      <c r="KFJ78" s="165"/>
      <c r="KFK78" s="165"/>
      <c r="KFL78" s="165"/>
      <c r="KFM78" s="165"/>
      <c r="KFN78" s="165"/>
      <c r="KFO78" s="165"/>
      <c r="KFP78" s="165"/>
      <c r="KFQ78" s="165"/>
      <c r="KFR78" s="165"/>
      <c r="KFS78" s="165"/>
      <c r="KFT78" s="165"/>
      <c r="KFU78" s="165"/>
      <c r="KFV78" s="165"/>
      <c r="KFW78" s="165"/>
      <c r="KFX78" s="165"/>
      <c r="KFY78" s="165"/>
      <c r="KFZ78" s="165"/>
      <c r="KGA78" s="165"/>
      <c r="KGB78" s="165"/>
      <c r="KGC78" s="165"/>
      <c r="KGD78" s="165"/>
      <c r="KGE78" s="165"/>
      <c r="KGF78" s="165"/>
      <c r="KGG78" s="165"/>
      <c r="KGH78" s="165"/>
      <c r="KGI78" s="165"/>
      <c r="KGJ78" s="165"/>
      <c r="KGK78" s="165"/>
      <c r="KGL78" s="165"/>
      <c r="KGM78" s="165"/>
      <c r="KGN78" s="165"/>
      <c r="KGO78" s="165"/>
      <c r="KGP78" s="165"/>
      <c r="KGQ78" s="165"/>
      <c r="KGR78" s="165"/>
      <c r="KGS78" s="165"/>
      <c r="KGT78" s="165"/>
      <c r="KGU78" s="165"/>
      <c r="KGV78" s="165"/>
      <c r="KGW78" s="165"/>
      <c r="KGX78" s="165"/>
      <c r="KGY78" s="165"/>
      <c r="KGZ78" s="165"/>
      <c r="KHA78" s="165"/>
      <c r="KHB78" s="165"/>
      <c r="KHC78" s="165"/>
      <c r="KHD78" s="165"/>
      <c r="KHE78" s="165"/>
      <c r="KHF78" s="165"/>
      <c r="KHG78" s="165"/>
      <c r="KHH78" s="165"/>
      <c r="KHI78" s="165"/>
      <c r="KHJ78" s="165"/>
      <c r="KHK78" s="165"/>
      <c r="KHL78" s="165"/>
      <c r="KHM78" s="165"/>
      <c r="KHN78" s="165"/>
      <c r="KHO78" s="165"/>
      <c r="KHP78" s="165"/>
      <c r="KHQ78" s="165"/>
      <c r="KHR78" s="165"/>
      <c r="KHS78" s="165"/>
      <c r="KHT78" s="165"/>
      <c r="KHU78" s="165"/>
      <c r="KHV78" s="165"/>
      <c r="KHW78" s="165"/>
      <c r="KHX78" s="165"/>
      <c r="KHY78" s="165"/>
      <c r="KHZ78" s="165"/>
      <c r="KIA78" s="165"/>
      <c r="KIB78" s="165"/>
      <c r="KIC78" s="165"/>
      <c r="KID78" s="165"/>
      <c r="KIE78" s="165"/>
      <c r="KIF78" s="165"/>
      <c r="KIG78" s="165"/>
      <c r="KIH78" s="165"/>
      <c r="KII78" s="165"/>
      <c r="KIJ78" s="165"/>
      <c r="KIK78" s="165"/>
      <c r="KIL78" s="165"/>
      <c r="KIM78" s="165"/>
      <c r="KIN78" s="165"/>
      <c r="KIO78" s="165"/>
      <c r="KIP78" s="165"/>
      <c r="KIQ78" s="165"/>
      <c r="KIR78" s="165"/>
      <c r="KIS78" s="165"/>
      <c r="KIT78" s="165"/>
      <c r="KIU78" s="165"/>
      <c r="KIV78" s="165"/>
      <c r="KIW78" s="165"/>
      <c r="KIX78" s="165"/>
      <c r="KIY78" s="165"/>
      <c r="KIZ78" s="165"/>
      <c r="KJA78" s="165"/>
      <c r="KJB78" s="165"/>
      <c r="KJC78" s="165"/>
      <c r="KJD78" s="165"/>
      <c r="KJE78" s="165"/>
      <c r="KJF78" s="165"/>
      <c r="KJG78" s="165"/>
      <c r="KJH78" s="165"/>
      <c r="KJI78" s="165"/>
      <c r="KJJ78" s="165"/>
      <c r="KJK78" s="165"/>
      <c r="KJL78" s="165"/>
      <c r="KJM78" s="165"/>
      <c r="KJN78" s="165"/>
      <c r="KJO78" s="165"/>
      <c r="KJP78" s="165"/>
      <c r="KJQ78" s="165"/>
      <c r="KJR78" s="165"/>
      <c r="KJS78" s="165"/>
      <c r="KJT78" s="165"/>
      <c r="KJU78" s="165"/>
      <c r="KJV78" s="165"/>
      <c r="KJW78" s="165"/>
      <c r="KJX78" s="165"/>
      <c r="KJY78" s="165"/>
      <c r="KJZ78" s="165"/>
      <c r="KKA78" s="165"/>
      <c r="KKB78" s="165"/>
      <c r="KKC78" s="165"/>
      <c r="KKD78" s="165"/>
      <c r="KKE78" s="165"/>
      <c r="KKF78" s="165"/>
      <c r="KKG78" s="165"/>
      <c r="KKH78" s="165"/>
      <c r="KKI78" s="165"/>
      <c r="KKJ78" s="165"/>
      <c r="KKK78" s="165"/>
      <c r="KKL78" s="165"/>
      <c r="KKM78" s="165"/>
      <c r="KKN78" s="165"/>
      <c r="KKO78" s="165"/>
      <c r="KKP78" s="165"/>
      <c r="KKQ78" s="165"/>
      <c r="KKR78" s="165"/>
      <c r="KKS78" s="165"/>
      <c r="KKT78" s="165"/>
      <c r="KKU78" s="165"/>
      <c r="KKV78" s="165"/>
      <c r="KKW78" s="165"/>
      <c r="KKX78" s="165"/>
      <c r="KKY78" s="165"/>
      <c r="KKZ78" s="165"/>
      <c r="KLA78" s="165"/>
      <c r="KLB78" s="165"/>
      <c r="KLC78" s="165"/>
      <c r="KLD78" s="165"/>
      <c r="KLE78" s="165"/>
      <c r="KLF78" s="165"/>
      <c r="KLG78" s="165"/>
      <c r="KLH78" s="165"/>
      <c r="KLI78" s="165"/>
      <c r="KLJ78" s="165"/>
      <c r="KLK78" s="165"/>
      <c r="KLL78" s="165"/>
      <c r="KLM78" s="165"/>
      <c r="KLN78" s="165"/>
      <c r="KLO78" s="165"/>
      <c r="KLP78" s="165"/>
      <c r="KLQ78" s="165"/>
      <c r="KLR78" s="165"/>
      <c r="KLS78" s="165"/>
      <c r="KLT78" s="165"/>
      <c r="KLU78" s="165"/>
      <c r="KLV78" s="165"/>
      <c r="KLW78" s="165"/>
      <c r="KLX78" s="165"/>
      <c r="KLY78" s="165"/>
      <c r="KLZ78" s="165"/>
      <c r="KMA78" s="165"/>
      <c r="KMB78" s="165"/>
      <c r="KMC78" s="165"/>
      <c r="KMD78" s="165"/>
      <c r="KME78" s="165"/>
      <c r="KMF78" s="165"/>
      <c r="KMG78" s="165"/>
      <c r="KMH78" s="165"/>
      <c r="KMI78" s="165"/>
      <c r="KMJ78" s="165"/>
      <c r="KMK78" s="165"/>
      <c r="KML78" s="165"/>
      <c r="KMM78" s="165"/>
      <c r="KMN78" s="165"/>
      <c r="KMO78" s="165"/>
      <c r="KMP78" s="165"/>
      <c r="KMQ78" s="165"/>
      <c r="KMR78" s="165"/>
      <c r="KMS78" s="165"/>
      <c r="KMT78" s="165"/>
      <c r="KMU78" s="165"/>
      <c r="KMV78" s="165"/>
      <c r="KMW78" s="165"/>
      <c r="KMX78" s="165"/>
      <c r="KMY78" s="165"/>
      <c r="KMZ78" s="165"/>
      <c r="KNA78" s="165"/>
      <c r="KNB78" s="165"/>
      <c r="KNC78" s="165"/>
      <c r="KND78" s="165"/>
      <c r="KNE78" s="165"/>
      <c r="KNF78" s="165"/>
      <c r="KNG78" s="165"/>
      <c r="KNH78" s="165"/>
      <c r="KNI78" s="165"/>
      <c r="KNJ78" s="165"/>
      <c r="KNK78" s="165"/>
      <c r="KNL78" s="165"/>
      <c r="KNM78" s="165"/>
      <c r="KNN78" s="165"/>
      <c r="KNO78" s="165"/>
      <c r="KNP78" s="165"/>
      <c r="KNQ78" s="165"/>
      <c r="KNR78" s="165"/>
      <c r="KNS78" s="165"/>
      <c r="KNT78" s="165"/>
      <c r="KNU78" s="165"/>
      <c r="KNV78" s="165"/>
      <c r="KNW78" s="165"/>
      <c r="KNX78" s="165"/>
      <c r="KNY78" s="165"/>
      <c r="KNZ78" s="165"/>
      <c r="KOA78" s="165"/>
      <c r="KOB78" s="165"/>
      <c r="KOC78" s="165"/>
      <c r="KOD78" s="165"/>
      <c r="KOE78" s="165"/>
      <c r="KOF78" s="165"/>
      <c r="KOG78" s="165"/>
      <c r="KOH78" s="165"/>
      <c r="KOI78" s="165"/>
      <c r="KOJ78" s="165"/>
      <c r="KOK78" s="165"/>
      <c r="KOL78" s="165"/>
      <c r="KOM78" s="165"/>
      <c r="KON78" s="165"/>
      <c r="KOO78" s="165"/>
      <c r="KOP78" s="165"/>
      <c r="KOQ78" s="165"/>
      <c r="KOR78" s="165"/>
      <c r="KOS78" s="165"/>
      <c r="KOT78" s="165"/>
      <c r="KOU78" s="165"/>
      <c r="KOV78" s="165"/>
      <c r="KOW78" s="165"/>
      <c r="KOX78" s="165"/>
      <c r="KOY78" s="165"/>
      <c r="KOZ78" s="165"/>
      <c r="KPA78" s="165"/>
      <c r="KPB78" s="165"/>
      <c r="KPC78" s="165"/>
      <c r="KPD78" s="165"/>
      <c r="KPE78" s="165"/>
      <c r="KPF78" s="165"/>
      <c r="KPG78" s="165"/>
      <c r="KPH78" s="165"/>
      <c r="KPI78" s="165"/>
      <c r="KPJ78" s="165"/>
      <c r="KPK78" s="165"/>
      <c r="KPL78" s="165"/>
      <c r="KPM78" s="165"/>
      <c r="KPN78" s="165"/>
      <c r="KPO78" s="165"/>
      <c r="KPP78" s="165"/>
      <c r="KPQ78" s="165"/>
      <c r="KPR78" s="165"/>
      <c r="KPS78" s="165"/>
      <c r="KPT78" s="165"/>
      <c r="KPU78" s="165"/>
      <c r="KPV78" s="165"/>
      <c r="KPW78" s="165"/>
      <c r="KPX78" s="165"/>
      <c r="KPY78" s="165"/>
      <c r="KPZ78" s="165"/>
      <c r="KQA78" s="165"/>
      <c r="KQB78" s="165"/>
      <c r="KQC78" s="165"/>
      <c r="KQD78" s="165"/>
      <c r="KQE78" s="165"/>
      <c r="KQF78" s="165"/>
      <c r="KQG78" s="165"/>
      <c r="KQH78" s="165"/>
      <c r="KQI78" s="165"/>
      <c r="KQJ78" s="165"/>
      <c r="KQK78" s="165"/>
      <c r="KQL78" s="165"/>
      <c r="KQM78" s="165"/>
      <c r="KQN78" s="165"/>
      <c r="KQO78" s="165"/>
      <c r="KQP78" s="165"/>
      <c r="KQQ78" s="165"/>
      <c r="KQR78" s="165"/>
      <c r="KQS78" s="165"/>
      <c r="KQT78" s="165"/>
      <c r="KQU78" s="165"/>
      <c r="KQV78" s="165"/>
      <c r="KQW78" s="165"/>
      <c r="KQX78" s="165"/>
      <c r="KQY78" s="165"/>
      <c r="KQZ78" s="165"/>
      <c r="KRA78" s="165"/>
      <c r="KRB78" s="165"/>
      <c r="KRC78" s="165"/>
      <c r="KRD78" s="165"/>
      <c r="KRE78" s="165"/>
      <c r="KRF78" s="165"/>
      <c r="KRG78" s="165"/>
      <c r="KRH78" s="165"/>
      <c r="KRI78" s="165"/>
      <c r="KRJ78" s="165"/>
      <c r="KRK78" s="165"/>
      <c r="KRL78" s="165"/>
      <c r="KRM78" s="165"/>
      <c r="KRN78" s="165"/>
      <c r="KRO78" s="165"/>
      <c r="KRP78" s="165"/>
      <c r="KRQ78" s="165"/>
      <c r="KRR78" s="165"/>
      <c r="KRS78" s="165"/>
      <c r="KRT78" s="165"/>
      <c r="KRU78" s="165"/>
      <c r="KRV78" s="165"/>
      <c r="KRW78" s="165"/>
      <c r="KRX78" s="165"/>
      <c r="KRY78" s="165"/>
      <c r="KRZ78" s="165"/>
      <c r="KSA78" s="165"/>
      <c r="KSB78" s="165"/>
      <c r="KSC78" s="165"/>
      <c r="KSD78" s="165"/>
      <c r="KSE78" s="165"/>
      <c r="KSF78" s="165"/>
      <c r="KSG78" s="165"/>
      <c r="KSH78" s="165"/>
      <c r="KSI78" s="165"/>
      <c r="KSJ78" s="165"/>
      <c r="KSK78" s="165"/>
      <c r="KSL78" s="165"/>
      <c r="KSM78" s="165"/>
      <c r="KSN78" s="165"/>
      <c r="KSO78" s="165"/>
      <c r="KSP78" s="165"/>
      <c r="KSQ78" s="165"/>
      <c r="KSR78" s="165"/>
      <c r="KSS78" s="165"/>
      <c r="KST78" s="165"/>
      <c r="KSU78" s="165"/>
      <c r="KSV78" s="165"/>
      <c r="KSW78" s="165"/>
      <c r="KSX78" s="165"/>
      <c r="KSY78" s="165"/>
      <c r="KSZ78" s="165"/>
      <c r="KTA78" s="165"/>
      <c r="KTB78" s="165"/>
      <c r="KTC78" s="165"/>
      <c r="KTD78" s="165"/>
      <c r="KTE78" s="165"/>
      <c r="KTF78" s="165"/>
      <c r="KTG78" s="165"/>
      <c r="KTH78" s="165"/>
      <c r="KTI78" s="165"/>
      <c r="KTJ78" s="165"/>
      <c r="KTK78" s="165"/>
      <c r="KTL78" s="165"/>
      <c r="KTM78" s="165"/>
      <c r="KTN78" s="165"/>
      <c r="KTO78" s="165"/>
      <c r="KTP78" s="165"/>
      <c r="KTQ78" s="165"/>
      <c r="KTR78" s="165"/>
      <c r="KTS78" s="165"/>
      <c r="KTT78" s="165"/>
      <c r="KTU78" s="165"/>
      <c r="KTV78" s="165"/>
      <c r="KTW78" s="165"/>
      <c r="KTX78" s="165"/>
      <c r="KTY78" s="165"/>
      <c r="KTZ78" s="165"/>
      <c r="KUA78" s="165"/>
      <c r="KUB78" s="165"/>
      <c r="KUC78" s="165"/>
      <c r="KUD78" s="165"/>
      <c r="KUE78" s="165"/>
      <c r="KUF78" s="165"/>
      <c r="KUG78" s="165"/>
      <c r="KUH78" s="165"/>
      <c r="KUI78" s="165"/>
      <c r="KUJ78" s="165"/>
      <c r="KUK78" s="165"/>
      <c r="KUL78" s="165"/>
      <c r="KUM78" s="165"/>
      <c r="KUN78" s="165"/>
      <c r="KUO78" s="165"/>
      <c r="KUP78" s="165"/>
      <c r="KUQ78" s="165"/>
      <c r="KUR78" s="165"/>
      <c r="KUS78" s="165"/>
      <c r="KUT78" s="165"/>
      <c r="KUU78" s="165"/>
      <c r="KUV78" s="165"/>
      <c r="KUW78" s="165"/>
      <c r="KUX78" s="165"/>
      <c r="KUY78" s="165"/>
      <c r="KUZ78" s="165"/>
      <c r="KVA78" s="165"/>
      <c r="KVB78" s="165"/>
      <c r="KVC78" s="165"/>
      <c r="KVD78" s="165"/>
      <c r="KVE78" s="165"/>
      <c r="KVF78" s="165"/>
      <c r="KVG78" s="165"/>
      <c r="KVH78" s="165"/>
      <c r="KVI78" s="165"/>
      <c r="KVJ78" s="165"/>
      <c r="KVK78" s="165"/>
      <c r="KVL78" s="165"/>
      <c r="KVM78" s="165"/>
      <c r="KVN78" s="165"/>
      <c r="KVO78" s="165"/>
      <c r="KVP78" s="165"/>
      <c r="KVQ78" s="165"/>
      <c r="KVR78" s="165"/>
      <c r="KVS78" s="165"/>
      <c r="KVT78" s="165"/>
      <c r="KVU78" s="165"/>
      <c r="KVV78" s="165"/>
      <c r="KVW78" s="165"/>
      <c r="KVX78" s="165"/>
      <c r="KVY78" s="165"/>
      <c r="KVZ78" s="165"/>
      <c r="KWA78" s="165"/>
      <c r="KWB78" s="165"/>
      <c r="KWC78" s="165"/>
      <c r="KWD78" s="165"/>
      <c r="KWE78" s="165"/>
      <c r="KWF78" s="165"/>
      <c r="KWG78" s="165"/>
      <c r="KWH78" s="165"/>
      <c r="KWI78" s="165"/>
      <c r="KWJ78" s="165"/>
      <c r="KWK78" s="165"/>
      <c r="KWL78" s="165"/>
      <c r="KWM78" s="165"/>
      <c r="KWN78" s="165"/>
      <c r="KWO78" s="165"/>
      <c r="KWP78" s="165"/>
      <c r="KWQ78" s="165"/>
      <c r="KWR78" s="165"/>
      <c r="KWS78" s="165"/>
      <c r="KWT78" s="165"/>
      <c r="KWU78" s="165"/>
      <c r="KWV78" s="165"/>
      <c r="KWW78" s="165"/>
      <c r="KWX78" s="165"/>
      <c r="KWY78" s="165"/>
      <c r="KWZ78" s="165"/>
      <c r="KXA78" s="165"/>
      <c r="KXB78" s="165"/>
      <c r="KXC78" s="165"/>
      <c r="KXD78" s="165"/>
      <c r="KXE78" s="165"/>
      <c r="KXF78" s="165"/>
      <c r="KXG78" s="165"/>
      <c r="KXH78" s="165"/>
      <c r="KXI78" s="165"/>
      <c r="KXJ78" s="165"/>
      <c r="KXK78" s="165"/>
      <c r="KXL78" s="165"/>
      <c r="KXM78" s="165"/>
      <c r="KXN78" s="165"/>
      <c r="KXO78" s="165"/>
      <c r="KXP78" s="165"/>
      <c r="KXQ78" s="165"/>
      <c r="KXR78" s="165"/>
      <c r="KXS78" s="165"/>
      <c r="KXT78" s="165"/>
      <c r="KXU78" s="165"/>
      <c r="KXV78" s="165"/>
      <c r="KXW78" s="165"/>
      <c r="KXX78" s="165"/>
      <c r="KXY78" s="165"/>
      <c r="KXZ78" s="165"/>
      <c r="KYA78" s="165"/>
      <c r="KYB78" s="165"/>
      <c r="KYC78" s="165"/>
      <c r="KYD78" s="165"/>
      <c r="KYE78" s="165"/>
      <c r="KYF78" s="165"/>
      <c r="KYG78" s="165"/>
      <c r="KYH78" s="165"/>
      <c r="KYI78" s="165"/>
      <c r="KYJ78" s="165"/>
      <c r="KYK78" s="165"/>
      <c r="KYL78" s="165"/>
      <c r="KYM78" s="165"/>
      <c r="KYN78" s="165"/>
      <c r="KYO78" s="165"/>
      <c r="KYP78" s="165"/>
      <c r="KYQ78" s="165"/>
      <c r="KYR78" s="165"/>
      <c r="KYS78" s="165"/>
      <c r="KYT78" s="165"/>
      <c r="KYU78" s="165"/>
      <c r="KYV78" s="165"/>
      <c r="KYW78" s="165"/>
      <c r="KYX78" s="165"/>
      <c r="KYY78" s="165"/>
      <c r="KYZ78" s="165"/>
      <c r="KZA78" s="165"/>
      <c r="KZB78" s="165"/>
      <c r="KZC78" s="165"/>
      <c r="KZD78" s="165"/>
      <c r="KZE78" s="165"/>
      <c r="KZF78" s="165"/>
      <c r="KZG78" s="165"/>
      <c r="KZH78" s="165"/>
      <c r="KZI78" s="165"/>
      <c r="KZJ78" s="165"/>
      <c r="KZK78" s="165"/>
      <c r="KZL78" s="165"/>
      <c r="KZM78" s="165"/>
      <c r="KZN78" s="165"/>
      <c r="KZO78" s="165"/>
      <c r="KZP78" s="165"/>
      <c r="KZQ78" s="165"/>
      <c r="KZR78" s="165"/>
      <c r="KZS78" s="165"/>
      <c r="KZT78" s="165"/>
      <c r="KZU78" s="165"/>
      <c r="KZV78" s="165"/>
      <c r="KZW78" s="165"/>
      <c r="KZX78" s="165"/>
      <c r="KZY78" s="165"/>
      <c r="KZZ78" s="165"/>
      <c r="LAA78" s="165"/>
      <c r="LAB78" s="165"/>
      <c r="LAC78" s="165"/>
      <c r="LAD78" s="165"/>
      <c r="LAE78" s="165"/>
      <c r="LAF78" s="165"/>
      <c r="LAG78" s="165"/>
      <c r="LAH78" s="165"/>
      <c r="LAI78" s="165"/>
      <c r="LAJ78" s="165"/>
      <c r="LAK78" s="165"/>
      <c r="LAL78" s="165"/>
      <c r="LAM78" s="165"/>
      <c r="LAN78" s="165"/>
      <c r="LAO78" s="165"/>
      <c r="LAP78" s="165"/>
      <c r="LAQ78" s="165"/>
      <c r="LAR78" s="165"/>
      <c r="LAS78" s="165"/>
      <c r="LAT78" s="165"/>
      <c r="LAU78" s="165"/>
      <c r="LAV78" s="165"/>
      <c r="LAW78" s="165"/>
      <c r="LAX78" s="165"/>
      <c r="LAY78" s="165"/>
      <c r="LAZ78" s="165"/>
      <c r="LBA78" s="165"/>
      <c r="LBB78" s="165"/>
      <c r="LBC78" s="165"/>
      <c r="LBD78" s="165"/>
      <c r="LBE78" s="165"/>
      <c r="LBF78" s="165"/>
      <c r="LBG78" s="165"/>
      <c r="LBH78" s="165"/>
      <c r="LBI78" s="165"/>
      <c r="LBJ78" s="165"/>
      <c r="LBK78" s="165"/>
      <c r="LBL78" s="165"/>
      <c r="LBM78" s="165"/>
      <c r="LBN78" s="165"/>
      <c r="LBO78" s="165"/>
      <c r="LBP78" s="165"/>
      <c r="LBQ78" s="165"/>
      <c r="LBR78" s="165"/>
      <c r="LBS78" s="165"/>
      <c r="LBT78" s="165"/>
      <c r="LBU78" s="165"/>
      <c r="LBV78" s="165"/>
      <c r="LBW78" s="165"/>
      <c r="LBX78" s="165"/>
      <c r="LBY78" s="165"/>
      <c r="LBZ78" s="165"/>
      <c r="LCA78" s="165"/>
      <c r="LCB78" s="165"/>
      <c r="LCC78" s="165"/>
      <c r="LCD78" s="165"/>
      <c r="LCE78" s="165"/>
      <c r="LCF78" s="165"/>
      <c r="LCG78" s="165"/>
      <c r="LCH78" s="165"/>
      <c r="LCI78" s="165"/>
      <c r="LCJ78" s="165"/>
      <c r="LCK78" s="165"/>
      <c r="LCL78" s="165"/>
      <c r="LCM78" s="165"/>
      <c r="LCN78" s="165"/>
      <c r="LCO78" s="165"/>
      <c r="LCP78" s="165"/>
      <c r="LCQ78" s="165"/>
      <c r="LCR78" s="165"/>
      <c r="LCS78" s="165"/>
      <c r="LCT78" s="165"/>
      <c r="LCU78" s="165"/>
      <c r="LCV78" s="165"/>
      <c r="LCW78" s="165"/>
      <c r="LCX78" s="165"/>
      <c r="LCY78" s="165"/>
      <c r="LCZ78" s="165"/>
      <c r="LDA78" s="165"/>
      <c r="LDB78" s="165"/>
      <c r="LDC78" s="165"/>
      <c r="LDD78" s="165"/>
      <c r="LDE78" s="165"/>
      <c r="LDF78" s="165"/>
      <c r="LDG78" s="165"/>
      <c r="LDH78" s="165"/>
      <c r="LDI78" s="165"/>
      <c r="LDJ78" s="165"/>
      <c r="LDK78" s="165"/>
      <c r="LDL78" s="165"/>
      <c r="LDM78" s="165"/>
      <c r="LDN78" s="165"/>
      <c r="LDO78" s="165"/>
      <c r="LDP78" s="165"/>
      <c r="LDQ78" s="165"/>
      <c r="LDR78" s="165"/>
      <c r="LDS78" s="165"/>
      <c r="LDT78" s="165"/>
      <c r="LDU78" s="165"/>
      <c r="LDV78" s="165"/>
      <c r="LDW78" s="165"/>
      <c r="LDX78" s="165"/>
      <c r="LDY78" s="165"/>
      <c r="LDZ78" s="165"/>
      <c r="LEA78" s="165"/>
      <c r="LEB78" s="165"/>
      <c r="LEC78" s="165"/>
      <c r="LED78" s="165"/>
      <c r="LEE78" s="165"/>
      <c r="LEF78" s="165"/>
      <c r="LEG78" s="165"/>
      <c r="LEH78" s="165"/>
      <c r="LEI78" s="165"/>
      <c r="LEJ78" s="165"/>
      <c r="LEK78" s="165"/>
      <c r="LEL78" s="165"/>
      <c r="LEM78" s="165"/>
      <c r="LEN78" s="165"/>
      <c r="LEO78" s="165"/>
      <c r="LEP78" s="165"/>
      <c r="LEQ78" s="165"/>
      <c r="LER78" s="165"/>
      <c r="LES78" s="165"/>
      <c r="LET78" s="165"/>
      <c r="LEU78" s="165"/>
      <c r="LEV78" s="165"/>
      <c r="LEW78" s="165"/>
      <c r="LEX78" s="165"/>
      <c r="LEY78" s="165"/>
      <c r="LEZ78" s="165"/>
      <c r="LFA78" s="165"/>
      <c r="LFB78" s="165"/>
      <c r="LFC78" s="165"/>
      <c r="LFD78" s="165"/>
      <c r="LFE78" s="165"/>
      <c r="LFF78" s="165"/>
      <c r="LFG78" s="165"/>
      <c r="LFH78" s="165"/>
      <c r="LFI78" s="165"/>
      <c r="LFJ78" s="165"/>
      <c r="LFK78" s="165"/>
      <c r="LFL78" s="165"/>
      <c r="LFM78" s="165"/>
      <c r="LFN78" s="165"/>
      <c r="LFO78" s="165"/>
      <c r="LFP78" s="165"/>
      <c r="LFQ78" s="165"/>
      <c r="LFR78" s="165"/>
      <c r="LFS78" s="165"/>
      <c r="LFT78" s="165"/>
      <c r="LFU78" s="165"/>
      <c r="LFV78" s="165"/>
      <c r="LFW78" s="165"/>
      <c r="LFX78" s="165"/>
      <c r="LFY78" s="165"/>
      <c r="LFZ78" s="165"/>
      <c r="LGA78" s="165"/>
      <c r="LGB78" s="165"/>
      <c r="LGC78" s="165"/>
      <c r="LGD78" s="165"/>
      <c r="LGE78" s="165"/>
      <c r="LGF78" s="165"/>
      <c r="LGG78" s="165"/>
      <c r="LGH78" s="165"/>
      <c r="LGI78" s="165"/>
      <c r="LGJ78" s="165"/>
      <c r="LGK78" s="165"/>
      <c r="LGL78" s="165"/>
      <c r="LGM78" s="165"/>
      <c r="LGN78" s="165"/>
      <c r="LGO78" s="165"/>
      <c r="LGP78" s="165"/>
      <c r="LGQ78" s="165"/>
      <c r="LGR78" s="165"/>
      <c r="LGS78" s="165"/>
      <c r="LGT78" s="165"/>
      <c r="LGU78" s="165"/>
      <c r="LGV78" s="165"/>
      <c r="LGW78" s="165"/>
      <c r="LGX78" s="165"/>
      <c r="LGY78" s="165"/>
      <c r="LGZ78" s="165"/>
      <c r="LHA78" s="165"/>
      <c r="LHB78" s="165"/>
      <c r="LHC78" s="165"/>
      <c r="LHD78" s="165"/>
      <c r="LHE78" s="165"/>
      <c r="LHF78" s="165"/>
      <c r="LHG78" s="165"/>
      <c r="LHH78" s="165"/>
      <c r="LHI78" s="165"/>
      <c r="LHJ78" s="165"/>
      <c r="LHK78" s="165"/>
      <c r="LHL78" s="165"/>
      <c r="LHM78" s="165"/>
      <c r="LHN78" s="165"/>
      <c r="LHO78" s="165"/>
      <c r="LHP78" s="165"/>
      <c r="LHQ78" s="165"/>
      <c r="LHR78" s="165"/>
      <c r="LHS78" s="165"/>
      <c r="LHT78" s="165"/>
      <c r="LHU78" s="165"/>
      <c r="LHV78" s="165"/>
      <c r="LHW78" s="165"/>
      <c r="LHX78" s="165"/>
      <c r="LHY78" s="165"/>
      <c r="LHZ78" s="165"/>
      <c r="LIA78" s="165"/>
      <c r="LIB78" s="165"/>
      <c r="LIC78" s="165"/>
      <c r="LID78" s="165"/>
      <c r="LIE78" s="165"/>
      <c r="LIF78" s="165"/>
      <c r="LIG78" s="165"/>
      <c r="LIH78" s="165"/>
      <c r="LII78" s="165"/>
      <c r="LIJ78" s="165"/>
      <c r="LIK78" s="165"/>
      <c r="LIL78" s="165"/>
      <c r="LIM78" s="165"/>
      <c r="LIN78" s="165"/>
      <c r="LIO78" s="165"/>
      <c r="LIP78" s="165"/>
      <c r="LIQ78" s="165"/>
      <c r="LIR78" s="165"/>
      <c r="LIS78" s="165"/>
      <c r="LIT78" s="165"/>
      <c r="LIU78" s="165"/>
      <c r="LIV78" s="165"/>
      <c r="LIW78" s="165"/>
      <c r="LIX78" s="165"/>
      <c r="LIY78" s="165"/>
      <c r="LIZ78" s="165"/>
      <c r="LJA78" s="165"/>
      <c r="LJB78" s="165"/>
      <c r="LJC78" s="165"/>
      <c r="LJD78" s="165"/>
      <c r="LJE78" s="165"/>
      <c r="LJF78" s="165"/>
      <c r="LJG78" s="165"/>
      <c r="LJH78" s="165"/>
      <c r="LJI78" s="165"/>
      <c r="LJJ78" s="165"/>
      <c r="LJK78" s="165"/>
      <c r="LJL78" s="165"/>
      <c r="LJM78" s="165"/>
      <c r="LJN78" s="165"/>
      <c r="LJO78" s="165"/>
      <c r="LJP78" s="165"/>
      <c r="LJQ78" s="165"/>
      <c r="LJR78" s="165"/>
      <c r="LJS78" s="165"/>
      <c r="LJT78" s="165"/>
      <c r="LJU78" s="165"/>
      <c r="LJV78" s="165"/>
      <c r="LJW78" s="165"/>
      <c r="LJX78" s="165"/>
      <c r="LJY78" s="165"/>
      <c r="LJZ78" s="165"/>
      <c r="LKA78" s="165"/>
      <c r="LKB78" s="165"/>
      <c r="LKC78" s="165"/>
      <c r="LKD78" s="165"/>
      <c r="LKE78" s="165"/>
      <c r="LKF78" s="165"/>
      <c r="LKG78" s="165"/>
      <c r="LKH78" s="165"/>
      <c r="LKI78" s="165"/>
      <c r="LKJ78" s="165"/>
      <c r="LKK78" s="165"/>
      <c r="LKL78" s="165"/>
      <c r="LKM78" s="165"/>
      <c r="LKN78" s="165"/>
      <c r="LKO78" s="165"/>
      <c r="LKP78" s="165"/>
      <c r="LKQ78" s="165"/>
      <c r="LKR78" s="165"/>
      <c r="LKS78" s="165"/>
      <c r="LKT78" s="165"/>
      <c r="LKU78" s="165"/>
      <c r="LKV78" s="165"/>
      <c r="LKW78" s="165"/>
      <c r="LKX78" s="165"/>
      <c r="LKY78" s="165"/>
      <c r="LKZ78" s="165"/>
      <c r="LLA78" s="165"/>
      <c r="LLB78" s="165"/>
      <c r="LLC78" s="165"/>
      <c r="LLD78" s="165"/>
      <c r="LLE78" s="165"/>
      <c r="LLF78" s="165"/>
      <c r="LLG78" s="165"/>
      <c r="LLH78" s="165"/>
      <c r="LLI78" s="165"/>
      <c r="LLJ78" s="165"/>
      <c r="LLK78" s="165"/>
      <c r="LLL78" s="165"/>
      <c r="LLM78" s="165"/>
      <c r="LLN78" s="165"/>
      <c r="LLO78" s="165"/>
      <c r="LLP78" s="165"/>
      <c r="LLQ78" s="165"/>
      <c r="LLR78" s="165"/>
      <c r="LLS78" s="165"/>
      <c r="LLT78" s="165"/>
      <c r="LLU78" s="165"/>
      <c r="LLV78" s="165"/>
      <c r="LLW78" s="165"/>
      <c r="LLX78" s="165"/>
      <c r="LLY78" s="165"/>
      <c r="LLZ78" s="165"/>
      <c r="LMA78" s="165"/>
      <c r="LMB78" s="165"/>
      <c r="LMC78" s="165"/>
      <c r="LMD78" s="165"/>
      <c r="LME78" s="165"/>
      <c r="LMF78" s="165"/>
      <c r="LMG78" s="165"/>
      <c r="LMH78" s="165"/>
      <c r="LMI78" s="165"/>
      <c r="LMJ78" s="165"/>
      <c r="LMK78" s="165"/>
      <c r="LML78" s="165"/>
      <c r="LMM78" s="165"/>
      <c r="LMN78" s="165"/>
      <c r="LMO78" s="165"/>
      <c r="LMP78" s="165"/>
      <c r="LMQ78" s="165"/>
      <c r="LMR78" s="165"/>
      <c r="LMS78" s="165"/>
      <c r="LMT78" s="165"/>
      <c r="LMU78" s="165"/>
      <c r="LMV78" s="165"/>
      <c r="LMW78" s="165"/>
      <c r="LMX78" s="165"/>
      <c r="LMY78" s="165"/>
      <c r="LMZ78" s="165"/>
      <c r="LNA78" s="165"/>
      <c r="LNB78" s="165"/>
      <c r="LNC78" s="165"/>
      <c r="LND78" s="165"/>
      <c r="LNE78" s="165"/>
      <c r="LNF78" s="165"/>
      <c r="LNG78" s="165"/>
      <c r="LNH78" s="165"/>
      <c r="LNI78" s="165"/>
      <c r="LNJ78" s="165"/>
      <c r="LNK78" s="165"/>
      <c r="LNL78" s="165"/>
      <c r="LNM78" s="165"/>
      <c r="LNN78" s="165"/>
      <c r="LNO78" s="165"/>
      <c r="LNP78" s="165"/>
      <c r="LNQ78" s="165"/>
      <c r="LNR78" s="165"/>
      <c r="LNS78" s="165"/>
      <c r="LNT78" s="165"/>
      <c r="LNU78" s="165"/>
      <c r="LNV78" s="165"/>
      <c r="LNW78" s="165"/>
      <c r="LNX78" s="165"/>
      <c r="LNY78" s="165"/>
      <c r="LNZ78" s="165"/>
      <c r="LOA78" s="165"/>
      <c r="LOB78" s="165"/>
      <c r="LOC78" s="165"/>
      <c r="LOD78" s="165"/>
      <c r="LOE78" s="165"/>
      <c r="LOF78" s="165"/>
      <c r="LOG78" s="165"/>
      <c r="LOH78" s="165"/>
      <c r="LOI78" s="165"/>
      <c r="LOJ78" s="165"/>
      <c r="LOK78" s="165"/>
      <c r="LOL78" s="165"/>
      <c r="LOM78" s="165"/>
      <c r="LON78" s="165"/>
      <c r="LOO78" s="165"/>
      <c r="LOP78" s="165"/>
      <c r="LOQ78" s="165"/>
      <c r="LOR78" s="165"/>
      <c r="LOS78" s="165"/>
      <c r="LOT78" s="165"/>
      <c r="LOU78" s="165"/>
      <c r="LOV78" s="165"/>
      <c r="LOW78" s="165"/>
      <c r="LOX78" s="165"/>
      <c r="LOY78" s="165"/>
      <c r="LOZ78" s="165"/>
      <c r="LPA78" s="165"/>
      <c r="LPB78" s="165"/>
      <c r="LPC78" s="165"/>
      <c r="LPD78" s="165"/>
      <c r="LPE78" s="165"/>
      <c r="LPF78" s="165"/>
      <c r="LPG78" s="165"/>
      <c r="LPH78" s="165"/>
      <c r="LPI78" s="165"/>
      <c r="LPJ78" s="165"/>
      <c r="LPK78" s="165"/>
      <c r="LPL78" s="165"/>
      <c r="LPM78" s="165"/>
      <c r="LPN78" s="165"/>
      <c r="LPO78" s="165"/>
      <c r="LPP78" s="165"/>
      <c r="LPQ78" s="165"/>
      <c r="LPR78" s="165"/>
      <c r="LPS78" s="165"/>
      <c r="LPT78" s="165"/>
      <c r="LPU78" s="165"/>
      <c r="LPV78" s="165"/>
      <c r="LPW78" s="165"/>
      <c r="LPX78" s="165"/>
      <c r="LPY78" s="165"/>
      <c r="LPZ78" s="165"/>
      <c r="LQA78" s="165"/>
      <c r="LQB78" s="165"/>
      <c r="LQC78" s="165"/>
      <c r="LQD78" s="165"/>
      <c r="LQE78" s="165"/>
      <c r="LQF78" s="165"/>
      <c r="LQG78" s="165"/>
      <c r="LQH78" s="165"/>
      <c r="LQI78" s="165"/>
      <c r="LQJ78" s="165"/>
      <c r="LQK78" s="165"/>
      <c r="LQL78" s="165"/>
      <c r="LQM78" s="165"/>
      <c r="LQN78" s="165"/>
      <c r="LQO78" s="165"/>
      <c r="LQP78" s="165"/>
      <c r="LQQ78" s="165"/>
      <c r="LQR78" s="165"/>
      <c r="LQS78" s="165"/>
      <c r="LQT78" s="165"/>
      <c r="LQU78" s="165"/>
      <c r="LQV78" s="165"/>
      <c r="LQW78" s="165"/>
      <c r="LQX78" s="165"/>
      <c r="LQY78" s="165"/>
      <c r="LQZ78" s="165"/>
      <c r="LRA78" s="165"/>
      <c r="LRB78" s="165"/>
      <c r="LRC78" s="165"/>
      <c r="LRD78" s="165"/>
      <c r="LRE78" s="165"/>
      <c r="LRF78" s="165"/>
      <c r="LRG78" s="165"/>
      <c r="LRH78" s="165"/>
      <c r="LRI78" s="165"/>
      <c r="LRJ78" s="165"/>
      <c r="LRK78" s="165"/>
      <c r="LRL78" s="165"/>
      <c r="LRM78" s="165"/>
      <c r="LRN78" s="165"/>
      <c r="LRO78" s="165"/>
      <c r="LRP78" s="165"/>
      <c r="LRQ78" s="165"/>
      <c r="LRR78" s="165"/>
      <c r="LRS78" s="165"/>
      <c r="LRT78" s="165"/>
      <c r="LRU78" s="165"/>
      <c r="LRV78" s="165"/>
      <c r="LRW78" s="165"/>
      <c r="LRX78" s="165"/>
      <c r="LRY78" s="165"/>
      <c r="LRZ78" s="165"/>
      <c r="LSA78" s="165"/>
      <c r="LSB78" s="165"/>
      <c r="LSC78" s="165"/>
      <c r="LSD78" s="165"/>
      <c r="LSE78" s="165"/>
      <c r="LSF78" s="165"/>
      <c r="LSG78" s="165"/>
      <c r="LSH78" s="165"/>
      <c r="LSI78" s="165"/>
      <c r="LSJ78" s="165"/>
      <c r="LSK78" s="165"/>
      <c r="LSL78" s="165"/>
      <c r="LSM78" s="165"/>
      <c r="LSN78" s="165"/>
      <c r="LSO78" s="165"/>
      <c r="LSP78" s="165"/>
      <c r="LSQ78" s="165"/>
      <c r="LSR78" s="165"/>
      <c r="LSS78" s="165"/>
      <c r="LST78" s="165"/>
      <c r="LSU78" s="165"/>
      <c r="LSV78" s="165"/>
      <c r="LSW78" s="165"/>
      <c r="LSX78" s="165"/>
      <c r="LSY78" s="165"/>
      <c r="LSZ78" s="165"/>
      <c r="LTA78" s="165"/>
      <c r="LTB78" s="165"/>
      <c r="LTC78" s="165"/>
      <c r="LTD78" s="165"/>
      <c r="LTE78" s="165"/>
      <c r="LTF78" s="165"/>
      <c r="LTG78" s="165"/>
      <c r="LTH78" s="165"/>
      <c r="LTI78" s="165"/>
      <c r="LTJ78" s="165"/>
      <c r="LTK78" s="165"/>
      <c r="LTL78" s="165"/>
      <c r="LTM78" s="165"/>
      <c r="LTN78" s="165"/>
      <c r="LTO78" s="165"/>
      <c r="LTP78" s="165"/>
      <c r="LTQ78" s="165"/>
      <c r="LTR78" s="165"/>
      <c r="LTS78" s="165"/>
      <c r="LTT78" s="165"/>
      <c r="LTU78" s="165"/>
      <c r="LTV78" s="165"/>
      <c r="LTW78" s="165"/>
      <c r="LTX78" s="165"/>
      <c r="LTY78" s="165"/>
      <c r="LTZ78" s="165"/>
      <c r="LUA78" s="165"/>
      <c r="LUB78" s="165"/>
      <c r="LUC78" s="165"/>
      <c r="LUD78" s="165"/>
      <c r="LUE78" s="165"/>
      <c r="LUF78" s="165"/>
      <c r="LUG78" s="165"/>
      <c r="LUH78" s="165"/>
      <c r="LUI78" s="165"/>
      <c r="LUJ78" s="165"/>
      <c r="LUK78" s="165"/>
      <c r="LUL78" s="165"/>
      <c r="LUM78" s="165"/>
      <c r="LUN78" s="165"/>
      <c r="LUO78" s="165"/>
      <c r="LUP78" s="165"/>
      <c r="LUQ78" s="165"/>
      <c r="LUR78" s="165"/>
      <c r="LUS78" s="165"/>
      <c r="LUT78" s="165"/>
      <c r="LUU78" s="165"/>
      <c r="LUV78" s="165"/>
      <c r="LUW78" s="165"/>
      <c r="LUX78" s="165"/>
      <c r="LUY78" s="165"/>
      <c r="LUZ78" s="165"/>
      <c r="LVA78" s="165"/>
      <c r="LVB78" s="165"/>
      <c r="LVC78" s="165"/>
      <c r="LVD78" s="165"/>
      <c r="LVE78" s="165"/>
      <c r="LVF78" s="165"/>
      <c r="LVG78" s="165"/>
      <c r="LVH78" s="165"/>
      <c r="LVI78" s="165"/>
      <c r="LVJ78" s="165"/>
      <c r="LVK78" s="165"/>
      <c r="LVL78" s="165"/>
      <c r="LVM78" s="165"/>
      <c r="LVN78" s="165"/>
      <c r="LVO78" s="165"/>
      <c r="LVP78" s="165"/>
      <c r="LVQ78" s="165"/>
      <c r="LVR78" s="165"/>
      <c r="LVS78" s="165"/>
      <c r="LVT78" s="165"/>
      <c r="LVU78" s="165"/>
      <c r="LVV78" s="165"/>
      <c r="LVW78" s="165"/>
      <c r="LVX78" s="165"/>
      <c r="LVY78" s="165"/>
      <c r="LVZ78" s="165"/>
      <c r="LWA78" s="165"/>
      <c r="LWB78" s="165"/>
      <c r="LWC78" s="165"/>
      <c r="LWD78" s="165"/>
      <c r="LWE78" s="165"/>
      <c r="LWF78" s="165"/>
      <c r="LWG78" s="165"/>
      <c r="LWH78" s="165"/>
      <c r="LWI78" s="165"/>
      <c r="LWJ78" s="165"/>
      <c r="LWK78" s="165"/>
      <c r="LWL78" s="165"/>
      <c r="LWM78" s="165"/>
      <c r="LWN78" s="165"/>
      <c r="LWO78" s="165"/>
      <c r="LWP78" s="165"/>
      <c r="LWQ78" s="165"/>
      <c r="LWR78" s="165"/>
      <c r="LWS78" s="165"/>
      <c r="LWT78" s="165"/>
      <c r="LWU78" s="165"/>
      <c r="LWV78" s="165"/>
      <c r="LWW78" s="165"/>
      <c r="LWX78" s="165"/>
      <c r="LWY78" s="165"/>
      <c r="LWZ78" s="165"/>
      <c r="LXA78" s="165"/>
      <c r="LXB78" s="165"/>
      <c r="LXC78" s="165"/>
      <c r="LXD78" s="165"/>
      <c r="LXE78" s="165"/>
      <c r="LXF78" s="165"/>
      <c r="LXG78" s="165"/>
      <c r="LXH78" s="165"/>
      <c r="LXI78" s="165"/>
      <c r="LXJ78" s="165"/>
      <c r="LXK78" s="165"/>
      <c r="LXL78" s="165"/>
      <c r="LXM78" s="165"/>
      <c r="LXN78" s="165"/>
      <c r="LXO78" s="165"/>
      <c r="LXP78" s="165"/>
      <c r="LXQ78" s="165"/>
      <c r="LXR78" s="165"/>
      <c r="LXS78" s="165"/>
      <c r="LXT78" s="165"/>
      <c r="LXU78" s="165"/>
      <c r="LXV78" s="165"/>
      <c r="LXW78" s="165"/>
      <c r="LXX78" s="165"/>
      <c r="LXY78" s="165"/>
      <c r="LXZ78" s="165"/>
      <c r="LYA78" s="165"/>
      <c r="LYB78" s="165"/>
      <c r="LYC78" s="165"/>
      <c r="LYD78" s="165"/>
      <c r="LYE78" s="165"/>
      <c r="LYF78" s="165"/>
      <c r="LYG78" s="165"/>
      <c r="LYH78" s="165"/>
      <c r="LYI78" s="165"/>
      <c r="LYJ78" s="165"/>
      <c r="LYK78" s="165"/>
      <c r="LYL78" s="165"/>
      <c r="LYM78" s="165"/>
      <c r="LYN78" s="165"/>
      <c r="LYO78" s="165"/>
      <c r="LYP78" s="165"/>
      <c r="LYQ78" s="165"/>
      <c r="LYR78" s="165"/>
      <c r="LYS78" s="165"/>
      <c r="LYT78" s="165"/>
      <c r="LYU78" s="165"/>
      <c r="LYV78" s="165"/>
      <c r="LYW78" s="165"/>
      <c r="LYX78" s="165"/>
      <c r="LYY78" s="165"/>
      <c r="LYZ78" s="165"/>
      <c r="LZA78" s="165"/>
      <c r="LZB78" s="165"/>
      <c r="LZC78" s="165"/>
      <c r="LZD78" s="165"/>
      <c r="LZE78" s="165"/>
      <c r="LZF78" s="165"/>
      <c r="LZG78" s="165"/>
      <c r="LZH78" s="165"/>
      <c r="LZI78" s="165"/>
      <c r="LZJ78" s="165"/>
      <c r="LZK78" s="165"/>
      <c r="LZL78" s="165"/>
      <c r="LZM78" s="165"/>
      <c r="LZN78" s="165"/>
      <c r="LZO78" s="165"/>
      <c r="LZP78" s="165"/>
      <c r="LZQ78" s="165"/>
      <c r="LZR78" s="165"/>
      <c r="LZS78" s="165"/>
      <c r="LZT78" s="165"/>
      <c r="LZU78" s="165"/>
      <c r="LZV78" s="165"/>
      <c r="LZW78" s="165"/>
      <c r="LZX78" s="165"/>
      <c r="LZY78" s="165"/>
      <c r="LZZ78" s="165"/>
      <c r="MAA78" s="165"/>
      <c r="MAB78" s="165"/>
      <c r="MAC78" s="165"/>
      <c r="MAD78" s="165"/>
      <c r="MAE78" s="165"/>
      <c r="MAF78" s="165"/>
      <c r="MAG78" s="165"/>
      <c r="MAH78" s="165"/>
      <c r="MAI78" s="165"/>
      <c r="MAJ78" s="165"/>
      <c r="MAK78" s="165"/>
      <c r="MAL78" s="165"/>
      <c r="MAM78" s="165"/>
      <c r="MAN78" s="165"/>
      <c r="MAO78" s="165"/>
      <c r="MAP78" s="165"/>
      <c r="MAQ78" s="165"/>
      <c r="MAR78" s="165"/>
      <c r="MAS78" s="165"/>
      <c r="MAT78" s="165"/>
      <c r="MAU78" s="165"/>
      <c r="MAV78" s="165"/>
      <c r="MAW78" s="165"/>
      <c r="MAX78" s="165"/>
      <c r="MAY78" s="165"/>
      <c r="MAZ78" s="165"/>
      <c r="MBA78" s="165"/>
      <c r="MBB78" s="165"/>
      <c r="MBC78" s="165"/>
      <c r="MBD78" s="165"/>
      <c r="MBE78" s="165"/>
      <c r="MBF78" s="165"/>
      <c r="MBG78" s="165"/>
      <c r="MBH78" s="165"/>
      <c r="MBI78" s="165"/>
      <c r="MBJ78" s="165"/>
      <c r="MBK78" s="165"/>
      <c r="MBL78" s="165"/>
      <c r="MBM78" s="165"/>
      <c r="MBN78" s="165"/>
      <c r="MBO78" s="165"/>
      <c r="MBP78" s="165"/>
      <c r="MBQ78" s="165"/>
      <c r="MBR78" s="165"/>
      <c r="MBS78" s="165"/>
      <c r="MBT78" s="165"/>
      <c r="MBU78" s="165"/>
      <c r="MBV78" s="165"/>
      <c r="MBW78" s="165"/>
      <c r="MBX78" s="165"/>
      <c r="MBY78" s="165"/>
      <c r="MBZ78" s="165"/>
      <c r="MCA78" s="165"/>
      <c r="MCB78" s="165"/>
      <c r="MCC78" s="165"/>
      <c r="MCD78" s="165"/>
      <c r="MCE78" s="165"/>
      <c r="MCF78" s="165"/>
      <c r="MCG78" s="165"/>
      <c r="MCH78" s="165"/>
      <c r="MCI78" s="165"/>
      <c r="MCJ78" s="165"/>
      <c r="MCK78" s="165"/>
      <c r="MCL78" s="165"/>
      <c r="MCM78" s="165"/>
      <c r="MCN78" s="165"/>
      <c r="MCO78" s="165"/>
      <c r="MCP78" s="165"/>
      <c r="MCQ78" s="165"/>
      <c r="MCR78" s="165"/>
      <c r="MCS78" s="165"/>
      <c r="MCT78" s="165"/>
      <c r="MCU78" s="165"/>
      <c r="MCV78" s="165"/>
      <c r="MCW78" s="165"/>
      <c r="MCX78" s="165"/>
      <c r="MCY78" s="165"/>
      <c r="MCZ78" s="165"/>
      <c r="MDA78" s="165"/>
      <c r="MDB78" s="165"/>
      <c r="MDC78" s="165"/>
      <c r="MDD78" s="165"/>
      <c r="MDE78" s="165"/>
      <c r="MDF78" s="165"/>
      <c r="MDG78" s="165"/>
      <c r="MDH78" s="165"/>
      <c r="MDI78" s="165"/>
      <c r="MDJ78" s="165"/>
      <c r="MDK78" s="165"/>
      <c r="MDL78" s="165"/>
      <c r="MDM78" s="165"/>
      <c r="MDN78" s="165"/>
      <c r="MDO78" s="165"/>
      <c r="MDP78" s="165"/>
      <c r="MDQ78" s="165"/>
      <c r="MDR78" s="165"/>
      <c r="MDS78" s="165"/>
      <c r="MDT78" s="165"/>
      <c r="MDU78" s="165"/>
      <c r="MDV78" s="165"/>
      <c r="MDW78" s="165"/>
      <c r="MDX78" s="165"/>
      <c r="MDY78" s="165"/>
      <c r="MDZ78" s="165"/>
      <c r="MEA78" s="165"/>
      <c r="MEB78" s="165"/>
      <c r="MEC78" s="165"/>
      <c r="MED78" s="165"/>
      <c r="MEE78" s="165"/>
      <c r="MEF78" s="165"/>
      <c r="MEG78" s="165"/>
      <c r="MEH78" s="165"/>
      <c r="MEI78" s="165"/>
      <c r="MEJ78" s="165"/>
      <c r="MEK78" s="165"/>
      <c r="MEL78" s="165"/>
      <c r="MEM78" s="165"/>
      <c r="MEN78" s="165"/>
      <c r="MEO78" s="165"/>
      <c r="MEP78" s="165"/>
      <c r="MEQ78" s="165"/>
      <c r="MER78" s="165"/>
      <c r="MES78" s="165"/>
      <c r="MET78" s="165"/>
      <c r="MEU78" s="165"/>
      <c r="MEV78" s="165"/>
      <c r="MEW78" s="165"/>
      <c r="MEX78" s="165"/>
      <c r="MEY78" s="165"/>
      <c r="MEZ78" s="165"/>
      <c r="MFA78" s="165"/>
      <c r="MFB78" s="165"/>
      <c r="MFC78" s="165"/>
      <c r="MFD78" s="165"/>
      <c r="MFE78" s="165"/>
      <c r="MFF78" s="165"/>
      <c r="MFG78" s="165"/>
      <c r="MFH78" s="165"/>
      <c r="MFI78" s="165"/>
      <c r="MFJ78" s="165"/>
      <c r="MFK78" s="165"/>
      <c r="MFL78" s="165"/>
      <c r="MFM78" s="165"/>
      <c r="MFN78" s="165"/>
      <c r="MFO78" s="165"/>
      <c r="MFP78" s="165"/>
      <c r="MFQ78" s="165"/>
      <c r="MFR78" s="165"/>
      <c r="MFS78" s="165"/>
      <c r="MFT78" s="165"/>
      <c r="MFU78" s="165"/>
      <c r="MFV78" s="165"/>
      <c r="MFW78" s="165"/>
      <c r="MFX78" s="165"/>
      <c r="MFY78" s="165"/>
      <c r="MFZ78" s="165"/>
      <c r="MGA78" s="165"/>
      <c r="MGB78" s="165"/>
      <c r="MGC78" s="165"/>
      <c r="MGD78" s="165"/>
      <c r="MGE78" s="165"/>
      <c r="MGF78" s="165"/>
      <c r="MGG78" s="165"/>
      <c r="MGH78" s="165"/>
      <c r="MGI78" s="165"/>
      <c r="MGJ78" s="165"/>
      <c r="MGK78" s="165"/>
      <c r="MGL78" s="165"/>
      <c r="MGM78" s="165"/>
      <c r="MGN78" s="165"/>
      <c r="MGO78" s="165"/>
      <c r="MGP78" s="165"/>
      <c r="MGQ78" s="165"/>
      <c r="MGR78" s="165"/>
      <c r="MGS78" s="165"/>
      <c r="MGT78" s="165"/>
      <c r="MGU78" s="165"/>
      <c r="MGV78" s="165"/>
      <c r="MGW78" s="165"/>
      <c r="MGX78" s="165"/>
      <c r="MGY78" s="165"/>
      <c r="MGZ78" s="165"/>
      <c r="MHA78" s="165"/>
      <c r="MHB78" s="165"/>
      <c r="MHC78" s="165"/>
      <c r="MHD78" s="165"/>
      <c r="MHE78" s="165"/>
      <c r="MHF78" s="165"/>
      <c r="MHG78" s="165"/>
      <c r="MHH78" s="165"/>
      <c r="MHI78" s="165"/>
      <c r="MHJ78" s="165"/>
      <c r="MHK78" s="165"/>
      <c r="MHL78" s="165"/>
      <c r="MHM78" s="165"/>
      <c r="MHN78" s="165"/>
      <c r="MHO78" s="165"/>
      <c r="MHP78" s="165"/>
      <c r="MHQ78" s="165"/>
      <c r="MHR78" s="165"/>
      <c r="MHS78" s="165"/>
      <c r="MHT78" s="165"/>
      <c r="MHU78" s="165"/>
      <c r="MHV78" s="165"/>
      <c r="MHW78" s="165"/>
      <c r="MHX78" s="165"/>
      <c r="MHY78" s="165"/>
      <c r="MHZ78" s="165"/>
      <c r="MIA78" s="165"/>
      <c r="MIB78" s="165"/>
      <c r="MIC78" s="165"/>
      <c r="MID78" s="165"/>
      <c r="MIE78" s="165"/>
      <c r="MIF78" s="165"/>
      <c r="MIG78" s="165"/>
      <c r="MIH78" s="165"/>
      <c r="MII78" s="165"/>
      <c r="MIJ78" s="165"/>
      <c r="MIK78" s="165"/>
      <c r="MIL78" s="165"/>
      <c r="MIM78" s="165"/>
      <c r="MIN78" s="165"/>
      <c r="MIO78" s="165"/>
      <c r="MIP78" s="165"/>
      <c r="MIQ78" s="165"/>
      <c r="MIR78" s="165"/>
      <c r="MIS78" s="165"/>
      <c r="MIT78" s="165"/>
      <c r="MIU78" s="165"/>
      <c r="MIV78" s="165"/>
      <c r="MIW78" s="165"/>
      <c r="MIX78" s="165"/>
      <c r="MIY78" s="165"/>
      <c r="MIZ78" s="165"/>
      <c r="MJA78" s="165"/>
      <c r="MJB78" s="165"/>
      <c r="MJC78" s="165"/>
      <c r="MJD78" s="165"/>
      <c r="MJE78" s="165"/>
      <c r="MJF78" s="165"/>
      <c r="MJG78" s="165"/>
      <c r="MJH78" s="165"/>
      <c r="MJI78" s="165"/>
      <c r="MJJ78" s="165"/>
      <c r="MJK78" s="165"/>
      <c r="MJL78" s="165"/>
      <c r="MJM78" s="165"/>
      <c r="MJN78" s="165"/>
      <c r="MJO78" s="165"/>
      <c r="MJP78" s="165"/>
      <c r="MJQ78" s="165"/>
      <c r="MJR78" s="165"/>
      <c r="MJS78" s="165"/>
      <c r="MJT78" s="165"/>
      <c r="MJU78" s="165"/>
      <c r="MJV78" s="165"/>
      <c r="MJW78" s="165"/>
      <c r="MJX78" s="165"/>
      <c r="MJY78" s="165"/>
      <c r="MJZ78" s="165"/>
      <c r="MKA78" s="165"/>
      <c r="MKB78" s="165"/>
      <c r="MKC78" s="165"/>
      <c r="MKD78" s="165"/>
      <c r="MKE78" s="165"/>
      <c r="MKF78" s="165"/>
      <c r="MKG78" s="165"/>
      <c r="MKH78" s="165"/>
      <c r="MKI78" s="165"/>
      <c r="MKJ78" s="165"/>
      <c r="MKK78" s="165"/>
      <c r="MKL78" s="165"/>
      <c r="MKM78" s="165"/>
      <c r="MKN78" s="165"/>
      <c r="MKO78" s="165"/>
      <c r="MKP78" s="165"/>
      <c r="MKQ78" s="165"/>
      <c r="MKR78" s="165"/>
      <c r="MKS78" s="165"/>
      <c r="MKT78" s="165"/>
      <c r="MKU78" s="165"/>
      <c r="MKV78" s="165"/>
      <c r="MKW78" s="165"/>
      <c r="MKX78" s="165"/>
      <c r="MKY78" s="165"/>
      <c r="MKZ78" s="165"/>
      <c r="MLA78" s="165"/>
      <c r="MLB78" s="165"/>
      <c r="MLC78" s="165"/>
      <c r="MLD78" s="165"/>
      <c r="MLE78" s="165"/>
      <c r="MLF78" s="165"/>
      <c r="MLG78" s="165"/>
      <c r="MLH78" s="165"/>
      <c r="MLI78" s="165"/>
      <c r="MLJ78" s="165"/>
      <c r="MLK78" s="165"/>
      <c r="MLL78" s="165"/>
      <c r="MLM78" s="165"/>
      <c r="MLN78" s="165"/>
      <c r="MLO78" s="165"/>
      <c r="MLP78" s="165"/>
      <c r="MLQ78" s="165"/>
      <c r="MLR78" s="165"/>
      <c r="MLS78" s="165"/>
      <c r="MLT78" s="165"/>
      <c r="MLU78" s="165"/>
      <c r="MLV78" s="165"/>
      <c r="MLW78" s="165"/>
      <c r="MLX78" s="165"/>
      <c r="MLY78" s="165"/>
      <c r="MLZ78" s="165"/>
      <c r="MMA78" s="165"/>
      <c r="MMB78" s="165"/>
      <c r="MMC78" s="165"/>
      <c r="MMD78" s="165"/>
      <c r="MME78" s="165"/>
      <c r="MMF78" s="165"/>
      <c r="MMG78" s="165"/>
      <c r="MMH78" s="165"/>
      <c r="MMI78" s="165"/>
      <c r="MMJ78" s="165"/>
      <c r="MMK78" s="165"/>
      <c r="MML78" s="165"/>
      <c r="MMM78" s="165"/>
      <c r="MMN78" s="165"/>
      <c r="MMO78" s="165"/>
      <c r="MMP78" s="165"/>
      <c r="MMQ78" s="165"/>
      <c r="MMR78" s="165"/>
      <c r="MMS78" s="165"/>
      <c r="MMT78" s="165"/>
      <c r="MMU78" s="165"/>
      <c r="MMV78" s="165"/>
      <c r="MMW78" s="165"/>
      <c r="MMX78" s="165"/>
      <c r="MMY78" s="165"/>
      <c r="MMZ78" s="165"/>
      <c r="MNA78" s="165"/>
      <c r="MNB78" s="165"/>
      <c r="MNC78" s="165"/>
      <c r="MND78" s="165"/>
      <c r="MNE78" s="165"/>
      <c r="MNF78" s="165"/>
      <c r="MNG78" s="165"/>
      <c r="MNH78" s="165"/>
      <c r="MNI78" s="165"/>
      <c r="MNJ78" s="165"/>
      <c r="MNK78" s="165"/>
      <c r="MNL78" s="165"/>
      <c r="MNM78" s="165"/>
      <c r="MNN78" s="165"/>
      <c r="MNO78" s="165"/>
      <c r="MNP78" s="165"/>
      <c r="MNQ78" s="165"/>
      <c r="MNR78" s="165"/>
      <c r="MNS78" s="165"/>
      <c r="MNT78" s="165"/>
      <c r="MNU78" s="165"/>
      <c r="MNV78" s="165"/>
      <c r="MNW78" s="165"/>
      <c r="MNX78" s="165"/>
      <c r="MNY78" s="165"/>
      <c r="MNZ78" s="165"/>
      <c r="MOA78" s="165"/>
      <c r="MOB78" s="165"/>
      <c r="MOC78" s="165"/>
      <c r="MOD78" s="165"/>
      <c r="MOE78" s="165"/>
      <c r="MOF78" s="165"/>
      <c r="MOG78" s="165"/>
      <c r="MOH78" s="165"/>
      <c r="MOI78" s="165"/>
      <c r="MOJ78" s="165"/>
      <c r="MOK78" s="165"/>
      <c r="MOL78" s="165"/>
      <c r="MOM78" s="165"/>
      <c r="MON78" s="165"/>
      <c r="MOO78" s="165"/>
      <c r="MOP78" s="165"/>
      <c r="MOQ78" s="165"/>
      <c r="MOR78" s="165"/>
      <c r="MOS78" s="165"/>
      <c r="MOT78" s="165"/>
      <c r="MOU78" s="165"/>
      <c r="MOV78" s="165"/>
      <c r="MOW78" s="165"/>
      <c r="MOX78" s="165"/>
      <c r="MOY78" s="165"/>
      <c r="MOZ78" s="165"/>
      <c r="MPA78" s="165"/>
      <c r="MPB78" s="165"/>
      <c r="MPC78" s="165"/>
      <c r="MPD78" s="165"/>
      <c r="MPE78" s="165"/>
      <c r="MPF78" s="165"/>
      <c r="MPG78" s="165"/>
      <c r="MPH78" s="165"/>
      <c r="MPI78" s="165"/>
      <c r="MPJ78" s="165"/>
      <c r="MPK78" s="165"/>
      <c r="MPL78" s="165"/>
      <c r="MPM78" s="165"/>
      <c r="MPN78" s="165"/>
      <c r="MPO78" s="165"/>
      <c r="MPP78" s="165"/>
      <c r="MPQ78" s="165"/>
      <c r="MPR78" s="165"/>
      <c r="MPS78" s="165"/>
      <c r="MPT78" s="165"/>
      <c r="MPU78" s="165"/>
      <c r="MPV78" s="165"/>
      <c r="MPW78" s="165"/>
      <c r="MPX78" s="165"/>
      <c r="MPY78" s="165"/>
      <c r="MPZ78" s="165"/>
      <c r="MQA78" s="165"/>
      <c r="MQB78" s="165"/>
      <c r="MQC78" s="165"/>
      <c r="MQD78" s="165"/>
      <c r="MQE78" s="165"/>
      <c r="MQF78" s="165"/>
      <c r="MQG78" s="165"/>
      <c r="MQH78" s="165"/>
      <c r="MQI78" s="165"/>
      <c r="MQJ78" s="165"/>
      <c r="MQK78" s="165"/>
      <c r="MQL78" s="165"/>
      <c r="MQM78" s="165"/>
      <c r="MQN78" s="165"/>
      <c r="MQO78" s="165"/>
      <c r="MQP78" s="165"/>
      <c r="MQQ78" s="165"/>
      <c r="MQR78" s="165"/>
      <c r="MQS78" s="165"/>
      <c r="MQT78" s="165"/>
      <c r="MQU78" s="165"/>
      <c r="MQV78" s="165"/>
      <c r="MQW78" s="165"/>
      <c r="MQX78" s="165"/>
      <c r="MQY78" s="165"/>
      <c r="MQZ78" s="165"/>
      <c r="MRA78" s="165"/>
      <c r="MRB78" s="165"/>
      <c r="MRC78" s="165"/>
      <c r="MRD78" s="165"/>
      <c r="MRE78" s="165"/>
      <c r="MRF78" s="165"/>
      <c r="MRG78" s="165"/>
      <c r="MRH78" s="165"/>
      <c r="MRI78" s="165"/>
      <c r="MRJ78" s="165"/>
      <c r="MRK78" s="165"/>
      <c r="MRL78" s="165"/>
      <c r="MRM78" s="165"/>
      <c r="MRN78" s="165"/>
      <c r="MRO78" s="165"/>
      <c r="MRP78" s="165"/>
      <c r="MRQ78" s="165"/>
      <c r="MRR78" s="165"/>
      <c r="MRS78" s="165"/>
      <c r="MRT78" s="165"/>
      <c r="MRU78" s="165"/>
      <c r="MRV78" s="165"/>
      <c r="MRW78" s="165"/>
      <c r="MRX78" s="165"/>
      <c r="MRY78" s="165"/>
      <c r="MRZ78" s="165"/>
      <c r="MSA78" s="165"/>
      <c r="MSB78" s="165"/>
      <c r="MSC78" s="165"/>
      <c r="MSD78" s="165"/>
      <c r="MSE78" s="165"/>
      <c r="MSF78" s="165"/>
      <c r="MSG78" s="165"/>
      <c r="MSH78" s="165"/>
      <c r="MSI78" s="165"/>
      <c r="MSJ78" s="165"/>
      <c r="MSK78" s="165"/>
      <c r="MSL78" s="165"/>
      <c r="MSM78" s="165"/>
      <c r="MSN78" s="165"/>
      <c r="MSO78" s="165"/>
      <c r="MSP78" s="165"/>
      <c r="MSQ78" s="165"/>
      <c r="MSR78" s="165"/>
      <c r="MSS78" s="165"/>
      <c r="MST78" s="165"/>
      <c r="MSU78" s="165"/>
      <c r="MSV78" s="165"/>
      <c r="MSW78" s="165"/>
      <c r="MSX78" s="165"/>
      <c r="MSY78" s="165"/>
      <c r="MSZ78" s="165"/>
      <c r="MTA78" s="165"/>
      <c r="MTB78" s="165"/>
      <c r="MTC78" s="165"/>
      <c r="MTD78" s="165"/>
      <c r="MTE78" s="165"/>
      <c r="MTF78" s="165"/>
      <c r="MTG78" s="165"/>
      <c r="MTH78" s="165"/>
      <c r="MTI78" s="165"/>
      <c r="MTJ78" s="165"/>
      <c r="MTK78" s="165"/>
      <c r="MTL78" s="165"/>
      <c r="MTM78" s="165"/>
      <c r="MTN78" s="165"/>
      <c r="MTO78" s="165"/>
      <c r="MTP78" s="165"/>
      <c r="MTQ78" s="165"/>
      <c r="MTR78" s="165"/>
      <c r="MTS78" s="165"/>
      <c r="MTT78" s="165"/>
      <c r="MTU78" s="165"/>
      <c r="MTV78" s="165"/>
      <c r="MTW78" s="165"/>
      <c r="MTX78" s="165"/>
      <c r="MTY78" s="165"/>
      <c r="MTZ78" s="165"/>
      <c r="MUA78" s="165"/>
      <c r="MUB78" s="165"/>
      <c r="MUC78" s="165"/>
      <c r="MUD78" s="165"/>
      <c r="MUE78" s="165"/>
      <c r="MUF78" s="165"/>
      <c r="MUG78" s="165"/>
      <c r="MUH78" s="165"/>
      <c r="MUI78" s="165"/>
      <c r="MUJ78" s="165"/>
      <c r="MUK78" s="165"/>
      <c r="MUL78" s="165"/>
      <c r="MUM78" s="165"/>
      <c r="MUN78" s="165"/>
      <c r="MUO78" s="165"/>
      <c r="MUP78" s="165"/>
      <c r="MUQ78" s="165"/>
      <c r="MUR78" s="165"/>
      <c r="MUS78" s="165"/>
      <c r="MUT78" s="165"/>
      <c r="MUU78" s="165"/>
      <c r="MUV78" s="165"/>
      <c r="MUW78" s="165"/>
      <c r="MUX78" s="165"/>
      <c r="MUY78" s="165"/>
      <c r="MUZ78" s="165"/>
      <c r="MVA78" s="165"/>
      <c r="MVB78" s="165"/>
      <c r="MVC78" s="165"/>
      <c r="MVD78" s="165"/>
      <c r="MVE78" s="165"/>
      <c r="MVF78" s="165"/>
      <c r="MVG78" s="165"/>
      <c r="MVH78" s="165"/>
      <c r="MVI78" s="165"/>
      <c r="MVJ78" s="165"/>
      <c r="MVK78" s="165"/>
      <c r="MVL78" s="165"/>
      <c r="MVM78" s="165"/>
      <c r="MVN78" s="165"/>
      <c r="MVO78" s="165"/>
      <c r="MVP78" s="165"/>
      <c r="MVQ78" s="165"/>
      <c r="MVR78" s="165"/>
      <c r="MVS78" s="165"/>
      <c r="MVT78" s="165"/>
      <c r="MVU78" s="165"/>
      <c r="MVV78" s="165"/>
      <c r="MVW78" s="165"/>
      <c r="MVX78" s="165"/>
      <c r="MVY78" s="165"/>
      <c r="MVZ78" s="165"/>
      <c r="MWA78" s="165"/>
      <c r="MWB78" s="165"/>
      <c r="MWC78" s="165"/>
      <c r="MWD78" s="165"/>
      <c r="MWE78" s="165"/>
      <c r="MWF78" s="165"/>
      <c r="MWG78" s="165"/>
      <c r="MWH78" s="165"/>
      <c r="MWI78" s="165"/>
      <c r="MWJ78" s="165"/>
      <c r="MWK78" s="165"/>
      <c r="MWL78" s="165"/>
      <c r="MWM78" s="165"/>
      <c r="MWN78" s="165"/>
      <c r="MWO78" s="165"/>
      <c r="MWP78" s="165"/>
      <c r="MWQ78" s="165"/>
      <c r="MWR78" s="165"/>
      <c r="MWS78" s="165"/>
      <c r="MWT78" s="165"/>
      <c r="MWU78" s="165"/>
      <c r="MWV78" s="165"/>
      <c r="MWW78" s="165"/>
      <c r="MWX78" s="165"/>
      <c r="MWY78" s="165"/>
      <c r="MWZ78" s="165"/>
      <c r="MXA78" s="165"/>
      <c r="MXB78" s="165"/>
      <c r="MXC78" s="165"/>
      <c r="MXD78" s="165"/>
      <c r="MXE78" s="165"/>
      <c r="MXF78" s="165"/>
      <c r="MXG78" s="165"/>
      <c r="MXH78" s="165"/>
      <c r="MXI78" s="165"/>
      <c r="MXJ78" s="165"/>
      <c r="MXK78" s="165"/>
      <c r="MXL78" s="165"/>
      <c r="MXM78" s="165"/>
      <c r="MXN78" s="165"/>
      <c r="MXO78" s="165"/>
      <c r="MXP78" s="165"/>
      <c r="MXQ78" s="165"/>
      <c r="MXR78" s="165"/>
      <c r="MXS78" s="165"/>
      <c r="MXT78" s="165"/>
      <c r="MXU78" s="165"/>
      <c r="MXV78" s="165"/>
      <c r="MXW78" s="165"/>
      <c r="MXX78" s="165"/>
      <c r="MXY78" s="165"/>
      <c r="MXZ78" s="165"/>
      <c r="MYA78" s="165"/>
      <c r="MYB78" s="165"/>
      <c r="MYC78" s="165"/>
      <c r="MYD78" s="165"/>
      <c r="MYE78" s="165"/>
      <c r="MYF78" s="165"/>
      <c r="MYG78" s="165"/>
      <c r="MYH78" s="165"/>
      <c r="MYI78" s="165"/>
      <c r="MYJ78" s="165"/>
      <c r="MYK78" s="165"/>
      <c r="MYL78" s="165"/>
      <c r="MYM78" s="165"/>
      <c r="MYN78" s="165"/>
      <c r="MYO78" s="165"/>
      <c r="MYP78" s="165"/>
      <c r="MYQ78" s="165"/>
      <c r="MYR78" s="165"/>
      <c r="MYS78" s="165"/>
      <c r="MYT78" s="165"/>
      <c r="MYU78" s="165"/>
      <c r="MYV78" s="165"/>
      <c r="MYW78" s="165"/>
      <c r="MYX78" s="165"/>
      <c r="MYY78" s="165"/>
      <c r="MYZ78" s="165"/>
      <c r="MZA78" s="165"/>
      <c r="MZB78" s="165"/>
      <c r="MZC78" s="165"/>
      <c r="MZD78" s="165"/>
      <c r="MZE78" s="165"/>
      <c r="MZF78" s="165"/>
      <c r="MZG78" s="165"/>
      <c r="MZH78" s="165"/>
      <c r="MZI78" s="165"/>
      <c r="MZJ78" s="165"/>
      <c r="MZK78" s="165"/>
      <c r="MZL78" s="165"/>
      <c r="MZM78" s="165"/>
      <c r="MZN78" s="165"/>
      <c r="MZO78" s="165"/>
      <c r="MZP78" s="165"/>
      <c r="MZQ78" s="165"/>
      <c r="MZR78" s="165"/>
      <c r="MZS78" s="165"/>
      <c r="MZT78" s="165"/>
      <c r="MZU78" s="165"/>
      <c r="MZV78" s="165"/>
      <c r="MZW78" s="165"/>
      <c r="MZX78" s="165"/>
      <c r="MZY78" s="165"/>
      <c r="MZZ78" s="165"/>
      <c r="NAA78" s="165"/>
      <c r="NAB78" s="165"/>
      <c r="NAC78" s="165"/>
      <c r="NAD78" s="165"/>
      <c r="NAE78" s="165"/>
      <c r="NAF78" s="165"/>
      <c r="NAG78" s="165"/>
      <c r="NAH78" s="165"/>
      <c r="NAI78" s="165"/>
      <c r="NAJ78" s="165"/>
      <c r="NAK78" s="165"/>
      <c r="NAL78" s="165"/>
      <c r="NAM78" s="165"/>
      <c r="NAN78" s="165"/>
      <c r="NAO78" s="165"/>
      <c r="NAP78" s="165"/>
      <c r="NAQ78" s="165"/>
      <c r="NAR78" s="165"/>
      <c r="NAS78" s="165"/>
      <c r="NAT78" s="165"/>
      <c r="NAU78" s="165"/>
      <c r="NAV78" s="165"/>
      <c r="NAW78" s="165"/>
      <c r="NAX78" s="165"/>
      <c r="NAY78" s="165"/>
      <c r="NAZ78" s="165"/>
      <c r="NBA78" s="165"/>
      <c r="NBB78" s="165"/>
      <c r="NBC78" s="165"/>
      <c r="NBD78" s="165"/>
      <c r="NBE78" s="165"/>
      <c r="NBF78" s="165"/>
      <c r="NBG78" s="165"/>
      <c r="NBH78" s="165"/>
      <c r="NBI78" s="165"/>
      <c r="NBJ78" s="165"/>
      <c r="NBK78" s="165"/>
      <c r="NBL78" s="165"/>
      <c r="NBM78" s="165"/>
      <c r="NBN78" s="165"/>
      <c r="NBO78" s="165"/>
      <c r="NBP78" s="165"/>
      <c r="NBQ78" s="165"/>
      <c r="NBR78" s="165"/>
      <c r="NBS78" s="165"/>
      <c r="NBT78" s="165"/>
      <c r="NBU78" s="165"/>
      <c r="NBV78" s="165"/>
      <c r="NBW78" s="165"/>
      <c r="NBX78" s="165"/>
      <c r="NBY78" s="165"/>
      <c r="NBZ78" s="165"/>
      <c r="NCA78" s="165"/>
      <c r="NCB78" s="165"/>
      <c r="NCC78" s="165"/>
      <c r="NCD78" s="165"/>
      <c r="NCE78" s="165"/>
      <c r="NCF78" s="165"/>
      <c r="NCG78" s="165"/>
      <c r="NCH78" s="165"/>
      <c r="NCI78" s="165"/>
      <c r="NCJ78" s="165"/>
      <c r="NCK78" s="165"/>
      <c r="NCL78" s="165"/>
      <c r="NCM78" s="165"/>
      <c r="NCN78" s="165"/>
      <c r="NCO78" s="165"/>
      <c r="NCP78" s="165"/>
      <c r="NCQ78" s="165"/>
      <c r="NCR78" s="165"/>
      <c r="NCS78" s="165"/>
      <c r="NCT78" s="165"/>
      <c r="NCU78" s="165"/>
      <c r="NCV78" s="165"/>
      <c r="NCW78" s="165"/>
      <c r="NCX78" s="165"/>
      <c r="NCY78" s="165"/>
      <c r="NCZ78" s="165"/>
      <c r="NDA78" s="165"/>
      <c r="NDB78" s="165"/>
      <c r="NDC78" s="165"/>
      <c r="NDD78" s="165"/>
      <c r="NDE78" s="165"/>
      <c r="NDF78" s="165"/>
      <c r="NDG78" s="165"/>
      <c r="NDH78" s="165"/>
      <c r="NDI78" s="165"/>
      <c r="NDJ78" s="165"/>
      <c r="NDK78" s="165"/>
      <c r="NDL78" s="165"/>
      <c r="NDM78" s="165"/>
      <c r="NDN78" s="165"/>
      <c r="NDO78" s="165"/>
      <c r="NDP78" s="165"/>
      <c r="NDQ78" s="165"/>
      <c r="NDR78" s="165"/>
      <c r="NDS78" s="165"/>
      <c r="NDT78" s="165"/>
      <c r="NDU78" s="165"/>
      <c r="NDV78" s="165"/>
      <c r="NDW78" s="165"/>
      <c r="NDX78" s="165"/>
      <c r="NDY78" s="165"/>
      <c r="NDZ78" s="165"/>
      <c r="NEA78" s="165"/>
      <c r="NEB78" s="165"/>
      <c r="NEC78" s="165"/>
      <c r="NED78" s="165"/>
      <c r="NEE78" s="165"/>
      <c r="NEF78" s="165"/>
      <c r="NEG78" s="165"/>
      <c r="NEH78" s="165"/>
      <c r="NEI78" s="165"/>
      <c r="NEJ78" s="165"/>
      <c r="NEK78" s="165"/>
      <c r="NEL78" s="165"/>
      <c r="NEM78" s="165"/>
      <c r="NEN78" s="165"/>
      <c r="NEO78" s="165"/>
      <c r="NEP78" s="165"/>
      <c r="NEQ78" s="165"/>
      <c r="NER78" s="165"/>
      <c r="NES78" s="165"/>
      <c r="NET78" s="165"/>
      <c r="NEU78" s="165"/>
      <c r="NEV78" s="165"/>
      <c r="NEW78" s="165"/>
      <c r="NEX78" s="165"/>
      <c r="NEY78" s="165"/>
      <c r="NEZ78" s="165"/>
      <c r="NFA78" s="165"/>
      <c r="NFB78" s="165"/>
      <c r="NFC78" s="165"/>
      <c r="NFD78" s="165"/>
      <c r="NFE78" s="165"/>
      <c r="NFF78" s="165"/>
      <c r="NFG78" s="165"/>
      <c r="NFH78" s="165"/>
      <c r="NFI78" s="165"/>
      <c r="NFJ78" s="165"/>
      <c r="NFK78" s="165"/>
      <c r="NFL78" s="165"/>
      <c r="NFM78" s="165"/>
      <c r="NFN78" s="165"/>
      <c r="NFO78" s="165"/>
      <c r="NFP78" s="165"/>
      <c r="NFQ78" s="165"/>
      <c r="NFR78" s="165"/>
      <c r="NFS78" s="165"/>
      <c r="NFT78" s="165"/>
      <c r="NFU78" s="165"/>
      <c r="NFV78" s="165"/>
      <c r="NFW78" s="165"/>
      <c r="NFX78" s="165"/>
      <c r="NFY78" s="165"/>
      <c r="NFZ78" s="165"/>
      <c r="NGA78" s="165"/>
      <c r="NGB78" s="165"/>
      <c r="NGC78" s="165"/>
      <c r="NGD78" s="165"/>
      <c r="NGE78" s="165"/>
      <c r="NGF78" s="165"/>
      <c r="NGG78" s="165"/>
      <c r="NGH78" s="165"/>
      <c r="NGI78" s="165"/>
      <c r="NGJ78" s="165"/>
      <c r="NGK78" s="165"/>
      <c r="NGL78" s="165"/>
      <c r="NGM78" s="165"/>
      <c r="NGN78" s="165"/>
      <c r="NGO78" s="165"/>
      <c r="NGP78" s="165"/>
      <c r="NGQ78" s="165"/>
      <c r="NGR78" s="165"/>
      <c r="NGS78" s="165"/>
      <c r="NGT78" s="165"/>
      <c r="NGU78" s="165"/>
      <c r="NGV78" s="165"/>
      <c r="NGW78" s="165"/>
      <c r="NGX78" s="165"/>
      <c r="NGY78" s="165"/>
      <c r="NGZ78" s="165"/>
      <c r="NHA78" s="165"/>
      <c r="NHB78" s="165"/>
      <c r="NHC78" s="165"/>
      <c r="NHD78" s="165"/>
      <c r="NHE78" s="165"/>
      <c r="NHF78" s="165"/>
      <c r="NHG78" s="165"/>
      <c r="NHH78" s="165"/>
      <c r="NHI78" s="165"/>
      <c r="NHJ78" s="165"/>
      <c r="NHK78" s="165"/>
      <c r="NHL78" s="165"/>
      <c r="NHM78" s="165"/>
      <c r="NHN78" s="165"/>
      <c r="NHO78" s="165"/>
      <c r="NHP78" s="165"/>
      <c r="NHQ78" s="165"/>
      <c r="NHR78" s="165"/>
      <c r="NHS78" s="165"/>
      <c r="NHT78" s="165"/>
      <c r="NHU78" s="165"/>
      <c r="NHV78" s="165"/>
      <c r="NHW78" s="165"/>
      <c r="NHX78" s="165"/>
      <c r="NHY78" s="165"/>
      <c r="NHZ78" s="165"/>
      <c r="NIA78" s="165"/>
      <c r="NIB78" s="165"/>
      <c r="NIC78" s="165"/>
      <c r="NID78" s="165"/>
      <c r="NIE78" s="165"/>
      <c r="NIF78" s="165"/>
      <c r="NIG78" s="165"/>
      <c r="NIH78" s="165"/>
      <c r="NII78" s="165"/>
      <c r="NIJ78" s="165"/>
      <c r="NIK78" s="165"/>
      <c r="NIL78" s="165"/>
      <c r="NIM78" s="165"/>
      <c r="NIN78" s="165"/>
      <c r="NIO78" s="165"/>
      <c r="NIP78" s="165"/>
      <c r="NIQ78" s="165"/>
      <c r="NIR78" s="165"/>
      <c r="NIS78" s="165"/>
      <c r="NIT78" s="165"/>
      <c r="NIU78" s="165"/>
      <c r="NIV78" s="165"/>
      <c r="NIW78" s="165"/>
      <c r="NIX78" s="165"/>
      <c r="NIY78" s="165"/>
      <c r="NIZ78" s="165"/>
      <c r="NJA78" s="165"/>
      <c r="NJB78" s="165"/>
      <c r="NJC78" s="165"/>
      <c r="NJD78" s="165"/>
      <c r="NJE78" s="165"/>
      <c r="NJF78" s="165"/>
      <c r="NJG78" s="165"/>
      <c r="NJH78" s="165"/>
      <c r="NJI78" s="165"/>
      <c r="NJJ78" s="165"/>
      <c r="NJK78" s="165"/>
      <c r="NJL78" s="165"/>
      <c r="NJM78" s="165"/>
      <c r="NJN78" s="165"/>
      <c r="NJO78" s="165"/>
      <c r="NJP78" s="165"/>
      <c r="NJQ78" s="165"/>
      <c r="NJR78" s="165"/>
      <c r="NJS78" s="165"/>
      <c r="NJT78" s="165"/>
      <c r="NJU78" s="165"/>
      <c r="NJV78" s="165"/>
      <c r="NJW78" s="165"/>
      <c r="NJX78" s="165"/>
      <c r="NJY78" s="165"/>
      <c r="NJZ78" s="165"/>
      <c r="NKA78" s="165"/>
      <c r="NKB78" s="165"/>
      <c r="NKC78" s="165"/>
      <c r="NKD78" s="165"/>
      <c r="NKE78" s="165"/>
      <c r="NKF78" s="165"/>
      <c r="NKG78" s="165"/>
      <c r="NKH78" s="165"/>
      <c r="NKI78" s="165"/>
      <c r="NKJ78" s="165"/>
      <c r="NKK78" s="165"/>
      <c r="NKL78" s="165"/>
      <c r="NKM78" s="165"/>
      <c r="NKN78" s="165"/>
      <c r="NKO78" s="165"/>
      <c r="NKP78" s="165"/>
      <c r="NKQ78" s="165"/>
      <c r="NKR78" s="165"/>
      <c r="NKS78" s="165"/>
      <c r="NKT78" s="165"/>
      <c r="NKU78" s="165"/>
      <c r="NKV78" s="165"/>
      <c r="NKW78" s="165"/>
      <c r="NKX78" s="165"/>
      <c r="NKY78" s="165"/>
      <c r="NKZ78" s="165"/>
      <c r="NLA78" s="165"/>
      <c r="NLB78" s="165"/>
      <c r="NLC78" s="165"/>
      <c r="NLD78" s="165"/>
      <c r="NLE78" s="165"/>
      <c r="NLF78" s="165"/>
      <c r="NLG78" s="165"/>
      <c r="NLH78" s="165"/>
      <c r="NLI78" s="165"/>
      <c r="NLJ78" s="165"/>
      <c r="NLK78" s="165"/>
      <c r="NLL78" s="165"/>
      <c r="NLM78" s="165"/>
      <c r="NLN78" s="165"/>
      <c r="NLO78" s="165"/>
      <c r="NLP78" s="165"/>
      <c r="NLQ78" s="165"/>
      <c r="NLR78" s="165"/>
      <c r="NLS78" s="165"/>
      <c r="NLT78" s="165"/>
      <c r="NLU78" s="165"/>
      <c r="NLV78" s="165"/>
      <c r="NLW78" s="165"/>
      <c r="NLX78" s="165"/>
      <c r="NLY78" s="165"/>
      <c r="NLZ78" s="165"/>
      <c r="NMA78" s="165"/>
      <c r="NMB78" s="165"/>
      <c r="NMC78" s="165"/>
      <c r="NMD78" s="165"/>
      <c r="NME78" s="165"/>
      <c r="NMF78" s="165"/>
      <c r="NMG78" s="165"/>
      <c r="NMH78" s="165"/>
      <c r="NMI78" s="165"/>
      <c r="NMJ78" s="165"/>
      <c r="NMK78" s="165"/>
      <c r="NML78" s="165"/>
      <c r="NMM78" s="165"/>
      <c r="NMN78" s="165"/>
      <c r="NMO78" s="165"/>
      <c r="NMP78" s="165"/>
      <c r="NMQ78" s="165"/>
      <c r="NMR78" s="165"/>
      <c r="NMS78" s="165"/>
      <c r="NMT78" s="165"/>
      <c r="NMU78" s="165"/>
      <c r="NMV78" s="165"/>
      <c r="NMW78" s="165"/>
      <c r="NMX78" s="165"/>
      <c r="NMY78" s="165"/>
      <c r="NMZ78" s="165"/>
      <c r="NNA78" s="165"/>
      <c r="NNB78" s="165"/>
      <c r="NNC78" s="165"/>
      <c r="NND78" s="165"/>
      <c r="NNE78" s="165"/>
      <c r="NNF78" s="165"/>
      <c r="NNG78" s="165"/>
      <c r="NNH78" s="165"/>
      <c r="NNI78" s="165"/>
      <c r="NNJ78" s="165"/>
      <c r="NNK78" s="165"/>
      <c r="NNL78" s="165"/>
      <c r="NNM78" s="165"/>
      <c r="NNN78" s="165"/>
      <c r="NNO78" s="165"/>
      <c r="NNP78" s="165"/>
      <c r="NNQ78" s="165"/>
      <c r="NNR78" s="165"/>
      <c r="NNS78" s="165"/>
      <c r="NNT78" s="165"/>
      <c r="NNU78" s="165"/>
      <c r="NNV78" s="165"/>
      <c r="NNW78" s="165"/>
      <c r="NNX78" s="165"/>
      <c r="NNY78" s="165"/>
      <c r="NNZ78" s="165"/>
      <c r="NOA78" s="165"/>
      <c r="NOB78" s="165"/>
      <c r="NOC78" s="165"/>
      <c r="NOD78" s="165"/>
      <c r="NOE78" s="165"/>
      <c r="NOF78" s="165"/>
      <c r="NOG78" s="165"/>
      <c r="NOH78" s="165"/>
      <c r="NOI78" s="165"/>
      <c r="NOJ78" s="165"/>
      <c r="NOK78" s="165"/>
      <c r="NOL78" s="165"/>
      <c r="NOM78" s="165"/>
      <c r="NON78" s="165"/>
      <c r="NOO78" s="165"/>
      <c r="NOP78" s="165"/>
      <c r="NOQ78" s="165"/>
      <c r="NOR78" s="165"/>
      <c r="NOS78" s="165"/>
      <c r="NOT78" s="165"/>
      <c r="NOU78" s="165"/>
      <c r="NOV78" s="165"/>
      <c r="NOW78" s="165"/>
      <c r="NOX78" s="165"/>
      <c r="NOY78" s="165"/>
      <c r="NOZ78" s="165"/>
      <c r="NPA78" s="165"/>
      <c r="NPB78" s="165"/>
      <c r="NPC78" s="165"/>
      <c r="NPD78" s="165"/>
      <c r="NPE78" s="165"/>
      <c r="NPF78" s="165"/>
      <c r="NPG78" s="165"/>
      <c r="NPH78" s="165"/>
      <c r="NPI78" s="165"/>
      <c r="NPJ78" s="165"/>
      <c r="NPK78" s="165"/>
      <c r="NPL78" s="165"/>
      <c r="NPM78" s="165"/>
      <c r="NPN78" s="165"/>
      <c r="NPO78" s="165"/>
      <c r="NPP78" s="165"/>
      <c r="NPQ78" s="165"/>
      <c r="NPR78" s="165"/>
      <c r="NPS78" s="165"/>
      <c r="NPT78" s="165"/>
      <c r="NPU78" s="165"/>
      <c r="NPV78" s="165"/>
      <c r="NPW78" s="165"/>
      <c r="NPX78" s="165"/>
      <c r="NPY78" s="165"/>
      <c r="NPZ78" s="165"/>
      <c r="NQA78" s="165"/>
      <c r="NQB78" s="165"/>
      <c r="NQC78" s="165"/>
      <c r="NQD78" s="165"/>
      <c r="NQE78" s="165"/>
      <c r="NQF78" s="165"/>
      <c r="NQG78" s="165"/>
      <c r="NQH78" s="165"/>
      <c r="NQI78" s="165"/>
      <c r="NQJ78" s="165"/>
      <c r="NQK78" s="165"/>
      <c r="NQL78" s="165"/>
      <c r="NQM78" s="165"/>
      <c r="NQN78" s="165"/>
      <c r="NQO78" s="165"/>
      <c r="NQP78" s="165"/>
      <c r="NQQ78" s="165"/>
      <c r="NQR78" s="165"/>
      <c r="NQS78" s="165"/>
      <c r="NQT78" s="165"/>
      <c r="NQU78" s="165"/>
      <c r="NQV78" s="165"/>
      <c r="NQW78" s="165"/>
      <c r="NQX78" s="165"/>
      <c r="NQY78" s="165"/>
      <c r="NQZ78" s="165"/>
      <c r="NRA78" s="165"/>
      <c r="NRB78" s="165"/>
      <c r="NRC78" s="165"/>
      <c r="NRD78" s="165"/>
      <c r="NRE78" s="165"/>
      <c r="NRF78" s="165"/>
      <c r="NRG78" s="165"/>
      <c r="NRH78" s="165"/>
      <c r="NRI78" s="165"/>
      <c r="NRJ78" s="165"/>
      <c r="NRK78" s="165"/>
      <c r="NRL78" s="165"/>
      <c r="NRM78" s="165"/>
      <c r="NRN78" s="165"/>
      <c r="NRO78" s="165"/>
      <c r="NRP78" s="165"/>
      <c r="NRQ78" s="165"/>
      <c r="NRR78" s="165"/>
      <c r="NRS78" s="165"/>
      <c r="NRT78" s="165"/>
      <c r="NRU78" s="165"/>
      <c r="NRV78" s="165"/>
      <c r="NRW78" s="165"/>
      <c r="NRX78" s="165"/>
      <c r="NRY78" s="165"/>
      <c r="NRZ78" s="165"/>
      <c r="NSA78" s="165"/>
      <c r="NSB78" s="165"/>
      <c r="NSC78" s="165"/>
      <c r="NSD78" s="165"/>
      <c r="NSE78" s="165"/>
      <c r="NSF78" s="165"/>
      <c r="NSG78" s="165"/>
      <c r="NSH78" s="165"/>
      <c r="NSI78" s="165"/>
      <c r="NSJ78" s="165"/>
      <c r="NSK78" s="165"/>
      <c r="NSL78" s="165"/>
      <c r="NSM78" s="165"/>
      <c r="NSN78" s="165"/>
      <c r="NSO78" s="165"/>
      <c r="NSP78" s="165"/>
      <c r="NSQ78" s="165"/>
      <c r="NSR78" s="165"/>
      <c r="NSS78" s="165"/>
      <c r="NST78" s="165"/>
      <c r="NSU78" s="165"/>
      <c r="NSV78" s="165"/>
      <c r="NSW78" s="165"/>
      <c r="NSX78" s="165"/>
      <c r="NSY78" s="165"/>
      <c r="NSZ78" s="165"/>
      <c r="NTA78" s="165"/>
      <c r="NTB78" s="165"/>
      <c r="NTC78" s="165"/>
      <c r="NTD78" s="165"/>
      <c r="NTE78" s="165"/>
      <c r="NTF78" s="165"/>
      <c r="NTG78" s="165"/>
      <c r="NTH78" s="165"/>
      <c r="NTI78" s="165"/>
      <c r="NTJ78" s="165"/>
      <c r="NTK78" s="165"/>
      <c r="NTL78" s="165"/>
      <c r="NTM78" s="165"/>
      <c r="NTN78" s="165"/>
      <c r="NTO78" s="165"/>
      <c r="NTP78" s="165"/>
      <c r="NTQ78" s="165"/>
      <c r="NTR78" s="165"/>
      <c r="NTS78" s="165"/>
      <c r="NTT78" s="165"/>
      <c r="NTU78" s="165"/>
      <c r="NTV78" s="165"/>
      <c r="NTW78" s="165"/>
      <c r="NTX78" s="165"/>
      <c r="NTY78" s="165"/>
      <c r="NTZ78" s="165"/>
      <c r="NUA78" s="165"/>
      <c r="NUB78" s="165"/>
      <c r="NUC78" s="165"/>
      <c r="NUD78" s="165"/>
      <c r="NUE78" s="165"/>
      <c r="NUF78" s="165"/>
      <c r="NUG78" s="165"/>
      <c r="NUH78" s="165"/>
      <c r="NUI78" s="165"/>
      <c r="NUJ78" s="165"/>
      <c r="NUK78" s="165"/>
      <c r="NUL78" s="165"/>
      <c r="NUM78" s="165"/>
      <c r="NUN78" s="165"/>
      <c r="NUO78" s="165"/>
      <c r="NUP78" s="165"/>
      <c r="NUQ78" s="165"/>
      <c r="NUR78" s="165"/>
      <c r="NUS78" s="165"/>
      <c r="NUT78" s="165"/>
      <c r="NUU78" s="165"/>
      <c r="NUV78" s="165"/>
      <c r="NUW78" s="165"/>
      <c r="NUX78" s="165"/>
      <c r="NUY78" s="165"/>
      <c r="NUZ78" s="165"/>
      <c r="NVA78" s="165"/>
      <c r="NVB78" s="165"/>
      <c r="NVC78" s="165"/>
      <c r="NVD78" s="165"/>
      <c r="NVE78" s="165"/>
      <c r="NVF78" s="165"/>
      <c r="NVG78" s="165"/>
      <c r="NVH78" s="165"/>
      <c r="NVI78" s="165"/>
      <c r="NVJ78" s="165"/>
      <c r="NVK78" s="165"/>
      <c r="NVL78" s="165"/>
      <c r="NVM78" s="165"/>
      <c r="NVN78" s="165"/>
      <c r="NVO78" s="165"/>
      <c r="NVP78" s="165"/>
      <c r="NVQ78" s="165"/>
      <c r="NVR78" s="165"/>
      <c r="NVS78" s="165"/>
      <c r="NVT78" s="165"/>
      <c r="NVU78" s="165"/>
      <c r="NVV78" s="165"/>
      <c r="NVW78" s="165"/>
      <c r="NVX78" s="165"/>
      <c r="NVY78" s="165"/>
      <c r="NVZ78" s="165"/>
      <c r="NWA78" s="165"/>
      <c r="NWB78" s="165"/>
      <c r="NWC78" s="165"/>
      <c r="NWD78" s="165"/>
      <c r="NWE78" s="165"/>
      <c r="NWF78" s="165"/>
      <c r="NWG78" s="165"/>
      <c r="NWH78" s="165"/>
      <c r="NWI78" s="165"/>
      <c r="NWJ78" s="165"/>
      <c r="NWK78" s="165"/>
      <c r="NWL78" s="165"/>
      <c r="NWM78" s="165"/>
      <c r="NWN78" s="165"/>
      <c r="NWO78" s="165"/>
      <c r="NWP78" s="165"/>
      <c r="NWQ78" s="165"/>
      <c r="NWR78" s="165"/>
      <c r="NWS78" s="165"/>
      <c r="NWT78" s="165"/>
      <c r="NWU78" s="165"/>
      <c r="NWV78" s="165"/>
      <c r="NWW78" s="165"/>
      <c r="NWX78" s="165"/>
      <c r="NWY78" s="165"/>
      <c r="NWZ78" s="165"/>
      <c r="NXA78" s="165"/>
      <c r="NXB78" s="165"/>
      <c r="NXC78" s="165"/>
      <c r="NXD78" s="165"/>
      <c r="NXE78" s="165"/>
      <c r="NXF78" s="165"/>
      <c r="NXG78" s="165"/>
      <c r="NXH78" s="165"/>
      <c r="NXI78" s="165"/>
      <c r="NXJ78" s="165"/>
      <c r="NXK78" s="165"/>
      <c r="NXL78" s="165"/>
      <c r="NXM78" s="165"/>
      <c r="NXN78" s="165"/>
      <c r="NXO78" s="165"/>
      <c r="NXP78" s="165"/>
      <c r="NXQ78" s="165"/>
      <c r="NXR78" s="165"/>
      <c r="NXS78" s="165"/>
      <c r="NXT78" s="165"/>
      <c r="NXU78" s="165"/>
      <c r="NXV78" s="165"/>
      <c r="NXW78" s="165"/>
      <c r="NXX78" s="165"/>
      <c r="NXY78" s="165"/>
      <c r="NXZ78" s="165"/>
      <c r="NYA78" s="165"/>
      <c r="NYB78" s="165"/>
      <c r="NYC78" s="165"/>
      <c r="NYD78" s="165"/>
      <c r="NYE78" s="165"/>
      <c r="NYF78" s="165"/>
      <c r="NYG78" s="165"/>
      <c r="NYH78" s="165"/>
      <c r="NYI78" s="165"/>
      <c r="NYJ78" s="165"/>
      <c r="NYK78" s="165"/>
      <c r="NYL78" s="165"/>
      <c r="NYM78" s="165"/>
      <c r="NYN78" s="165"/>
      <c r="NYO78" s="165"/>
      <c r="NYP78" s="165"/>
      <c r="NYQ78" s="165"/>
      <c r="NYR78" s="165"/>
      <c r="NYS78" s="165"/>
      <c r="NYT78" s="165"/>
      <c r="NYU78" s="165"/>
      <c r="NYV78" s="165"/>
      <c r="NYW78" s="165"/>
      <c r="NYX78" s="165"/>
      <c r="NYY78" s="165"/>
      <c r="NYZ78" s="165"/>
      <c r="NZA78" s="165"/>
      <c r="NZB78" s="165"/>
      <c r="NZC78" s="165"/>
      <c r="NZD78" s="165"/>
      <c r="NZE78" s="165"/>
      <c r="NZF78" s="165"/>
      <c r="NZG78" s="165"/>
      <c r="NZH78" s="165"/>
      <c r="NZI78" s="165"/>
      <c r="NZJ78" s="165"/>
      <c r="NZK78" s="165"/>
      <c r="NZL78" s="165"/>
      <c r="NZM78" s="165"/>
      <c r="NZN78" s="165"/>
      <c r="NZO78" s="165"/>
      <c r="NZP78" s="165"/>
      <c r="NZQ78" s="165"/>
      <c r="NZR78" s="165"/>
      <c r="NZS78" s="165"/>
      <c r="NZT78" s="165"/>
      <c r="NZU78" s="165"/>
      <c r="NZV78" s="165"/>
      <c r="NZW78" s="165"/>
      <c r="NZX78" s="165"/>
      <c r="NZY78" s="165"/>
      <c r="NZZ78" s="165"/>
      <c r="OAA78" s="165"/>
      <c r="OAB78" s="165"/>
      <c r="OAC78" s="165"/>
      <c r="OAD78" s="165"/>
      <c r="OAE78" s="165"/>
      <c r="OAF78" s="165"/>
      <c r="OAG78" s="165"/>
      <c r="OAH78" s="165"/>
      <c r="OAI78" s="165"/>
      <c r="OAJ78" s="165"/>
      <c r="OAK78" s="165"/>
      <c r="OAL78" s="165"/>
      <c r="OAM78" s="165"/>
      <c r="OAN78" s="165"/>
      <c r="OAO78" s="165"/>
      <c r="OAP78" s="165"/>
      <c r="OAQ78" s="165"/>
      <c r="OAR78" s="165"/>
      <c r="OAS78" s="165"/>
      <c r="OAT78" s="165"/>
      <c r="OAU78" s="165"/>
      <c r="OAV78" s="165"/>
      <c r="OAW78" s="165"/>
      <c r="OAX78" s="165"/>
      <c r="OAY78" s="165"/>
      <c r="OAZ78" s="165"/>
      <c r="OBA78" s="165"/>
      <c r="OBB78" s="165"/>
      <c r="OBC78" s="165"/>
      <c r="OBD78" s="165"/>
      <c r="OBE78" s="165"/>
      <c r="OBF78" s="165"/>
      <c r="OBG78" s="165"/>
      <c r="OBH78" s="165"/>
      <c r="OBI78" s="165"/>
      <c r="OBJ78" s="165"/>
      <c r="OBK78" s="165"/>
      <c r="OBL78" s="165"/>
      <c r="OBM78" s="165"/>
      <c r="OBN78" s="165"/>
      <c r="OBO78" s="165"/>
      <c r="OBP78" s="165"/>
      <c r="OBQ78" s="165"/>
      <c r="OBR78" s="165"/>
      <c r="OBS78" s="165"/>
      <c r="OBT78" s="165"/>
      <c r="OBU78" s="165"/>
      <c r="OBV78" s="165"/>
      <c r="OBW78" s="165"/>
      <c r="OBX78" s="165"/>
      <c r="OBY78" s="165"/>
      <c r="OBZ78" s="165"/>
      <c r="OCA78" s="165"/>
      <c r="OCB78" s="165"/>
      <c r="OCC78" s="165"/>
      <c r="OCD78" s="165"/>
      <c r="OCE78" s="165"/>
      <c r="OCF78" s="165"/>
      <c r="OCG78" s="165"/>
      <c r="OCH78" s="165"/>
      <c r="OCI78" s="165"/>
      <c r="OCJ78" s="165"/>
      <c r="OCK78" s="165"/>
      <c r="OCL78" s="165"/>
      <c r="OCM78" s="165"/>
      <c r="OCN78" s="165"/>
      <c r="OCO78" s="165"/>
      <c r="OCP78" s="165"/>
      <c r="OCQ78" s="165"/>
      <c r="OCR78" s="165"/>
      <c r="OCS78" s="165"/>
      <c r="OCT78" s="165"/>
      <c r="OCU78" s="165"/>
      <c r="OCV78" s="165"/>
      <c r="OCW78" s="165"/>
      <c r="OCX78" s="165"/>
      <c r="OCY78" s="165"/>
      <c r="OCZ78" s="165"/>
      <c r="ODA78" s="165"/>
      <c r="ODB78" s="165"/>
      <c r="ODC78" s="165"/>
      <c r="ODD78" s="165"/>
      <c r="ODE78" s="165"/>
      <c r="ODF78" s="165"/>
      <c r="ODG78" s="165"/>
      <c r="ODH78" s="165"/>
      <c r="ODI78" s="165"/>
      <c r="ODJ78" s="165"/>
      <c r="ODK78" s="165"/>
      <c r="ODL78" s="165"/>
      <c r="ODM78" s="165"/>
      <c r="ODN78" s="165"/>
      <c r="ODO78" s="165"/>
      <c r="ODP78" s="165"/>
      <c r="ODQ78" s="165"/>
      <c r="ODR78" s="165"/>
      <c r="ODS78" s="165"/>
      <c r="ODT78" s="165"/>
      <c r="ODU78" s="165"/>
      <c r="ODV78" s="165"/>
      <c r="ODW78" s="165"/>
      <c r="ODX78" s="165"/>
      <c r="ODY78" s="165"/>
      <c r="ODZ78" s="165"/>
      <c r="OEA78" s="165"/>
      <c r="OEB78" s="165"/>
      <c r="OEC78" s="165"/>
      <c r="OED78" s="165"/>
      <c r="OEE78" s="165"/>
      <c r="OEF78" s="165"/>
      <c r="OEG78" s="165"/>
      <c r="OEH78" s="165"/>
      <c r="OEI78" s="165"/>
      <c r="OEJ78" s="165"/>
      <c r="OEK78" s="165"/>
      <c r="OEL78" s="165"/>
      <c r="OEM78" s="165"/>
      <c r="OEN78" s="165"/>
      <c r="OEO78" s="165"/>
      <c r="OEP78" s="165"/>
      <c r="OEQ78" s="165"/>
      <c r="OER78" s="165"/>
      <c r="OES78" s="165"/>
      <c r="OET78" s="165"/>
      <c r="OEU78" s="165"/>
      <c r="OEV78" s="165"/>
      <c r="OEW78" s="165"/>
      <c r="OEX78" s="165"/>
      <c r="OEY78" s="165"/>
      <c r="OEZ78" s="165"/>
      <c r="OFA78" s="165"/>
      <c r="OFB78" s="165"/>
      <c r="OFC78" s="165"/>
      <c r="OFD78" s="165"/>
      <c r="OFE78" s="165"/>
      <c r="OFF78" s="165"/>
      <c r="OFG78" s="165"/>
      <c r="OFH78" s="165"/>
      <c r="OFI78" s="165"/>
      <c r="OFJ78" s="165"/>
      <c r="OFK78" s="165"/>
      <c r="OFL78" s="165"/>
      <c r="OFM78" s="165"/>
      <c r="OFN78" s="165"/>
      <c r="OFO78" s="165"/>
      <c r="OFP78" s="165"/>
      <c r="OFQ78" s="165"/>
      <c r="OFR78" s="165"/>
      <c r="OFS78" s="165"/>
      <c r="OFT78" s="165"/>
      <c r="OFU78" s="165"/>
      <c r="OFV78" s="165"/>
      <c r="OFW78" s="165"/>
      <c r="OFX78" s="165"/>
      <c r="OFY78" s="165"/>
      <c r="OFZ78" s="165"/>
      <c r="OGA78" s="165"/>
      <c r="OGB78" s="165"/>
      <c r="OGC78" s="165"/>
      <c r="OGD78" s="165"/>
      <c r="OGE78" s="165"/>
      <c r="OGF78" s="165"/>
      <c r="OGG78" s="165"/>
      <c r="OGH78" s="165"/>
      <c r="OGI78" s="165"/>
      <c r="OGJ78" s="165"/>
      <c r="OGK78" s="165"/>
      <c r="OGL78" s="165"/>
      <c r="OGM78" s="165"/>
      <c r="OGN78" s="165"/>
      <c r="OGO78" s="165"/>
      <c r="OGP78" s="165"/>
      <c r="OGQ78" s="165"/>
      <c r="OGR78" s="165"/>
      <c r="OGS78" s="165"/>
      <c r="OGT78" s="165"/>
      <c r="OGU78" s="165"/>
      <c r="OGV78" s="165"/>
      <c r="OGW78" s="165"/>
      <c r="OGX78" s="165"/>
      <c r="OGY78" s="165"/>
      <c r="OGZ78" s="165"/>
      <c r="OHA78" s="165"/>
      <c r="OHB78" s="165"/>
      <c r="OHC78" s="165"/>
      <c r="OHD78" s="165"/>
      <c r="OHE78" s="165"/>
      <c r="OHF78" s="165"/>
      <c r="OHG78" s="165"/>
      <c r="OHH78" s="165"/>
      <c r="OHI78" s="165"/>
      <c r="OHJ78" s="165"/>
      <c r="OHK78" s="165"/>
      <c r="OHL78" s="165"/>
      <c r="OHM78" s="165"/>
      <c r="OHN78" s="165"/>
      <c r="OHO78" s="165"/>
      <c r="OHP78" s="165"/>
      <c r="OHQ78" s="165"/>
      <c r="OHR78" s="165"/>
      <c r="OHS78" s="165"/>
      <c r="OHT78" s="165"/>
      <c r="OHU78" s="165"/>
      <c r="OHV78" s="165"/>
      <c r="OHW78" s="165"/>
      <c r="OHX78" s="165"/>
      <c r="OHY78" s="165"/>
      <c r="OHZ78" s="165"/>
      <c r="OIA78" s="165"/>
      <c r="OIB78" s="165"/>
      <c r="OIC78" s="165"/>
      <c r="OID78" s="165"/>
      <c r="OIE78" s="165"/>
      <c r="OIF78" s="165"/>
      <c r="OIG78" s="165"/>
      <c r="OIH78" s="165"/>
      <c r="OII78" s="165"/>
      <c r="OIJ78" s="165"/>
      <c r="OIK78" s="165"/>
      <c r="OIL78" s="165"/>
      <c r="OIM78" s="165"/>
      <c r="OIN78" s="165"/>
      <c r="OIO78" s="165"/>
      <c r="OIP78" s="165"/>
      <c r="OIQ78" s="165"/>
      <c r="OIR78" s="165"/>
      <c r="OIS78" s="165"/>
      <c r="OIT78" s="165"/>
      <c r="OIU78" s="165"/>
      <c r="OIV78" s="165"/>
      <c r="OIW78" s="165"/>
      <c r="OIX78" s="165"/>
      <c r="OIY78" s="165"/>
      <c r="OIZ78" s="165"/>
      <c r="OJA78" s="165"/>
      <c r="OJB78" s="165"/>
      <c r="OJC78" s="165"/>
      <c r="OJD78" s="165"/>
      <c r="OJE78" s="165"/>
      <c r="OJF78" s="165"/>
      <c r="OJG78" s="165"/>
      <c r="OJH78" s="165"/>
      <c r="OJI78" s="165"/>
      <c r="OJJ78" s="165"/>
      <c r="OJK78" s="165"/>
      <c r="OJL78" s="165"/>
      <c r="OJM78" s="165"/>
      <c r="OJN78" s="165"/>
      <c r="OJO78" s="165"/>
      <c r="OJP78" s="165"/>
      <c r="OJQ78" s="165"/>
      <c r="OJR78" s="165"/>
      <c r="OJS78" s="165"/>
      <c r="OJT78" s="165"/>
      <c r="OJU78" s="165"/>
      <c r="OJV78" s="165"/>
      <c r="OJW78" s="165"/>
      <c r="OJX78" s="165"/>
      <c r="OJY78" s="165"/>
      <c r="OJZ78" s="165"/>
      <c r="OKA78" s="165"/>
      <c r="OKB78" s="165"/>
      <c r="OKC78" s="165"/>
      <c r="OKD78" s="165"/>
      <c r="OKE78" s="165"/>
      <c r="OKF78" s="165"/>
      <c r="OKG78" s="165"/>
      <c r="OKH78" s="165"/>
      <c r="OKI78" s="165"/>
      <c r="OKJ78" s="165"/>
      <c r="OKK78" s="165"/>
      <c r="OKL78" s="165"/>
      <c r="OKM78" s="165"/>
      <c r="OKN78" s="165"/>
      <c r="OKO78" s="165"/>
      <c r="OKP78" s="165"/>
      <c r="OKQ78" s="165"/>
      <c r="OKR78" s="165"/>
      <c r="OKS78" s="165"/>
      <c r="OKT78" s="165"/>
      <c r="OKU78" s="165"/>
      <c r="OKV78" s="165"/>
      <c r="OKW78" s="165"/>
      <c r="OKX78" s="165"/>
      <c r="OKY78" s="165"/>
      <c r="OKZ78" s="165"/>
      <c r="OLA78" s="165"/>
      <c r="OLB78" s="165"/>
      <c r="OLC78" s="165"/>
      <c r="OLD78" s="165"/>
      <c r="OLE78" s="165"/>
      <c r="OLF78" s="165"/>
      <c r="OLG78" s="165"/>
      <c r="OLH78" s="165"/>
      <c r="OLI78" s="165"/>
      <c r="OLJ78" s="165"/>
      <c r="OLK78" s="165"/>
      <c r="OLL78" s="165"/>
      <c r="OLM78" s="165"/>
      <c r="OLN78" s="165"/>
      <c r="OLO78" s="165"/>
      <c r="OLP78" s="165"/>
      <c r="OLQ78" s="165"/>
      <c r="OLR78" s="165"/>
      <c r="OLS78" s="165"/>
      <c r="OLT78" s="165"/>
      <c r="OLU78" s="165"/>
      <c r="OLV78" s="165"/>
      <c r="OLW78" s="165"/>
      <c r="OLX78" s="165"/>
      <c r="OLY78" s="165"/>
      <c r="OLZ78" s="165"/>
      <c r="OMA78" s="165"/>
      <c r="OMB78" s="165"/>
      <c r="OMC78" s="165"/>
      <c r="OMD78" s="165"/>
      <c r="OME78" s="165"/>
      <c r="OMF78" s="165"/>
      <c r="OMG78" s="165"/>
      <c r="OMH78" s="165"/>
      <c r="OMI78" s="165"/>
      <c r="OMJ78" s="165"/>
      <c r="OMK78" s="165"/>
      <c r="OML78" s="165"/>
      <c r="OMM78" s="165"/>
      <c r="OMN78" s="165"/>
      <c r="OMO78" s="165"/>
      <c r="OMP78" s="165"/>
      <c r="OMQ78" s="165"/>
      <c r="OMR78" s="165"/>
      <c r="OMS78" s="165"/>
      <c r="OMT78" s="165"/>
      <c r="OMU78" s="165"/>
      <c r="OMV78" s="165"/>
      <c r="OMW78" s="165"/>
      <c r="OMX78" s="165"/>
      <c r="OMY78" s="165"/>
      <c r="OMZ78" s="165"/>
      <c r="ONA78" s="165"/>
      <c r="ONB78" s="165"/>
      <c r="ONC78" s="165"/>
      <c r="OND78" s="165"/>
      <c r="ONE78" s="165"/>
      <c r="ONF78" s="165"/>
      <c r="ONG78" s="165"/>
      <c r="ONH78" s="165"/>
      <c r="ONI78" s="165"/>
      <c r="ONJ78" s="165"/>
      <c r="ONK78" s="165"/>
      <c r="ONL78" s="165"/>
      <c r="ONM78" s="165"/>
      <c r="ONN78" s="165"/>
      <c r="ONO78" s="165"/>
      <c r="ONP78" s="165"/>
      <c r="ONQ78" s="165"/>
      <c r="ONR78" s="165"/>
      <c r="ONS78" s="165"/>
      <c r="ONT78" s="165"/>
      <c r="ONU78" s="165"/>
      <c r="ONV78" s="165"/>
      <c r="ONW78" s="165"/>
      <c r="ONX78" s="165"/>
      <c r="ONY78" s="165"/>
      <c r="ONZ78" s="165"/>
      <c r="OOA78" s="165"/>
      <c r="OOB78" s="165"/>
      <c r="OOC78" s="165"/>
      <c r="OOD78" s="165"/>
      <c r="OOE78" s="165"/>
      <c r="OOF78" s="165"/>
      <c r="OOG78" s="165"/>
      <c r="OOH78" s="165"/>
      <c r="OOI78" s="165"/>
      <c r="OOJ78" s="165"/>
      <c r="OOK78" s="165"/>
      <c r="OOL78" s="165"/>
      <c r="OOM78" s="165"/>
      <c r="OON78" s="165"/>
      <c r="OOO78" s="165"/>
      <c r="OOP78" s="165"/>
      <c r="OOQ78" s="165"/>
      <c r="OOR78" s="165"/>
      <c r="OOS78" s="165"/>
      <c r="OOT78" s="165"/>
      <c r="OOU78" s="165"/>
      <c r="OOV78" s="165"/>
      <c r="OOW78" s="165"/>
      <c r="OOX78" s="165"/>
      <c r="OOY78" s="165"/>
      <c r="OOZ78" s="165"/>
      <c r="OPA78" s="165"/>
      <c r="OPB78" s="165"/>
      <c r="OPC78" s="165"/>
      <c r="OPD78" s="165"/>
      <c r="OPE78" s="165"/>
      <c r="OPF78" s="165"/>
      <c r="OPG78" s="165"/>
      <c r="OPH78" s="165"/>
      <c r="OPI78" s="165"/>
      <c r="OPJ78" s="165"/>
      <c r="OPK78" s="165"/>
      <c r="OPL78" s="165"/>
      <c r="OPM78" s="165"/>
      <c r="OPN78" s="165"/>
      <c r="OPO78" s="165"/>
      <c r="OPP78" s="165"/>
      <c r="OPQ78" s="165"/>
      <c r="OPR78" s="165"/>
      <c r="OPS78" s="165"/>
      <c r="OPT78" s="165"/>
      <c r="OPU78" s="165"/>
      <c r="OPV78" s="165"/>
      <c r="OPW78" s="165"/>
      <c r="OPX78" s="165"/>
      <c r="OPY78" s="165"/>
      <c r="OPZ78" s="165"/>
      <c r="OQA78" s="165"/>
      <c r="OQB78" s="165"/>
      <c r="OQC78" s="165"/>
      <c r="OQD78" s="165"/>
      <c r="OQE78" s="165"/>
      <c r="OQF78" s="165"/>
      <c r="OQG78" s="165"/>
      <c r="OQH78" s="165"/>
      <c r="OQI78" s="165"/>
      <c r="OQJ78" s="165"/>
      <c r="OQK78" s="165"/>
      <c r="OQL78" s="165"/>
      <c r="OQM78" s="165"/>
      <c r="OQN78" s="165"/>
      <c r="OQO78" s="165"/>
      <c r="OQP78" s="165"/>
      <c r="OQQ78" s="165"/>
      <c r="OQR78" s="165"/>
      <c r="OQS78" s="165"/>
      <c r="OQT78" s="165"/>
      <c r="OQU78" s="165"/>
      <c r="OQV78" s="165"/>
      <c r="OQW78" s="165"/>
      <c r="OQX78" s="165"/>
      <c r="OQY78" s="165"/>
      <c r="OQZ78" s="165"/>
      <c r="ORA78" s="165"/>
      <c r="ORB78" s="165"/>
      <c r="ORC78" s="165"/>
      <c r="ORD78" s="165"/>
      <c r="ORE78" s="165"/>
      <c r="ORF78" s="165"/>
      <c r="ORG78" s="165"/>
      <c r="ORH78" s="165"/>
      <c r="ORI78" s="165"/>
      <c r="ORJ78" s="165"/>
      <c r="ORK78" s="165"/>
      <c r="ORL78" s="165"/>
      <c r="ORM78" s="165"/>
      <c r="ORN78" s="165"/>
      <c r="ORO78" s="165"/>
      <c r="ORP78" s="165"/>
      <c r="ORQ78" s="165"/>
      <c r="ORR78" s="165"/>
      <c r="ORS78" s="165"/>
      <c r="ORT78" s="165"/>
      <c r="ORU78" s="165"/>
      <c r="ORV78" s="165"/>
      <c r="ORW78" s="165"/>
      <c r="ORX78" s="165"/>
      <c r="ORY78" s="165"/>
      <c r="ORZ78" s="165"/>
      <c r="OSA78" s="165"/>
      <c r="OSB78" s="165"/>
      <c r="OSC78" s="165"/>
      <c r="OSD78" s="165"/>
      <c r="OSE78" s="165"/>
      <c r="OSF78" s="165"/>
      <c r="OSG78" s="165"/>
      <c r="OSH78" s="165"/>
      <c r="OSI78" s="165"/>
      <c r="OSJ78" s="165"/>
      <c r="OSK78" s="165"/>
      <c r="OSL78" s="165"/>
      <c r="OSM78" s="165"/>
      <c r="OSN78" s="165"/>
      <c r="OSO78" s="165"/>
      <c r="OSP78" s="165"/>
      <c r="OSQ78" s="165"/>
      <c r="OSR78" s="165"/>
      <c r="OSS78" s="165"/>
      <c r="OST78" s="165"/>
      <c r="OSU78" s="165"/>
      <c r="OSV78" s="165"/>
      <c r="OSW78" s="165"/>
      <c r="OSX78" s="165"/>
      <c r="OSY78" s="165"/>
      <c r="OSZ78" s="165"/>
      <c r="OTA78" s="165"/>
      <c r="OTB78" s="165"/>
      <c r="OTC78" s="165"/>
      <c r="OTD78" s="165"/>
      <c r="OTE78" s="165"/>
      <c r="OTF78" s="165"/>
      <c r="OTG78" s="165"/>
      <c r="OTH78" s="165"/>
      <c r="OTI78" s="165"/>
      <c r="OTJ78" s="165"/>
      <c r="OTK78" s="165"/>
      <c r="OTL78" s="165"/>
      <c r="OTM78" s="165"/>
      <c r="OTN78" s="165"/>
      <c r="OTO78" s="165"/>
      <c r="OTP78" s="165"/>
      <c r="OTQ78" s="165"/>
      <c r="OTR78" s="165"/>
      <c r="OTS78" s="165"/>
      <c r="OTT78" s="165"/>
      <c r="OTU78" s="165"/>
      <c r="OTV78" s="165"/>
      <c r="OTW78" s="165"/>
      <c r="OTX78" s="165"/>
      <c r="OTY78" s="165"/>
      <c r="OTZ78" s="165"/>
      <c r="OUA78" s="165"/>
      <c r="OUB78" s="165"/>
      <c r="OUC78" s="165"/>
      <c r="OUD78" s="165"/>
      <c r="OUE78" s="165"/>
      <c r="OUF78" s="165"/>
      <c r="OUG78" s="165"/>
      <c r="OUH78" s="165"/>
      <c r="OUI78" s="165"/>
      <c r="OUJ78" s="165"/>
      <c r="OUK78" s="165"/>
      <c r="OUL78" s="165"/>
      <c r="OUM78" s="165"/>
      <c r="OUN78" s="165"/>
      <c r="OUO78" s="165"/>
      <c r="OUP78" s="165"/>
      <c r="OUQ78" s="165"/>
      <c r="OUR78" s="165"/>
      <c r="OUS78" s="165"/>
      <c r="OUT78" s="165"/>
      <c r="OUU78" s="165"/>
      <c r="OUV78" s="165"/>
      <c r="OUW78" s="165"/>
      <c r="OUX78" s="165"/>
      <c r="OUY78" s="165"/>
      <c r="OUZ78" s="165"/>
      <c r="OVA78" s="165"/>
      <c r="OVB78" s="165"/>
      <c r="OVC78" s="165"/>
      <c r="OVD78" s="165"/>
      <c r="OVE78" s="165"/>
      <c r="OVF78" s="165"/>
      <c r="OVG78" s="165"/>
      <c r="OVH78" s="165"/>
      <c r="OVI78" s="165"/>
      <c r="OVJ78" s="165"/>
      <c r="OVK78" s="165"/>
      <c r="OVL78" s="165"/>
      <c r="OVM78" s="165"/>
      <c r="OVN78" s="165"/>
      <c r="OVO78" s="165"/>
      <c r="OVP78" s="165"/>
      <c r="OVQ78" s="165"/>
      <c r="OVR78" s="165"/>
      <c r="OVS78" s="165"/>
      <c r="OVT78" s="165"/>
      <c r="OVU78" s="165"/>
      <c r="OVV78" s="165"/>
      <c r="OVW78" s="165"/>
      <c r="OVX78" s="165"/>
      <c r="OVY78" s="165"/>
      <c r="OVZ78" s="165"/>
      <c r="OWA78" s="165"/>
      <c r="OWB78" s="165"/>
      <c r="OWC78" s="165"/>
      <c r="OWD78" s="165"/>
      <c r="OWE78" s="165"/>
      <c r="OWF78" s="165"/>
      <c r="OWG78" s="165"/>
      <c r="OWH78" s="165"/>
      <c r="OWI78" s="165"/>
      <c r="OWJ78" s="165"/>
      <c r="OWK78" s="165"/>
      <c r="OWL78" s="165"/>
      <c r="OWM78" s="165"/>
      <c r="OWN78" s="165"/>
      <c r="OWO78" s="165"/>
      <c r="OWP78" s="165"/>
      <c r="OWQ78" s="165"/>
      <c r="OWR78" s="165"/>
      <c r="OWS78" s="165"/>
      <c r="OWT78" s="165"/>
      <c r="OWU78" s="165"/>
      <c r="OWV78" s="165"/>
      <c r="OWW78" s="165"/>
      <c r="OWX78" s="165"/>
      <c r="OWY78" s="165"/>
      <c r="OWZ78" s="165"/>
      <c r="OXA78" s="165"/>
      <c r="OXB78" s="165"/>
      <c r="OXC78" s="165"/>
      <c r="OXD78" s="165"/>
      <c r="OXE78" s="165"/>
      <c r="OXF78" s="165"/>
      <c r="OXG78" s="165"/>
      <c r="OXH78" s="165"/>
      <c r="OXI78" s="165"/>
      <c r="OXJ78" s="165"/>
      <c r="OXK78" s="165"/>
      <c r="OXL78" s="165"/>
      <c r="OXM78" s="165"/>
      <c r="OXN78" s="165"/>
      <c r="OXO78" s="165"/>
      <c r="OXP78" s="165"/>
      <c r="OXQ78" s="165"/>
      <c r="OXR78" s="165"/>
      <c r="OXS78" s="165"/>
      <c r="OXT78" s="165"/>
      <c r="OXU78" s="165"/>
      <c r="OXV78" s="165"/>
      <c r="OXW78" s="165"/>
      <c r="OXX78" s="165"/>
      <c r="OXY78" s="165"/>
      <c r="OXZ78" s="165"/>
      <c r="OYA78" s="165"/>
      <c r="OYB78" s="165"/>
      <c r="OYC78" s="165"/>
      <c r="OYD78" s="165"/>
      <c r="OYE78" s="165"/>
      <c r="OYF78" s="165"/>
      <c r="OYG78" s="165"/>
      <c r="OYH78" s="165"/>
      <c r="OYI78" s="165"/>
      <c r="OYJ78" s="165"/>
      <c r="OYK78" s="165"/>
      <c r="OYL78" s="165"/>
      <c r="OYM78" s="165"/>
      <c r="OYN78" s="165"/>
      <c r="OYO78" s="165"/>
      <c r="OYP78" s="165"/>
      <c r="OYQ78" s="165"/>
      <c r="OYR78" s="165"/>
      <c r="OYS78" s="165"/>
      <c r="OYT78" s="165"/>
      <c r="OYU78" s="165"/>
      <c r="OYV78" s="165"/>
      <c r="OYW78" s="165"/>
      <c r="OYX78" s="165"/>
      <c r="OYY78" s="165"/>
      <c r="OYZ78" s="165"/>
      <c r="OZA78" s="165"/>
      <c r="OZB78" s="165"/>
      <c r="OZC78" s="165"/>
      <c r="OZD78" s="165"/>
      <c r="OZE78" s="165"/>
      <c r="OZF78" s="165"/>
      <c r="OZG78" s="165"/>
      <c r="OZH78" s="165"/>
      <c r="OZI78" s="165"/>
      <c r="OZJ78" s="165"/>
      <c r="OZK78" s="165"/>
      <c r="OZL78" s="165"/>
      <c r="OZM78" s="165"/>
      <c r="OZN78" s="165"/>
      <c r="OZO78" s="165"/>
      <c r="OZP78" s="165"/>
      <c r="OZQ78" s="165"/>
      <c r="OZR78" s="165"/>
      <c r="OZS78" s="165"/>
      <c r="OZT78" s="165"/>
      <c r="OZU78" s="165"/>
      <c r="OZV78" s="165"/>
      <c r="OZW78" s="165"/>
      <c r="OZX78" s="165"/>
      <c r="OZY78" s="165"/>
      <c r="OZZ78" s="165"/>
      <c r="PAA78" s="165"/>
      <c r="PAB78" s="165"/>
      <c r="PAC78" s="165"/>
      <c r="PAD78" s="165"/>
      <c r="PAE78" s="165"/>
      <c r="PAF78" s="165"/>
      <c r="PAG78" s="165"/>
      <c r="PAH78" s="165"/>
      <c r="PAI78" s="165"/>
      <c r="PAJ78" s="165"/>
      <c r="PAK78" s="165"/>
      <c r="PAL78" s="165"/>
      <c r="PAM78" s="165"/>
      <c r="PAN78" s="165"/>
      <c r="PAO78" s="165"/>
      <c r="PAP78" s="165"/>
      <c r="PAQ78" s="165"/>
      <c r="PAR78" s="165"/>
      <c r="PAS78" s="165"/>
      <c r="PAT78" s="165"/>
      <c r="PAU78" s="165"/>
      <c r="PAV78" s="165"/>
      <c r="PAW78" s="165"/>
      <c r="PAX78" s="165"/>
      <c r="PAY78" s="165"/>
      <c r="PAZ78" s="165"/>
      <c r="PBA78" s="165"/>
      <c r="PBB78" s="165"/>
      <c r="PBC78" s="165"/>
      <c r="PBD78" s="165"/>
      <c r="PBE78" s="165"/>
      <c r="PBF78" s="165"/>
      <c r="PBG78" s="165"/>
      <c r="PBH78" s="165"/>
      <c r="PBI78" s="165"/>
      <c r="PBJ78" s="165"/>
      <c r="PBK78" s="165"/>
      <c r="PBL78" s="165"/>
      <c r="PBM78" s="165"/>
      <c r="PBN78" s="165"/>
      <c r="PBO78" s="165"/>
      <c r="PBP78" s="165"/>
      <c r="PBQ78" s="165"/>
      <c r="PBR78" s="165"/>
      <c r="PBS78" s="165"/>
      <c r="PBT78" s="165"/>
      <c r="PBU78" s="165"/>
      <c r="PBV78" s="165"/>
      <c r="PBW78" s="165"/>
      <c r="PBX78" s="165"/>
      <c r="PBY78" s="165"/>
      <c r="PBZ78" s="165"/>
      <c r="PCA78" s="165"/>
      <c r="PCB78" s="165"/>
      <c r="PCC78" s="165"/>
      <c r="PCD78" s="165"/>
      <c r="PCE78" s="165"/>
      <c r="PCF78" s="165"/>
      <c r="PCG78" s="165"/>
      <c r="PCH78" s="165"/>
      <c r="PCI78" s="165"/>
      <c r="PCJ78" s="165"/>
      <c r="PCK78" s="165"/>
      <c r="PCL78" s="165"/>
      <c r="PCM78" s="165"/>
      <c r="PCN78" s="165"/>
      <c r="PCO78" s="165"/>
      <c r="PCP78" s="165"/>
      <c r="PCQ78" s="165"/>
      <c r="PCR78" s="165"/>
      <c r="PCS78" s="165"/>
      <c r="PCT78" s="165"/>
      <c r="PCU78" s="165"/>
      <c r="PCV78" s="165"/>
      <c r="PCW78" s="165"/>
      <c r="PCX78" s="165"/>
      <c r="PCY78" s="165"/>
      <c r="PCZ78" s="165"/>
      <c r="PDA78" s="165"/>
      <c r="PDB78" s="165"/>
      <c r="PDC78" s="165"/>
      <c r="PDD78" s="165"/>
      <c r="PDE78" s="165"/>
      <c r="PDF78" s="165"/>
      <c r="PDG78" s="165"/>
      <c r="PDH78" s="165"/>
      <c r="PDI78" s="165"/>
      <c r="PDJ78" s="165"/>
      <c r="PDK78" s="165"/>
      <c r="PDL78" s="165"/>
      <c r="PDM78" s="165"/>
      <c r="PDN78" s="165"/>
      <c r="PDO78" s="165"/>
      <c r="PDP78" s="165"/>
      <c r="PDQ78" s="165"/>
      <c r="PDR78" s="165"/>
      <c r="PDS78" s="165"/>
      <c r="PDT78" s="165"/>
      <c r="PDU78" s="165"/>
      <c r="PDV78" s="165"/>
      <c r="PDW78" s="165"/>
      <c r="PDX78" s="165"/>
      <c r="PDY78" s="165"/>
      <c r="PDZ78" s="165"/>
      <c r="PEA78" s="165"/>
      <c r="PEB78" s="165"/>
      <c r="PEC78" s="165"/>
      <c r="PED78" s="165"/>
      <c r="PEE78" s="165"/>
      <c r="PEF78" s="165"/>
      <c r="PEG78" s="165"/>
      <c r="PEH78" s="165"/>
      <c r="PEI78" s="165"/>
      <c r="PEJ78" s="165"/>
      <c r="PEK78" s="165"/>
      <c r="PEL78" s="165"/>
      <c r="PEM78" s="165"/>
      <c r="PEN78" s="165"/>
      <c r="PEO78" s="165"/>
      <c r="PEP78" s="165"/>
      <c r="PEQ78" s="165"/>
      <c r="PER78" s="165"/>
      <c r="PES78" s="165"/>
      <c r="PET78" s="165"/>
      <c r="PEU78" s="165"/>
      <c r="PEV78" s="165"/>
      <c r="PEW78" s="165"/>
      <c r="PEX78" s="165"/>
      <c r="PEY78" s="165"/>
      <c r="PEZ78" s="165"/>
      <c r="PFA78" s="165"/>
      <c r="PFB78" s="165"/>
      <c r="PFC78" s="165"/>
      <c r="PFD78" s="165"/>
      <c r="PFE78" s="165"/>
      <c r="PFF78" s="165"/>
      <c r="PFG78" s="165"/>
      <c r="PFH78" s="165"/>
      <c r="PFI78" s="165"/>
      <c r="PFJ78" s="165"/>
      <c r="PFK78" s="165"/>
      <c r="PFL78" s="165"/>
      <c r="PFM78" s="165"/>
      <c r="PFN78" s="165"/>
      <c r="PFO78" s="165"/>
      <c r="PFP78" s="165"/>
      <c r="PFQ78" s="165"/>
      <c r="PFR78" s="165"/>
      <c r="PFS78" s="165"/>
      <c r="PFT78" s="165"/>
      <c r="PFU78" s="165"/>
      <c r="PFV78" s="165"/>
      <c r="PFW78" s="165"/>
      <c r="PFX78" s="165"/>
      <c r="PFY78" s="165"/>
      <c r="PFZ78" s="165"/>
      <c r="PGA78" s="165"/>
      <c r="PGB78" s="165"/>
      <c r="PGC78" s="165"/>
      <c r="PGD78" s="165"/>
      <c r="PGE78" s="165"/>
      <c r="PGF78" s="165"/>
      <c r="PGG78" s="165"/>
      <c r="PGH78" s="165"/>
      <c r="PGI78" s="165"/>
      <c r="PGJ78" s="165"/>
      <c r="PGK78" s="165"/>
      <c r="PGL78" s="165"/>
      <c r="PGM78" s="165"/>
      <c r="PGN78" s="165"/>
      <c r="PGO78" s="165"/>
      <c r="PGP78" s="165"/>
      <c r="PGQ78" s="165"/>
      <c r="PGR78" s="165"/>
      <c r="PGS78" s="165"/>
      <c r="PGT78" s="165"/>
      <c r="PGU78" s="165"/>
      <c r="PGV78" s="165"/>
      <c r="PGW78" s="165"/>
      <c r="PGX78" s="165"/>
      <c r="PGY78" s="165"/>
      <c r="PGZ78" s="165"/>
      <c r="PHA78" s="165"/>
      <c r="PHB78" s="165"/>
      <c r="PHC78" s="165"/>
      <c r="PHD78" s="165"/>
      <c r="PHE78" s="165"/>
      <c r="PHF78" s="165"/>
      <c r="PHG78" s="165"/>
      <c r="PHH78" s="165"/>
      <c r="PHI78" s="165"/>
      <c r="PHJ78" s="165"/>
      <c r="PHK78" s="165"/>
      <c r="PHL78" s="165"/>
      <c r="PHM78" s="165"/>
      <c r="PHN78" s="165"/>
      <c r="PHO78" s="165"/>
      <c r="PHP78" s="165"/>
      <c r="PHQ78" s="165"/>
      <c r="PHR78" s="165"/>
      <c r="PHS78" s="165"/>
      <c r="PHT78" s="165"/>
      <c r="PHU78" s="165"/>
      <c r="PHV78" s="165"/>
      <c r="PHW78" s="165"/>
      <c r="PHX78" s="165"/>
      <c r="PHY78" s="165"/>
      <c r="PHZ78" s="165"/>
      <c r="PIA78" s="165"/>
      <c r="PIB78" s="165"/>
      <c r="PIC78" s="165"/>
      <c r="PID78" s="165"/>
      <c r="PIE78" s="165"/>
      <c r="PIF78" s="165"/>
      <c r="PIG78" s="165"/>
      <c r="PIH78" s="165"/>
      <c r="PII78" s="165"/>
      <c r="PIJ78" s="165"/>
      <c r="PIK78" s="165"/>
      <c r="PIL78" s="165"/>
      <c r="PIM78" s="165"/>
      <c r="PIN78" s="165"/>
      <c r="PIO78" s="165"/>
      <c r="PIP78" s="165"/>
      <c r="PIQ78" s="165"/>
      <c r="PIR78" s="165"/>
      <c r="PIS78" s="165"/>
      <c r="PIT78" s="165"/>
      <c r="PIU78" s="165"/>
      <c r="PIV78" s="165"/>
      <c r="PIW78" s="165"/>
      <c r="PIX78" s="165"/>
      <c r="PIY78" s="165"/>
      <c r="PIZ78" s="165"/>
      <c r="PJA78" s="165"/>
      <c r="PJB78" s="165"/>
      <c r="PJC78" s="165"/>
      <c r="PJD78" s="165"/>
      <c r="PJE78" s="165"/>
      <c r="PJF78" s="165"/>
      <c r="PJG78" s="165"/>
      <c r="PJH78" s="165"/>
      <c r="PJI78" s="165"/>
      <c r="PJJ78" s="165"/>
      <c r="PJK78" s="165"/>
      <c r="PJL78" s="165"/>
      <c r="PJM78" s="165"/>
      <c r="PJN78" s="165"/>
      <c r="PJO78" s="165"/>
      <c r="PJP78" s="165"/>
      <c r="PJQ78" s="165"/>
      <c r="PJR78" s="165"/>
      <c r="PJS78" s="165"/>
      <c r="PJT78" s="165"/>
      <c r="PJU78" s="165"/>
      <c r="PJV78" s="165"/>
      <c r="PJW78" s="165"/>
      <c r="PJX78" s="165"/>
      <c r="PJY78" s="165"/>
      <c r="PJZ78" s="165"/>
      <c r="PKA78" s="165"/>
      <c r="PKB78" s="165"/>
      <c r="PKC78" s="165"/>
      <c r="PKD78" s="165"/>
      <c r="PKE78" s="165"/>
      <c r="PKF78" s="165"/>
      <c r="PKG78" s="165"/>
      <c r="PKH78" s="165"/>
      <c r="PKI78" s="165"/>
      <c r="PKJ78" s="165"/>
      <c r="PKK78" s="165"/>
      <c r="PKL78" s="165"/>
      <c r="PKM78" s="165"/>
      <c r="PKN78" s="165"/>
      <c r="PKO78" s="165"/>
      <c r="PKP78" s="165"/>
      <c r="PKQ78" s="165"/>
      <c r="PKR78" s="165"/>
      <c r="PKS78" s="165"/>
      <c r="PKT78" s="165"/>
      <c r="PKU78" s="165"/>
      <c r="PKV78" s="165"/>
      <c r="PKW78" s="165"/>
      <c r="PKX78" s="165"/>
      <c r="PKY78" s="165"/>
      <c r="PKZ78" s="165"/>
      <c r="PLA78" s="165"/>
      <c r="PLB78" s="165"/>
      <c r="PLC78" s="165"/>
      <c r="PLD78" s="165"/>
      <c r="PLE78" s="165"/>
      <c r="PLF78" s="165"/>
      <c r="PLG78" s="165"/>
      <c r="PLH78" s="165"/>
      <c r="PLI78" s="165"/>
      <c r="PLJ78" s="165"/>
      <c r="PLK78" s="165"/>
      <c r="PLL78" s="165"/>
      <c r="PLM78" s="165"/>
      <c r="PLN78" s="165"/>
      <c r="PLO78" s="165"/>
      <c r="PLP78" s="165"/>
      <c r="PLQ78" s="165"/>
      <c r="PLR78" s="165"/>
      <c r="PLS78" s="165"/>
      <c r="PLT78" s="165"/>
      <c r="PLU78" s="165"/>
      <c r="PLV78" s="165"/>
      <c r="PLW78" s="165"/>
      <c r="PLX78" s="165"/>
      <c r="PLY78" s="165"/>
      <c r="PLZ78" s="165"/>
      <c r="PMA78" s="165"/>
      <c r="PMB78" s="165"/>
      <c r="PMC78" s="165"/>
      <c r="PMD78" s="165"/>
      <c r="PME78" s="165"/>
      <c r="PMF78" s="165"/>
      <c r="PMG78" s="165"/>
      <c r="PMH78" s="165"/>
      <c r="PMI78" s="165"/>
      <c r="PMJ78" s="165"/>
      <c r="PMK78" s="165"/>
      <c r="PML78" s="165"/>
      <c r="PMM78" s="165"/>
      <c r="PMN78" s="165"/>
      <c r="PMO78" s="165"/>
      <c r="PMP78" s="165"/>
      <c r="PMQ78" s="165"/>
      <c r="PMR78" s="165"/>
      <c r="PMS78" s="165"/>
      <c r="PMT78" s="165"/>
      <c r="PMU78" s="165"/>
      <c r="PMV78" s="165"/>
      <c r="PMW78" s="165"/>
      <c r="PMX78" s="165"/>
      <c r="PMY78" s="165"/>
      <c r="PMZ78" s="165"/>
      <c r="PNA78" s="165"/>
      <c r="PNB78" s="165"/>
      <c r="PNC78" s="165"/>
      <c r="PND78" s="165"/>
      <c r="PNE78" s="165"/>
      <c r="PNF78" s="165"/>
      <c r="PNG78" s="165"/>
      <c r="PNH78" s="165"/>
      <c r="PNI78" s="165"/>
      <c r="PNJ78" s="165"/>
      <c r="PNK78" s="165"/>
      <c r="PNL78" s="165"/>
      <c r="PNM78" s="165"/>
      <c r="PNN78" s="165"/>
      <c r="PNO78" s="165"/>
      <c r="PNP78" s="165"/>
      <c r="PNQ78" s="165"/>
      <c r="PNR78" s="165"/>
      <c r="PNS78" s="165"/>
      <c r="PNT78" s="165"/>
      <c r="PNU78" s="165"/>
      <c r="PNV78" s="165"/>
      <c r="PNW78" s="165"/>
      <c r="PNX78" s="165"/>
      <c r="PNY78" s="165"/>
      <c r="PNZ78" s="165"/>
      <c r="POA78" s="165"/>
      <c r="POB78" s="165"/>
      <c r="POC78" s="165"/>
      <c r="POD78" s="165"/>
      <c r="POE78" s="165"/>
      <c r="POF78" s="165"/>
      <c r="POG78" s="165"/>
      <c r="POH78" s="165"/>
      <c r="POI78" s="165"/>
      <c r="POJ78" s="165"/>
      <c r="POK78" s="165"/>
      <c r="POL78" s="165"/>
      <c r="POM78" s="165"/>
      <c r="PON78" s="165"/>
      <c r="POO78" s="165"/>
      <c r="POP78" s="165"/>
      <c r="POQ78" s="165"/>
      <c r="POR78" s="165"/>
      <c r="POS78" s="165"/>
      <c r="POT78" s="165"/>
      <c r="POU78" s="165"/>
      <c r="POV78" s="165"/>
      <c r="POW78" s="165"/>
      <c r="POX78" s="165"/>
      <c r="POY78" s="165"/>
      <c r="POZ78" s="165"/>
      <c r="PPA78" s="165"/>
      <c r="PPB78" s="165"/>
      <c r="PPC78" s="165"/>
      <c r="PPD78" s="165"/>
      <c r="PPE78" s="165"/>
      <c r="PPF78" s="165"/>
      <c r="PPG78" s="165"/>
      <c r="PPH78" s="165"/>
      <c r="PPI78" s="165"/>
      <c r="PPJ78" s="165"/>
      <c r="PPK78" s="165"/>
      <c r="PPL78" s="165"/>
      <c r="PPM78" s="165"/>
      <c r="PPN78" s="165"/>
      <c r="PPO78" s="165"/>
      <c r="PPP78" s="165"/>
      <c r="PPQ78" s="165"/>
      <c r="PPR78" s="165"/>
      <c r="PPS78" s="165"/>
      <c r="PPT78" s="165"/>
      <c r="PPU78" s="165"/>
      <c r="PPV78" s="165"/>
      <c r="PPW78" s="165"/>
      <c r="PPX78" s="165"/>
      <c r="PPY78" s="165"/>
      <c r="PPZ78" s="165"/>
      <c r="PQA78" s="165"/>
      <c r="PQB78" s="165"/>
      <c r="PQC78" s="165"/>
      <c r="PQD78" s="165"/>
      <c r="PQE78" s="165"/>
      <c r="PQF78" s="165"/>
      <c r="PQG78" s="165"/>
      <c r="PQH78" s="165"/>
      <c r="PQI78" s="165"/>
      <c r="PQJ78" s="165"/>
      <c r="PQK78" s="165"/>
      <c r="PQL78" s="165"/>
      <c r="PQM78" s="165"/>
      <c r="PQN78" s="165"/>
      <c r="PQO78" s="165"/>
      <c r="PQP78" s="165"/>
      <c r="PQQ78" s="165"/>
      <c r="PQR78" s="165"/>
      <c r="PQS78" s="165"/>
      <c r="PQT78" s="165"/>
      <c r="PQU78" s="165"/>
      <c r="PQV78" s="165"/>
      <c r="PQW78" s="165"/>
      <c r="PQX78" s="165"/>
      <c r="PQY78" s="165"/>
      <c r="PQZ78" s="165"/>
      <c r="PRA78" s="165"/>
      <c r="PRB78" s="165"/>
      <c r="PRC78" s="165"/>
      <c r="PRD78" s="165"/>
      <c r="PRE78" s="165"/>
      <c r="PRF78" s="165"/>
      <c r="PRG78" s="165"/>
      <c r="PRH78" s="165"/>
      <c r="PRI78" s="165"/>
      <c r="PRJ78" s="165"/>
      <c r="PRK78" s="165"/>
      <c r="PRL78" s="165"/>
      <c r="PRM78" s="165"/>
      <c r="PRN78" s="165"/>
      <c r="PRO78" s="165"/>
      <c r="PRP78" s="165"/>
      <c r="PRQ78" s="165"/>
      <c r="PRR78" s="165"/>
      <c r="PRS78" s="165"/>
      <c r="PRT78" s="165"/>
      <c r="PRU78" s="165"/>
      <c r="PRV78" s="165"/>
      <c r="PRW78" s="165"/>
      <c r="PRX78" s="165"/>
      <c r="PRY78" s="165"/>
      <c r="PRZ78" s="165"/>
      <c r="PSA78" s="165"/>
      <c r="PSB78" s="165"/>
      <c r="PSC78" s="165"/>
      <c r="PSD78" s="165"/>
      <c r="PSE78" s="165"/>
      <c r="PSF78" s="165"/>
      <c r="PSG78" s="165"/>
      <c r="PSH78" s="165"/>
      <c r="PSI78" s="165"/>
      <c r="PSJ78" s="165"/>
      <c r="PSK78" s="165"/>
      <c r="PSL78" s="165"/>
      <c r="PSM78" s="165"/>
      <c r="PSN78" s="165"/>
      <c r="PSO78" s="165"/>
      <c r="PSP78" s="165"/>
      <c r="PSQ78" s="165"/>
      <c r="PSR78" s="165"/>
      <c r="PSS78" s="165"/>
      <c r="PST78" s="165"/>
      <c r="PSU78" s="165"/>
      <c r="PSV78" s="165"/>
      <c r="PSW78" s="165"/>
      <c r="PSX78" s="165"/>
      <c r="PSY78" s="165"/>
      <c r="PSZ78" s="165"/>
      <c r="PTA78" s="165"/>
      <c r="PTB78" s="165"/>
      <c r="PTC78" s="165"/>
      <c r="PTD78" s="165"/>
      <c r="PTE78" s="165"/>
      <c r="PTF78" s="165"/>
      <c r="PTG78" s="165"/>
      <c r="PTH78" s="165"/>
      <c r="PTI78" s="165"/>
      <c r="PTJ78" s="165"/>
      <c r="PTK78" s="165"/>
      <c r="PTL78" s="165"/>
      <c r="PTM78" s="165"/>
      <c r="PTN78" s="165"/>
      <c r="PTO78" s="165"/>
      <c r="PTP78" s="165"/>
      <c r="PTQ78" s="165"/>
      <c r="PTR78" s="165"/>
      <c r="PTS78" s="165"/>
      <c r="PTT78" s="165"/>
      <c r="PTU78" s="165"/>
      <c r="PTV78" s="165"/>
      <c r="PTW78" s="165"/>
      <c r="PTX78" s="165"/>
      <c r="PTY78" s="165"/>
      <c r="PTZ78" s="165"/>
      <c r="PUA78" s="165"/>
      <c r="PUB78" s="165"/>
      <c r="PUC78" s="165"/>
      <c r="PUD78" s="165"/>
      <c r="PUE78" s="165"/>
      <c r="PUF78" s="165"/>
      <c r="PUG78" s="165"/>
      <c r="PUH78" s="165"/>
      <c r="PUI78" s="165"/>
      <c r="PUJ78" s="165"/>
      <c r="PUK78" s="165"/>
      <c r="PUL78" s="165"/>
      <c r="PUM78" s="165"/>
      <c r="PUN78" s="165"/>
      <c r="PUO78" s="165"/>
      <c r="PUP78" s="165"/>
      <c r="PUQ78" s="165"/>
      <c r="PUR78" s="165"/>
      <c r="PUS78" s="165"/>
      <c r="PUT78" s="165"/>
      <c r="PUU78" s="165"/>
      <c r="PUV78" s="165"/>
      <c r="PUW78" s="165"/>
      <c r="PUX78" s="165"/>
      <c r="PUY78" s="165"/>
      <c r="PUZ78" s="165"/>
      <c r="PVA78" s="165"/>
      <c r="PVB78" s="165"/>
      <c r="PVC78" s="165"/>
      <c r="PVD78" s="165"/>
      <c r="PVE78" s="165"/>
      <c r="PVF78" s="165"/>
      <c r="PVG78" s="165"/>
      <c r="PVH78" s="165"/>
      <c r="PVI78" s="165"/>
      <c r="PVJ78" s="165"/>
      <c r="PVK78" s="165"/>
      <c r="PVL78" s="165"/>
      <c r="PVM78" s="165"/>
      <c r="PVN78" s="165"/>
      <c r="PVO78" s="165"/>
      <c r="PVP78" s="165"/>
      <c r="PVQ78" s="165"/>
      <c r="PVR78" s="165"/>
      <c r="PVS78" s="165"/>
      <c r="PVT78" s="165"/>
      <c r="PVU78" s="165"/>
      <c r="PVV78" s="165"/>
      <c r="PVW78" s="165"/>
      <c r="PVX78" s="165"/>
      <c r="PVY78" s="165"/>
      <c r="PVZ78" s="165"/>
      <c r="PWA78" s="165"/>
      <c r="PWB78" s="165"/>
      <c r="PWC78" s="165"/>
      <c r="PWD78" s="165"/>
      <c r="PWE78" s="165"/>
      <c r="PWF78" s="165"/>
      <c r="PWG78" s="165"/>
      <c r="PWH78" s="165"/>
      <c r="PWI78" s="165"/>
      <c r="PWJ78" s="165"/>
      <c r="PWK78" s="165"/>
      <c r="PWL78" s="165"/>
      <c r="PWM78" s="165"/>
      <c r="PWN78" s="165"/>
      <c r="PWO78" s="165"/>
      <c r="PWP78" s="165"/>
      <c r="PWQ78" s="165"/>
      <c r="PWR78" s="165"/>
      <c r="PWS78" s="165"/>
      <c r="PWT78" s="165"/>
      <c r="PWU78" s="165"/>
      <c r="PWV78" s="165"/>
      <c r="PWW78" s="165"/>
      <c r="PWX78" s="165"/>
      <c r="PWY78" s="165"/>
      <c r="PWZ78" s="165"/>
      <c r="PXA78" s="165"/>
      <c r="PXB78" s="165"/>
      <c r="PXC78" s="165"/>
      <c r="PXD78" s="165"/>
      <c r="PXE78" s="165"/>
      <c r="PXF78" s="165"/>
      <c r="PXG78" s="165"/>
      <c r="PXH78" s="165"/>
      <c r="PXI78" s="165"/>
      <c r="PXJ78" s="165"/>
      <c r="PXK78" s="165"/>
      <c r="PXL78" s="165"/>
      <c r="PXM78" s="165"/>
      <c r="PXN78" s="165"/>
      <c r="PXO78" s="165"/>
      <c r="PXP78" s="165"/>
      <c r="PXQ78" s="165"/>
      <c r="PXR78" s="165"/>
      <c r="PXS78" s="165"/>
      <c r="PXT78" s="165"/>
      <c r="PXU78" s="165"/>
      <c r="PXV78" s="165"/>
      <c r="PXW78" s="165"/>
      <c r="PXX78" s="165"/>
      <c r="PXY78" s="165"/>
      <c r="PXZ78" s="165"/>
      <c r="PYA78" s="165"/>
      <c r="PYB78" s="165"/>
      <c r="PYC78" s="165"/>
      <c r="PYD78" s="165"/>
      <c r="PYE78" s="165"/>
      <c r="PYF78" s="165"/>
      <c r="PYG78" s="165"/>
      <c r="PYH78" s="165"/>
      <c r="PYI78" s="165"/>
      <c r="PYJ78" s="165"/>
      <c r="PYK78" s="165"/>
      <c r="PYL78" s="165"/>
      <c r="PYM78" s="165"/>
      <c r="PYN78" s="165"/>
      <c r="PYO78" s="165"/>
      <c r="PYP78" s="165"/>
      <c r="PYQ78" s="165"/>
      <c r="PYR78" s="165"/>
      <c r="PYS78" s="165"/>
      <c r="PYT78" s="165"/>
      <c r="PYU78" s="165"/>
      <c r="PYV78" s="165"/>
      <c r="PYW78" s="165"/>
      <c r="PYX78" s="165"/>
      <c r="PYY78" s="165"/>
      <c r="PYZ78" s="165"/>
      <c r="PZA78" s="165"/>
      <c r="PZB78" s="165"/>
      <c r="PZC78" s="165"/>
      <c r="PZD78" s="165"/>
      <c r="PZE78" s="165"/>
      <c r="PZF78" s="165"/>
      <c r="PZG78" s="165"/>
      <c r="PZH78" s="165"/>
      <c r="PZI78" s="165"/>
      <c r="PZJ78" s="165"/>
      <c r="PZK78" s="165"/>
      <c r="PZL78" s="165"/>
      <c r="PZM78" s="165"/>
      <c r="PZN78" s="165"/>
      <c r="PZO78" s="165"/>
      <c r="PZP78" s="165"/>
      <c r="PZQ78" s="165"/>
      <c r="PZR78" s="165"/>
      <c r="PZS78" s="165"/>
      <c r="PZT78" s="165"/>
      <c r="PZU78" s="165"/>
      <c r="PZV78" s="165"/>
      <c r="PZW78" s="165"/>
      <c r="PZX78" s="165"/>
      <c r="PZY78" s="165"/>
      <c r="PZZ78" s="165"/>
      <c r="QAA78" s="165"/>
      <c r="QAB78" s="165"/>
      <c r="QAC78" s="165"/>
      <c r="QAD78" s="165"/>
      <c r="QAE78" s="165"/>
      <c r="QAF78" s="165"/>
      <c r="QAG78" s="165"/>
      <c r="QAH78" s="165"/>
      <c r="QAI78" s="165"/>
      <c r="QAJ78" s="165"/>
      <c r="QAK78" s="165"/>
      <c r="QAL78" s="165"/>
      <c r="QAM78" s="165"/>
      <c r="QAN78" s="165"/>
      <c r="QAO78" s="165"/>
      <c r="QAP78" s="165"/>
      <c r="QAQ78" s="165"/>
      <c r="QAR78" s="165"/>
      <c r="QAS78" s="165"/>
      <c r="QAT78" s="165"/>
      <c r="QAU78" s="165"/>
      <c r="QAV78" s="165"/>
      <c r="QAW78" s="165"/>
      <c r="QAX78" s="165"/>
      <c r="QAY78" s="165"/>
      <c r="QAZ78" s="165"/>
      <c r="QBA78" s="165"/>
      <c r="QBB78" s="165"/>
      <c r="QBC78" s="165"/>
      <c r="QBD78" s="165"/>
      <c r="QBE78" s="165"/>
      <c r="QBF78" s="165"/>
      <c r="QBG78" s="165"/>
      <c r="QBH78" s="165"/>
      <c r="QBI78" s="165"/>
      <c r="QBJ78" s="165"/>
      <c r="QBK78" s="165"/>
      <c r="QBL78" s="165"/>
      <c r="QBM78" s="165"/>
      <c r="QBN78" s="165"/>
      <c r="QBO78" s="165"/>
      <c r="QBP78" s="165"/>
      <c r="QBQ78" s="165"/>
      <c r="QBR78" s="165"/>
      <c r="QBS78" s="165"/>
      <c r="QBT78" s="165"/>
      <c r="QBU78" s="165"/>
      <c r="QBV78" s="165"/>
      <c r="QBW78" s="165"/>
      <c r="QBX78" s="165"/>
      <c r="QBY78" s="165"/>
      <c r="QBZ78" s="165"/>
      <c r="QCA78" s="165"/>
      <c r="QCB78" s="165"/>
      <c r="QCC78" s="165"/>
      <c r="QCD78" s="165"/>
      <c r="QCE78" s="165"/>
      <c r="QCF78" s="165"/>
      <c r="QCG78" s="165"/>
      <c r="QCH78" s="165"/>
      <c r="QCI78" s="165"/>
      <c r="QCJ78" s="165"/>
      <c r="QCK78" s="165"/>
      <c r="QCL78" s="165"/>
      <c r="QCM78" s="165"/>
      <c r="QCN78" s="165"/>
      <c r="QCO78" s="165"/>
      <c r="QCP78" s="165"/>
      <c r="QCQ78" s="165"/>
      <c r="QCR78" s="165"/>
      <c r="QCS78" s="165"/>
      <c r="QCT78" s="165"/>
      <c r="QCU78" s="165"/>
      <c r="QCV78" s="165"/>
      <c r="QCW78" s="165"/>
      <c r="QCX78" s="165"/>
      <c r="QCY78" s="165"/>
      <c r="QCZ78" s="165"/>
      <c r="QDA78" s="165"/>
      <c r="QDB78" s="165"/>
      <c r="QDC78" s="165"/>
      <c r="QDD78" s="165"/>
      <c r="QDE78" s="165"/>
      <c r="QDF78" s="165"/>
      <c r="QDG78" s="165"/>
      <c r="QDH78" s="165"/>
      <c r="QDI78" s="165"/>
      <c r="QDJ78" s="165"/>
      <c r="QDK78" s="165"/>
      <c r="QDL78" s="165"/>
      <c r="QDM78" s="165"/>
      <c r="QDN78" s="165"/>
      <c r="QDO78" s="165"/>
      <c r="QDP78" s="165"/>
      <c r="QDQ78" s="165"/>
      <c r="QDR78" s="165"/>
      <c r="QDS78" s="165"/>
      <c r="QDT78" s="165"/>
      <c r="QDU78" s="165"/>
      <c r="QDV78" s="165"/>
      <c r="QDW78" s="165"/>
      <c r="QDX78" s="165"/>
      <c r="QDY78" s="165"/>
      <c r="QDZ78" s="165"/>
      <c r="QEA78" s="165"/>
      <c r="QEB78" s="165"/>
      <c r="QEC78" s="165"/>
      <c r="QED78" s="165"/>
      <c r="QEE78" s="165"/>
      <c r="QEF78" s="165"/>
      <c r="QEG78" s="165"/>
      <c r="QEH78" s="165"/>
      <c r="QEI78" s="165"/>
      <c r="QEJ78" s="165"/>
      <c r="QEK78" s="165"/>
      <c r="QEL78" s="165"/>
      <c r="QEM78" s="165"/>
      <c r="QEN78" s="165"/>
      <c r="QEO78" s="165"/>
      <c r="QEP78" s="165"/>
      <c r="QEQ78" s="165"/>
      <c r="QER78" s="165"/>
      <c r="QES78" s="165"/>
      <c r="QET78" s="165"/>
      <c r="QEU78" s="165"/>
      <c r="QEV78" s="165"/>
      <c r="QEW78" s="165"/>
      <c r="QEX78" s="165"/>
      <c r="QEY78" s="165"/>
      <c r="QEZ78" s="165"/>
      <c r="QFA78" s="165"/>
      <c r="QFB78" s="165"/>
      <c r="QFC78" s="165"/>
      <c r="QFD78" s="165"/>
      <c r="QFE78" s="165"/>
      <c r="QFF78" s="165"/>
      <c r="QFG78" s="165"/>
      <c r="QFH78" s="165"/>
      <c r="QFI78" s="165"/>
      <c r="QFJ78" s="165"/>
      <c r="QFK78" s="165"/>
      <c r="QFL78" s="165"/>
      <c r="QFM78" s="165"/>
      <c r="QFN78" s="165"/>
      <c r="QFO78" s="165"/>
      <c r="QFP78" s="165"/>
      <c r="QFQ78" s="165"/>
      <c r="QFR78" s="165"/>
      <c r="QFS78" s="165"/>
      <c r="QFT78" s="165"/>
      <c r="QFU78" s="165"/>
      <c r="QFV78" s="165"/>
      <c r="QFW78" s="165"/>
      <c r="QFX78" s="165"/>
      <c r="QFY78" s="165"/>
      <c r="QFZ78" s="165"/>
      <c r="QGA78" s="165"/>
      <c r="QGB78" s="165"/>
      <c r="QGC78" s="165"/>
      <c r="QGD78" s="165"/>
      <c r="QGE78" s="165"/>
      <c r="QGF78" s="165"/>
      <c r="QGG78" s="165"/>
      <c r="QGH78" s="165"/>
      <c r="QGI78" s="165"/>
      <c r="QGJ78" s="165"/>
      <c r="QGK78" s="165"/>
      <c r="QGL78" s="165"/>
      <c r="QGM78" s="165"/>
      <c r="QGN78" s="165"/>
      <c r="QGO78" s="165"/>
      <c r="QGP78" s="165"/>
      <c r="QGQ78" s="165"/>
      <c r="QGR78" s="165"/>
      <c r="QGS78" s="165"/>
      <c r="QGT78" s="165"/>
      <c r="QGU78" s="165"/>
      <c r="QGV78" s="165"/>
      <c r="QGW78" s="165"/>
      <c r="QGX78" s="165"/>
      <c r="QGY78" s="165"/>
      <c r="QGZ78" s="165"/>
      <c r="QHA78" s="165"/>
      <c r="QHB78" s="165"/>
      <c r="QHC78" s="165"/>
      <c r="QHD78" s="165"/>
      <c r="QHE78" s="165"/>
      <c r="QHF78" s="165"/>
      <c r="QHG78" s="165"/>
      <c r="QHH78" s="165"/>
      <c r="QHI78" s="165"/>
      <c r="QHJ78" s="165"/>
      <c r="QHK78" s="165"/>
      <c r="QHL78" s="165"/>
      <c r="QHM78" s="165"/>
      <c r="QHN78" s="165"/>
      <c r="QHO78" s="165"/>
      <c r="QHP78" s="165"/>
      <c r="QHQ78" s="165"/>
      <c r="QHR78" s="165"/>
      <c r="QHS78" s="165"/>
      <c r="QHT78" s="165"/>
      <c r="QHU78" s="165"/>
      <c r="QHV78" s="165"/>
      <c r="QHW78" s="165"/>
      <c r="QHX78" s="165"/>
      <c r="QHY78" s="165"/>
      <c r="QHZ78" s="165"/>
      <c r="QIA78" s="165"/>
      <c r="QIB78" s="165"/>
      <c r="QIC78" s="165"/>
      <c r="QID78" s="165"/>
      <c r="QIE78" s="165"/>
      <c r="QIF78" s="165"/>
      <c r="QIG78" s="165"/>
      <c r="QIH78" s="165"/>
      <c r="QII78" s="165"/>
      <c r="QIJ78" s="165"/>
      <c r="QIK78" s="165"/>
      <c r="QIL78" s="165"/>
      <c r="QIM78" s="165"/>
      <c r="QIN78" s="165"/>
      <c r="QIO78" s="165"/>
      <c r="QIP78" s="165"/>
      <c r="QIQ78" s="165"/>
      <c r="QIR78" s="165"/>
      <c r="QIS78" s="165"/>
      <c r="QIT78" s="165"/>
      <c r="QIU78" s="165"/>
      <c r="QIV78" s="165"/>
      <c r="QIW78" s="165"/>
      <c r="QIX78" s="165"/>
      <c r="QIY78" s="165"/>
      <c r="QIZ78" s="165"/>
      <c r="QJA78" s="165"/>
      <c r="QJB78" s="165"/>
      <c r="QJC78" s="165"/>
      <c r="QJD78" s="165"/>
      <c r="QJE78" s="165"/>
      <c r="QJF78" s="165"/>
      <c r="QJG78" s="165"/>
      <c r="QJH78" s="165"/>
      <c r="QJI78" s="165"/>
      <c r="QJJ78" s="165"/>
      <c r="QJK78" s="165"/>
      <c r="QJL78" s="165"/>
      <c r="QJM78" s="165"/>
      <c r="QJN78" s="165"/>
      <c r="QJO78" s="165"/>
      <c r="QJP78" s="165"/>
      <c r="QJQ78" s="165"/>
      <c r="QJR78" s="165"/>
      <c r="QJS78" s="165"/>
      <c r="QJT78" s="165"/>
      <c r="QJU78" s="165"/>
      <c r="QJV78" s="165"/>
      <c r="QJW78" s="165"/>
      <c r="QJX78" s="165"/>
      <c r="QJY78" s="165"/>
      <c r="QJZ78" s="165"/>
      <c r="QKA78" s="165"/>
      <c r="QKB78" s="165"/>
      <c r="QKC78" s="165"/>
      <c r="QKD78" s="165"/>
      <c r="QKE78" s="165"/>
      <c r="QKF78" s="165"/>
      <c r="QKG78" s="165"/>
      <c r="QKH78" s="165"/>
      <c r="QKI78" s="165"/>
      <c r="QKJ78" s="165"/>
      <c r="QKK78" s="165"/>
      <c r="QKL78" s="165"/>
      <c r="QKM78" s="165"/>
      <c r="QKN78" s="165"/>
      <c r="QKO78" s="165"/>
      <c r="QKP78" s="165"/>
      <c r="QKQ78" s="165"/>
      <c r="QKR78" s="165"/>
      <c r="QKS78" s="165"/>
      <c r="QKT78" s="165"/>
      <c r="QKU78" s="165"/>
      <c r="QKV78" s="165"/>
      <c r="QKW78" s="165"/>
      <c r="QKX78" s="165"/>
      <c r="QKY78" s="165"/>
      <c r="QKZ78" s="165"/>
      <c r="QLA78" s="165"/>
      <c r="QLB78" s="165"/>
      <c r="QLC78" s="165"/>
      <c r="QLD78" s="165"/>
      <c r="QLE78" s="165"/>
      <c r="QLF78" s="165"/>
      <c r="QLG78" s="165"/>
      <c r="QLH78" s="165"/>
      <c r="QLI78" s="165"/>
      <c r="QLJ78" s="165"/>
      <c r="QLK78" s="165"/>
      <c r="QLL78" s="165"/>
      <c r="QLM78" s="165"/>
      <c r="QLN78" s="165"/>
      <c r="QLO78" s="165"/>
      <c r="QLP78" s="165"/>
      <c r="QLQ78" s="165"/>
      <c r="QLR78" s="165"/>
      <c r="QLS78" s="165"/>
      <c r="QLT78" s="165"/>
      <c r="QLU78" s="165"/>
      <c r="QLV78" s="165"/>
      <c r="QLW78" s="165"/>
      <c r="QLX78" s="165"/>
      <c r="QLY78" s="165"/>
      <c r="QLZ78" s="165"/>
      <c r="QMA78" s="165"/>
      <c r="QMB78" s="165"/>
      <c r="QMC78" s="165"/>
      <c r="QMD78" s="165"/>
      <c r="QME78" s="165"/>
      <c r="QMF78" s="165"/>
      <c r="QMG78" s="165"/>
      <c r="QMH78" s="165"/>
      <c r="QMI78" s="165"/>
      <c r="QMJ78" s="165"/>
      <c r="QMK78" s="165"/>
      <c r="QML78" s="165"/>
      <c r="QMM78" s="165"/>
      <c r="QMN78" s="165"/>
      <c r="QMO78" s="165"/>
      <c r="QMP78" s="165"/>
      <c r="QMQ78" s="165"/>
      <c r="QMR78" s="165"/>
      <c r="QMS78" s="165"/>
      <c r="QMT78" s="165"/>
      <c r="QMU78" s="165"/>
      <c r="QMV78" s="165"/>
      <c r="QMW78" s="165"/>
      <c r="QMX78" s="165"/>
      <c r="QMY78" s="165"/>
      <c r="QMZ78" s="165"/>
      <c r="QNA78" s="165"/>
      <c r="QNB78" s="165"/>
      <c r="QNC78" s="165"/>
      <c r="QND78" s="165"/>
      <c r="QNE78" s="165"/>
      <c r="QNF78" s="165"/>
      <c r="QNG78" s="165"/>
      <c r="QNH78" s="165"/>
      <c r="QNI78" s="165"/>
      <c r="QNJ78" s="165"/>
      <c r="QNK78" s="165"/>
      <c r="QNL78" s="165"/>
      <c r="QNM78" s="165"/>
      <c r="QNN78" s="165"/>
      <c r="QNO78" s="165"/>
      <c r="QNP78" s="165"/>
      <c r="QNQ78" s="165"/>
      <c r="QNR78" s="165"/>
      <c r="QNS78" s="165"/>
      <c r="QNT78" s="165"/>
      <c r="QNU78" s="165"/>
      <c r="QNV78" s="165"/>
      <c r="QNW78" s="165"/>
      <c r="QNX78" s="165"/>
      <c r="QNY78" s="165"/>
      <c r="QNZ78" s="165"/>
      <c r="QOA78" s="165"/>
      <c r="QOB78" s="165"/>
      <c r="QOC78" s="165"/>
      <c r="QOD78" s="165"/>
      <c r="QOE78" s="165"/>
      <c r="QOF78" s="165"/>
      <c r="QOG78" s="165"/>
      <c r="QOH78" s="165"/>
      <c r="QOI78" s="165"/>
      <c r="QOJ78" s="165"/>
      <c r="QOK78" s="165"/>
      <c r="QOL78" s="165"/>
      <c r="QOM78" s="165"/>
      <c r="QON78" s="165"/>
      <c r="QOO78" s="165"/>
      <c r="QOP78" s="165"/>
      <c r="QOQ78" s="165"/>
      <c r="QOR78" s="165"/>
      <c r="QOS78" s="165"/>
      <c r="QOT78" s="165"/>
      <c r="QOU78" s="165"/>
      <c r="QOV78" s="165"/>
      <c r="QOW78" s="165"/>
      <c r="QOX78" s="165"/>
      <c r="QOY78" s="165"/>
      <c r="QOZ78" s="165"/>
      <c r="QPA78" s="165"/>
      <c r="QPB78" s="165"/>
      <c r="QPC78" s="165"/>
      <c r="QPD78" s="165"/>
      <c r="QPE78" s="165"/>
      <c r="QPF78" s="165"/>
      <c r="QPG78" s="165"/>
      <c r="QPH78" s="165"/>
      <c r="QPI78" s="165"/>
      <c r="QPJ78" s="165"/>
      <c r="QPK78" s="165"/>
      <c r="QPL78" s="165"/>
      <c r="QPM78" s="165"/>
      <c r="QPN78" s="165"/>
      <c r="QPO78" s="165"/>
      <c r="QPP78" s="165"/>
      <c r="QPQ78" s="165"/>
      <c r="QPR78" s="165"/>
      <c r="QPS78" s="165"/>
      <c r="QPT78" s="165"/>
      <c r="QPU78" s="165"/>
      <c r="QPV78" s="165"/>
      <c r="QPW78" s="165"/>
      <c r="QPX78" s="165"/>
      <c r="QPY78" s="165"/>
      <c r="QPZ78" s="165"/>
      <c r="QQA78" s="165"/>
      <c r="QQB78" s="165"/>
      <c r="QQC78" s="165"/>
      <c r="QQD78" s="165"/>
      <c r="QQE78" s="165"/>
      <c r="QQF78" s="165"/>
      <c r="QQG78" s="165"/>
      <c r="QQH78" s="165"/>
      <c r="QQI78" s="165"/>
      <c r="QQJ78" s="165"/>
      <c r="QQK78" s="165"/>
      <c r="QQL78" s="165"/>
      <c r="QQM78" s="165"/>
      <c r="QQN78" s="165"/>
      <c r="QQO78" s="165"/>
      <c r="QQP78" s="165"/>
      <c r="QQQ78" s="165"/>
      <c r="QQR78" s="165"/>
      <c r="QQS78" s="165"/>
      <c r="QQT78" s="165"/>
      <c r="QQU78" s="165"/>
      <c r="QQV78" s="165"/>
      <c r="QQW78" s="165"/>
      <c r="QQX78" s="165"/>
      <c r="QQY78" s="165"/>
      <c r="QQZ78" s="165"/>
      <c r="QRA78" s="165"/>
      <c r="QRB78" s="165"/>
      <c r="QRC78" s="165"/>
      <c r="QRD78" s="165"/>
      <c r="QRE78" s="165"/>
      <c r="QRF78" s="165"/>
      <c r="QRG78" s="165"/>
      <c r="QRH78" s="165"/>
      <c r="QRI78" s="165"/>
      <c r="QRJ78" s="165"/>
      <c r="QRK78" s="165"/>
      <c r="QRL78" s="165"/>
      <c r="QRM78" s="165"/>
      <c r="QRN78" s="165"/>
      <c r="QRO78" s="165"/>
      <c r="QRP78" s="165"/>
      <c r="QRQ78" s="165"/>
      <c r="QRR78" s="165"/>
      <c r="QRS78" s="165"/>
      <c r="QRT78" s="165"/>
      <c r="QRU78" s="165"/>
      <c r="QRV78" s="165"/>
      <c r="QRW78" s="165"/>
      <c r="QRX78" s="165"/>
      <c r="QRY78" s="165"/>
      <c r="QRZ78" s="165"/>
      <c r="QSA78" s="165"/>
      <c r="QSB78" s="165"/>
      <c r="QSC78" s="165"/>
      <c r="QSD78" s="165"/>
      <c r="QSE78" s="165"/>
      <c r="QSF78" s="165"/>
      <c r="QSG78" s="165"/>
      <c r="QSH78" s="165"/>
      <c r="QSI78" s="165"/>
      <c r="QSJ78" s="165"/>
      <c r="QSK78" s="165"/>
      <c r="QSL78" s="165"/>
      <c r="QSM78" s="165"/>
      <c r="QSN78" s="165"/>
      <c r="QSO78" s="165"/>
      <c r="QSP78" s="165"/>
      <c r="QSQ78" s="165"/>
      <c r="QSR78" s="165"/>
      <c r="QSS78" s="165"/>
      <c r="QST78" s="165"/>
      <c r="QSU78" s="165"/>
      <c r="QSV78" s="165"/>
      <c r="QSW78" s="165"/>
      <c r="QSX78" s="165"/>
      <c r="QSY78" s="165"/>
      <c r="QSZ78" s="165"/>
      <c r="QTA78" s="165"/>
      <c r="QTB78" s="165"/>
      <c r="QTC78" s="165"/>
      <c r="QTD78" s="165"/>
      <c r="QTE78" s="165"/>
      <c r="QTF78" s="165"/>
      <c r="QTG78" s="165"/>
      <c r="QTH78" s="165"/>
      <c r="QTI78" s="165"/>
      <c r="QTJ78" s="165"/>
      <c r="QTK78" s="165"/>
      <c r="QTL78" s="165"/>
      <c r="QTM78" s="165"/>
      <c r="QTN78" s="165"/>
      <c r="QTO78" s="165"/>
      <c r="QTP78" s="165"/>
      <c r="QTQ78" s="165"/>
      <c r="QTR78" s="165"/>
      <c r="QTS78" s="165"/>
      <c r="QTT78" s="165"/>
      <c r="QTU78" s="165"/>
      <c r="QTV78" s="165"/>
      <c r="QTW78" s="165"/>
      <c r="QTX78" s="165"/>
      <c r="QTY78" s="165"/>
      <c r="QTZ78" s="165"/>
      <c r="QUA78" s="165"/>
      <c r="QUB78" s="165"/>
      <c r="QUC78" s="165"/>
      <c r="QUD78" s="165"/>
      <c r="QUE78" s="165"/>
      <c r="QUF78" s="165"/>
      <c r="QUG78" s="165"/>
      <c r="QUH78" s="165"/>
      <c r="QUI78" s="165"/>
      <c r="QUJ78" s="165"/>
      <c r="QUK78" s="165"/>
      <c r="QUL78" s="165"/>
      <c r="QUM78" s="165"/>
      <c r="QUN78" s="165"/>
      <c r="QUO78" s="165"/>
      <c r="QUP78" s="165"/>
      <c r="QUQ78" s="165"/>
      <c r="QUR78" s="165"/>
      <c r="QUS78" s="165"/>
      <c r="QUT78" s="165"/>
      <c r="QUU78" s="165"/>
      <c r="QUV78" s="165"/>
      <c r="QUW78" s="165"/>
      <c r="QUX78" s="165"/>
      <c r="QUY78" s="165"/>
      <c r="QUZ78" s="165"/>
      <c r="QVA78" s="165"/>
      <c r="QVB78" s="165"/>
      <c r="QVC78" s="165"/>
      <c r="QVD78" s="165"/>
      <c r="QVE78" s="165"/>
      <c r="QVF78" s="165"/>
      <c r="QVG78" s="165"/>
      <c r="QVH78" s="165"/>
      <c r="QVI78" s="165"/>
      <c r="QVJ78" s="165"/>
      <c r="QVK78" s="165"/>
      <c r="QVL78" s="165"/>
      <c r="QVM78" s="165"/>
      <c r="QVN78" s="165"/>
      <c r="QVO78" s="165"/>
      <c r="QVP78" s="165"/>
      <c r="QVQ78" s="165"/>
      <c r="QVR78" s="165"/>
      <c r="QVS78" s="165"/>
      <c r="QVT78" s="165"/>
      <c r="QVU78" s="165"/>
      <c r="QVV78" s="165"/>
      <c r="QVW78" s="165"/>
      <c r="QVX78" s="165"/>
      <c r="QVY78" s="165"/>
      <c r="QVZ78" s="165"/>
      <c r="QWA78" s="165"/>
      <c r="QWB78" s="165"/>
      <c r="QWC78" s="165"/>
      <c r="QWD78" s="165"/>
      <c r="QWE78" s="165"/>
      <c r="QWF78" s="165"/>
      <c r="QWG78" s="165"/>
      <c r="QWH78" s="165"/>
      <c r="QWI78" s="165"/>
      <c r="QWJ78" s="165"/>
      <c r="QWK78" s="165"/>
      <c r="QWL78" s="165"/>
      <c r="QWM78" s="165"/>
      <c r="QWN78" s="165"/>
      <c r="QWO78" s="165"/>
      <c r="QWP78" s="165"/>
      <c r="QWQ78" s="165"/>
      <c r="QWR78" s="165"/>
      <c r="QWS78" s="165"/>
      <c r="QWT78" s="165"/>
      <c r="QWU78" s="165"/>
      <c r="QWV78" s="165"/>
      <c r="QWW78" s="165"/>
      <c r="QWX78" s="165"/>
      <c r="QWY78" s="165"/>
      <c r="QWZ78" s="165"/>
      <c r="QXA78" s="165"/>
      <c r="QXB78" s="165"/>
      <c r="QXC78" s="165"/>
      <c r="QXD78" s="165"/>
      <c r="QXE78" s="165"/>
      <c r="QXF78" s="165"/>
      <c r="QXG78" s="165"/>
      <c r="QXH78" s="165"/>
      <c r="QXI78" s="165"/>
      <c r="QXJ78" s="165"/>
      <c r="QXK78" s="165"/>
      <c r="QXL78" s="165"/>
      <c r="QXM78" s="165"/>
      <c r="QXN78" s="165"/>
      <c r="QXO78" s="165"/>
      <c r="QXP78" s="165"/>
      <c r="QXQ78" s="165"/>
      <c r="QXR78" s="165"/>
      <c r="QXS78" s="165"/>
      <c r="QXT78" s="165"/>
      <c r="QXU78" s="165"/>
      <c r="QXV78" s="165"/>
      <c r="QXW78" s="165"/>
      <c r="QXX78" s="165"/>
      <c r="QXY78" s="165"/>
      <c r="QXZ78" s="165"/>
      <c r="QYA78" s="165"/>
      <c r="QYB78" s="165"/>
      <c r="QYC78" s="165"/>
      <c r="QYD78" s="165"/>
      <c r="QYE78" s="165"/>
      <c r="QYF78" s="165"/>
      <c r="QYG78" s="165"/>
      <c r="QYH78" s="165"/>
      <c r="QYI78" s="165"/>
      <c r="QYJ78" s="165"/>
      <c r="QYK78" s="165"/>
      <c r="QYL78" s="165"/>
      <c r="QYM78" s="165"/>
      <c r="QYN78" s="165"/>
      <c r="QYO78" s="165"/>
      <c r="QYP78" s="165"/>
      <c r="QYQ78" s="165"/>
      <c r="QYR78" s="165"/>
      <c r="QYS78" s="165"/>
      <c r="QYT78" s="165"/>
      <c r="QYU78" s="165"/>
      <c r="QYV78" s="165"/>
      <c r="QYW78" s="165"/>
      <c r="QYX78" s="165"/>
      <c r="QYY78" s="165"/>
      <c r="QYZ78" s="165"/>
      <c r="QZA78" s="165"/>
      <c r="QZB78" s="165"/>
      <c r="QZC78" s="165"/>
      <c r="QZD78" s="165"/>
      <c r="QZE78" s="165"/>
      <c r="QZF78" s="165"/>
      <c r="QZG78" s="165"/>
      <c r="QZH78" s="165"/>
      <c r="QZI78" s="165"/>
      <c r="QZJ78" s="165"/>
      <c r="QZK78" s="165"/>
      <c r="QZL78" s="165"/>
      <c r="QZM78" s="165"/>
      <c r="QZN78" s="165"/>
      <c r="QZO78" s="165"/>
      <c r="QZP78" s="165"/>
      <c r="QZQ78" s="165"/>
      <c r="QZR78" s="165"/>
      <c r="QZS78" s="165"/>
      <c r="QZT78" s="165"/>
      <c r="QZU78" s="165"/>
      <c r="QZV78" s="165"/>
      <c r="QZW78" s="165"/>
      <c r="QZX78" s="165"/>
      <c r="QZY78" s="165"/>
      <c r="QZZ78" s="165"/>
      <c r="RAA78" s="165"/>
      <c r="RAB78" s="165"/>
      <c r="RAC78" s="165"/>
      <c r="RAD78" s="165"/>
      <c r="RAE78" s="165"/>
      <c r="RAF78" s="165"/>
      <c r="RAG78" s="165"/>
      <c r="RAH78" s="165"/>
      <c r="RAI78" s="165"/>
      <c r="RAJ78" s="165"/>
      <c r="RAK78" s="165"/>
      <c r="RAL78" s="165"/>
      <c r="RAM78" s="165"/>
      <c r="RAN78" s="165"/>
      <c r="RAO78" s="165"/>
      <c r="RAP78" s="165"/>
      <c r="RAQ78" s="165"/>
      <c r="RAR78" s="165"/>
      <c r="RAS78" s="165"/>
      <c r="RAT78" s="165"/>
      <c r="RAU78" s="165"/>
      <c r="RAV78" s="165"/>
      <c r="RAW78" s="165"/>
      <c r="RAX78" s="165"/>
      <c r="RAY78" s="165"/>
      <c r="RAZ78" s="165"/>
      <c r="RBA78" s="165"/>
      <c r="RBB78" s="165"/>
      <c r="RBC78" s="165"/>
      <c r="RBD78" s="165"/>
      <c r="RBE78" s="165"/>
      <c r="RBF78" s="165"/>
      <c r="RBG78" s="165"/>
      <c r="RBH78" s="165"/>
      <c r="RBI78" s="165"/>
      <c r="RBJ78" s="165"/>
      <c r="RBK78" s="165"/>
      <c r="RBL78" s="165"/>
      <c r="RBM78" s="165"/>
      <c r="RBN78" s="165"/>
      <c r="RBO78" s="165"/>
      <c r="RBP78" s="165"/>
      <c r="RBQ78" s="165"/>
      <c r="RBR78" s="165"/>
      <c r="RBS78" s="165"/>
      <c r="RBT78" s="165"/>
      <c r="RBU78" s="165"/>
      <c r="RBV78" s="165"/>
      <c r="RBW78" s="165"/>
      <c r="RBX78" s="165"/>
      <c r="RBY78" s="165"/>
      <c r="RBZ78" s="165"/>
      <c r="RCA78" s="165"/>
      <c r="RCB78" s="165"/>
      <c r="RCC78" s="165"/>
      <c r="RCD78" s="165"/>
      <c r="RCE78" s="165"/>
      <c r="RCF78" s="165"/>
      <c r="RCG78" s="165"/>
      <c r="RCH78" s="165"/>
      <c r="RCI78" s="165"/>
      <c r="RCJ78" s="165"/>
      <c r="RCK78" s="165"/>
      <c r="RCL78" s="165"/>
      <c r="RCM78" s="165"/>
      <c r="RCN78" s="165"/>
      <c r="RCO78" s="165"/>
      <c r="RCP78" s="165"/>
      <c r="RCQ78" s="165"/>
      <c r="RCR78" s="165"/>
      <c r="RCS78" s="165"/>
      <c r="RCT78" s="165"/>
      <c r="RCU78" s="165"/>
      <c r="RCV78" s="165"/>
      <c r="RCW78" s="165"/>
      <c r="RCX78" s="165"/>
      <c r="RCY78" s="165"/>
      <c r="RCZ78" s="165"/>
      <c r="RDA78" s="165"/>
      <c r="RDB78" s="165"/>
      <c r="RDC78" s="165"/>
      <c r="RDD78" s="165"/>
      <c r="RDE78" s="165"/>
      <c r="RDF78" s="165"/>
      <c r="RDG78" s="165"/>
      <c r="RDH78" s="165"/>
      <c r="RDI78" s="165"/>
      <c r="RDJ78" s="165"/>
      <c r="RDK78" s="165"/>
      <c r="RDL78" s="165"/>
      <c r="RDM78" s="165"/>
      <c r="RDN78" s="165"/>
      <c r="RDO78" s="165"/>
      <c r="RDP78" s="165"/>
      <c r="RDQ78" s="165"/>
      <c r="RDR78" s="165"/>
      <c r="RDS78" s="165"/>
      <c r="RDT78" s="165"/>
      <c r="RDU78" s="165"/>
      <c r="RDV78" s="165"/>
      <c r="RDW78" s="165"/>
      <c r="RDX78" s="165"/>
      <c r="RDY78" s="165"/>
      <c r="RDZ78" s="165"/>
      <c r="REA78" s="165"/>
      <c r="REB78" s="165"/>
      <c r="REC78" s="165"/>
      <c r="RED78" s="165"/>
      <c r="REE78" s="165"/>
      <c r="REF78" s="165"/>
      <c r="REG78" s="165"/>
      <c r="REH78" s="165"/>
      <c r="REI78" s="165"/>
      <c r="REJ78" s="165"/>
      <c r="REK78" s="165"/>
      <c r="REL78" s="165"/>
      <c r="REM78" s="165"/>
      <c r="REN78" s="165"/>
      <c r="REO78" s="165"/>
      <c r="REP78" s="165"/>
      <c r="REQ78" s="165"/>
      <c r="RER78" s="165"/>
      <c r="RES78" s="165"/>
      <c r="RET78" s="165"/>
      <c r="REU78" s="165"/>
      <c r="REV78" s="165"/>
      <c r="REW78" s="165"/>
      <c r="REX78" s="165"/>
      <c r="REY78" s="165"/>
      <c r="REZ78" s="165"/>
      <c r="RFA78" s="165"/>
      <c r="RFB78" s="165"/>
      <c r="RFC78" s="165"/>
      <c r="RFD78" s="165"/>
      <c r="RFE78" s="165"/>
      <c r="RFF78" s="165"/>
      <c r="RFG78" s="165"/>
      <c r="RFH78" s="165"/>
      <c r="RFI78" s="165"/>
      <c r="RFJ78" s="165"/>
      <c r="RFK78" s="165"/>
      <c r="RFL78" s="165"/>
      <c r="RFM78" s="165"/>
      <c r="RFN78" s="165"/>
      <c r="RFO78" s="165"/>
      <c r="RFP78" s="165"/>
      <c r="RFQ78" s="165"/>
      <c r="RFR78" s="165"/>
      <c r="RFS78" s="165"/>
      <c r="RFT78" s="165"/>
      <c r="RFU78" s="165"/>
      <c r="RFV78" s="165"/>
      <c r="RFW78" s="165"/>
      <c r="RFX78" s="165"/>
      <c r="RFY78" s="165"/>
      <c r="RFZ78" s="165"/>
      <c r="RGA78" s="165"/>
      <c r="RGB78" s="165"/>
      <c r="RGC78" s="165"/>
      <c r="RGD78" s="165"/>
      <c r="RGE78" s="165"/>
      <c r="RGF78" s="165"/>
      <c r="RGG78" s="165"/>
      <c r="RGH78" s="165"/>
      <c r="RGI78" s="165"/>
      <c r="RGJ78" s="165"/>
      <c r="RGK78" s="165"/>
      <c r="RGL78" s="165"/>
      <c r="RGM78" s="165"/>
      <c r="RGN78" s="165"/>
      <c r="RGO78" s="165"/>
      <c r="RGP78" s="165"/>
      <c r="RGQ78" s="165"/>
      <c r="RGR78" s="165"/>
      <c r="RGS78" s="165"/>
      <c r="RGT78" s="165"/>
      <c r="RGU78" s="165"/>
      <c r="RGV78" s="165"/>
      <c r="RGW78" s="165"/>
      <c r="RGX78" s="165"/>
      <c r="RGY78" s="165"/>
      <c r="RGZ78" s="165"/>
      <c r="RHA78" s="165"/>
      <c r="RHB78" s="165"/>
      <c r="RHC78" s="165"/>
      <c r="RHD78" s="165"/>
      <c r="RHE78" s="165"/>
      <c r="RHF78" s="165"/>
      <c r="RHG78" s="165"/>
      <c r="RHH78" s="165"/>
      <c r="RHI78" s="165"/>
      <c r="RHJ78" s="165"/>
      <c r="RHK78" s="165"/>
      <c r="RHL78" s="165"/>
      <c r="RHM78" s="165"/>
      <c r="RHN78" s="165"/>
      <c r="RHO78" s="165"/>
      <c r="RHP78" s="165"/>
      <c r="RHQ78" s="165"/>
      <c r="RHR78" s="165"/>
      <c r="RHS78" s="165"/>
      <c r="RHT78" s="165"/>
      <c r="RHU78" s="165"/>
      <c r="RHV78" s="165"/>
      <c r="RHW78" s="165"/>
      <c r="RHX78" s="165"/>
      <c r="RHY78" s="165"/>
      <c r="RHZ78" s="165"/>
      <c r="RIA78" s="165"/>
      <c r="RIB78" s="165"/>
      <c r="RIC78" s="165"/>
      <c r="RID78" s="165"/>
      <c r="RIE78" s="165"/>
      <c r="RIF78" s="165"/>
      <c r="RIG78" s="165"/>
      <c r="RIH78" s="165"/>
      <c r="RII78" s="165"/>
      <c r="RIJ78" s="165"/>
      <c r="RIK78" s="165"/>
      <c r="RIL78" s="165"/>
      <c r="RIM78" s="165"/>
      <c r="RIN78" s="165"/>
      <c r="RIO78" s="165"/>
      <c r="RIP78" s="165"/>
      <c r="RIQ78" s="165"/>
      <c r="RIR78" s="165"/>
      <c r="RIS78" s="165"/>
      <c r="RIT78" s="165"/>
      <c r="RIU78" s="165"/>
      <c r="RIV78" s="165"/>
      <c r="RIW78" s="165"/>
      <c r="RIX78" s="165"/>
      <c r="RIY78" s="165"/>
      <c r="RIZ78" s="165"/>
      <c r="RJA78" s="165"/>
      <c r="RJB78" s="165"/>
      <c r="RJC78" s="165"/>
      <c r="RJD78" s="165"/>
      <c r="RJE78" s="165"/>
      <c r="RJF78" s="165"/>
      <c r="RJG78" s="165"/>
      <c r="RJH78" s="165"/>
      <c r="RJI78" s="165"/>
      <c r="RJJ78" s="165"/>
      <c r="RJK78" s="165"/>
      <c r="RJL78" s="165"/>
      <c r="RJM78" s="165"/>
      <c r="RJN78" s="165"/>
      <c r="RJO78" s="165"/>
      <c r="RJP78" s="165"/>
      <c r="RJQ78" s="165"/>
      <c r="RJR78" s="165"/>
      <c r="RJS78" s="165"/>
      <c r="RJT78" s="165"/>
      <c r="RJU78" s="165"/>
      <c r="RJV78" s="165"/>
      <c r="RJW78" s="165"/>
      <c r="RJX78" s="165"/>
      <c r="RJY78" s="165"/>
      <c r="RJZ78" s="165"/>
      <c r="RKA78" s="165"/>
      <c r="RKB78" s="165"/>
      <c r="RKC78" s="165"/>
      <c r="RKD78" s="165"/>
      <c r="RKE78" s="165"/>
      <c r="RKF78" s="165"/>
      <c r="RKG78" s="165"/>
      <c r="RKH78" s="165"/>
      <c r="RKI78" s="165"/>
      <c r="RKJ78" s="165"/>
      <c r="RKK78" s="165"/>
      <c r="RKL78" s="165"/>
      <c r="RKM78" s="165"/>
      <c r="RKN78" s="165"/>
      <c r="RKO78" s="165"/>
      <c r="RKP78" s="165"/>
      <c r="RKQ78" s="165"/>
      <c r="RKR78" s="165"/>
      <c r="RKS78" s="165"/>
      <c r="RKT78" s="165"/>
      <c r="RKU78" s="165"/>
      <c r="RKV78" s="165"/>
      <c r="RKW78" s="165"/>
      <c r="RKX78" s="165"/>
      <c r="RKY78" s="165"/>
      <c r="RKZ78" s="165"/>
      <c r="RLA78" s="165"/>
      <c r="RLB78" s="165"/>
      <c r="RLC78" s="165"/>
      <c r="RLD78" s="165"/>
      <c r="RLE78" s="165"/>
      <c r="RLF78" s="165"/>
      <c r="RLG78" s="165"/>
      <c r="RLH78" s="165"/>
      <c r="RLI78" s="165"/>
      <c r="RLJ78" s="165"/>
      <c r="RLK78" s="165"/>
      <c r="RLL78" s="165"/>
      <c r="RLM78" s="165"/>
      <c r="RLN78" s="165"/>
      <c r="RLO78" s="165"/>
      <c r="RLP78" s="165"/>
      <c r="RLQ78" s="165"/>
      <c r="RLR78" s="165"/>
      <c r="RLS78" s="165"/>
      <c r="RLT78" s="165"/>
      <c r="RLU78" s="165"/>
      <c r="RLV78" s="165"/>
      <c r="RLW78" s="165"/>
      <c r="RLX78" s="165"/>
      <c r="RLY78" s="165"/>
      <c r="RLZ78" s="165"/>
      <c r="RMA78" s="165"/>
      <c r="RMB78" s="165"/>
      <c r="RMC78" s="165"/>
      <c r="RMD78" s="165"/>
      <c r="RME78" s="165"/>
      <c r="RMF78" s="165"/>
      <c r="RMG78" s="165"/>
      <c r="RMH78" s="165"/>
      <c r="RMI78" s="165"/>
      <c r="RMJ78" s="165"/>
      <c r="RMK78" s="165"/>
      <c r="RML78" s="165"/>
      <c r="RMM78" s="165"/>
      <c r="RMN78" s="165"/>
      <c r="RMO78" s="165"/>
      <c r="RMP78" s="165"/>
      <c r="RMQ78" s="165"/>
      <c r="RMR78" s="165"/>
      <c r="RMS78" s="165"/>
      <c r="RMT78" s="165"/>
      <c r="RMU78" s="165"/>
      <c r="RMV78" s="165"/>
      <c r="RMW78" s="165"/>
      <c r="RMX78" s="165"/>
      <c r="RMY78" s="165"/>
      <c r="RMZ78" s="165"/>
      <c r="RNA78" s="165"/>
      <c r="RNB78" s="165"/>
      <c r="RNC78" s="165"/>
      <c r="RND78" s="165"/>
      <c r="RNE78" s="165"/>
      <c r="RNF78" s="165"/>
      <c r="RNG78" s="165"/>
      <c r="RNH78" s="165"/>
      <c r="RNI78" s="165"/>
      <c r="RNJ78" s="165"/>
      <c r="RNK78" s="165"/>
      <c r="RNL78" s="165"/>
      <c r="RNM78" s="165"/>
      <c r="RNN78" s="165"/>
      <c r="RNO78" s="165"/>
      <c r="RNP78" s="165"/>
      <c r="RNQ78" s="165"/>
      <c r="RNR78" s="165"/>
      <c r="RNS78" s="165"/>
      <c r="RNT78" s="165"/>
      <c r="RNU78" s="165"/>
      <c r="RNV78" s="165"/>
      <c r="RNW78" s="165"/>
      <c r="RNX78" s="165"/>
      <c r="RNY78" s="165"/>
      <c r="RNZ78" s="165"/>
      <c r="ROA78" s="165"/>
      <c r="ROB78" s="165"/>
      <c r="ROC78" s="165"/>
      <c r="ROD78" s="165"/>
      <c r="ROE78" s="165"/>
      <c r="ROF78" s="165"/>
      <c r="ROG78" s="165"/>
      <c r="ROH78" s="165"/>
      <c r="ROI78" s="165"/>
      <c r="ROJ78" s="165"/>
      <c r="ROK78" s="165"/>
      <c r="ROL78" s="165"/>
      <c r="ROM78" s="165"/>
      <c r="RON78" s="165"/>
      <c r="ROO78" s="165"/>
      <c r="ROP78" s="165"/>
      <c r="ROQ78" s="165"/>
      <c r="ROR78" s="165"/>
      <c r="ROS78" s="165"/>
      <c r="ROT78" s="165"/>
      <c r="ROU78" s="165"/>
      <c r="ROV78" s="165"/>
      <c r="ROW78" s="165"/>
      <c r="ROX78" s="165"/>
      <c r="ROY78" s="165"/>
      <c r="ROZ78" s="165"/>
      <c r="RPA78" s="165"/>
      <c r="RPB78" s="165"/>
      <c r="RPC78" s="165"/>
      <c r="RPD78" s="165"/>
      <c r="RPE78" s="165"/>
      <c r="RPF78" s="165"/>
      <c r="RPG78" s="165"/>
      <c r="RPH78" s="165"/>
      <c r="RPI78" s="165"/>
      <c r="RPJ78" s="165"/>
      <c r="RPK78" s="165"/>
      <c r="RPL78" s="165"/>
      <c r="RPM78" s="165"/>
      <c r="RPN78" s="165"/>
      <c r="RPO78" s="165"/>
      <c r="RPP78" s="165"/>
      <c r="RPQ78" s="165"/>
      <c r="RPR78" s="165"/>
      <c r="RPS78" s="165"/>
      <c r="RPT78" s="165"/>
      <c r="RPU78" s="165"/>
      <c r="RPV78" s="165"/>
      <c r="RPW78" s="165"/>
      <c r="RPX78" s="165"/>
      <c r="RPY78" s="165"/>
      <c r="RPZ78" s="165"/>
      <c r="RQA78" s="165"/>
      <c r="RQB78" s="165"/>
      <c r="RQC78" s="165"/>
      <c r="RQD78" s="165"/>
      <c r="RQE78" s="165"/>
      <c r="RQF78" s="165"/>
      <c r="RQG78" s="165"/>
      <c r="RQH78" s="165"/>
      <c r="RQI78" s="165"/>
      <c r="RQJ78" s="165"/>
      <c r="RQK78" s="165"/>
      <c r="RQL78" s="165"/>
      <c r="RQM78" s="165"/>
      <c r="RQN78" s="165"/>
      <c r="RQO78" s="165"/>
      <c r="RQP78" s="165"/>
      <c r="RQQ78" s="165"/>
      <c r="RQR78" s="165"/>
      <c r="RQS78" s="165"/>
      <c r="RQT78" s="165"/>
      <c r="RQU78" s="165"/>
      <c r="RQV78" s="165"/>
      <c r="RQW78" s="165"/>
      <c r="RQX78" s="165"/>
      <c r="RQY78" s="165"/>
      <c r="RQZ78" s="165"/>
      <c r="RRA78" s="165"/>
      <c r="RRB78" s="165"/>
      <c r="RRC78" s="165"/>
      <c r="RRD78" s="165"/>
      <c r="RRE78" s="165"/>
      <c r="RRF78" s="165"/>
      <c r="RRG78" s="165"/>
      <c r="RRH78" s="165"/>
      <c r="RRI78" s="165"/>
      <c r="RRJ78" s="165"/>
      <c r="RRK78" s="165"/>
      <c r="RRL78" s="165"/>
      <c r="RRM78" s="165"/>
      <c r="RRN78" s="165"/>
      <c r="RRO78" s="165"/>
      <c r="RRP78" s="165"/>
      <c r="RRQ78" s="165"/>
      <c r="RRR78" s="165"/>
      <c r="RRS78" s="165"/>
      <c r="RRT78" s="165"/>
      <c r="RRU78" s="165"/>
      <c r="RRV78" s="165"/>
      <c r="RRW78" s="165"/>
      <c r="RRX78" s="165"/>
      <c r="RRY78" s="165"/>
      <c r="RRZ78" s="165"/>
      <c r="RSA78" s="165"/>
      <c r="RSB78" s="165"/>
      <c r="RSC78" s="165"/>
      <c r="RSD78" s="165"/>
      <c r="RSE78" s="165"/>
      <c r="RSF78" s="165"/>
      <c r="RSG78" s="165"/>
      <c r="RSH78" s="165"/>
      <c r="RSI78" s="165"/>
      <c r="RSJ78" s="165"/>
      <c r="RSK78" s="165"/>
      <c r="RSL78" s="165"/>
      <c r="RSM78" s="165"/>
      <c r="RSN78" s="165"/>
      <c r="RSO78" s="165"/>
      <c r="RSP78" s="165"/>
      <c r="RSQ78" s="165"/>
      <c r="RSR78" s="165"/>
      <c r="RSS78" s="165"/>
      <c r="RST78" s="165"/>
      <c r="RSU78" s="165"/>
      <c r="RSV78" s="165"/>
      <c r="RSW78" s="165"/>
      <c r="RSX78" s="165"/>
      <c r="RSY78" s="165"/>
      <c r="RSZ78" s="165"/>
      <c r="RTA78" s="165"/>
      <c r="RTB78" s="165"/>
      <c r="RTC78" s="165"/>
      <c r="RTD78" s="165"/>
      <c r="RTE78" s="165"/>
      <c r="RTF78" s="165"/>
      <c r="RTG78" s="165"/>
      <c r="RTH78" s="165"/>
      <c r="RTI78" s="165"/>
      <c r="RTJ78" s="165"/>
      <c r="RTK78" s="165"/>
      <c r="RTL78" s="165"/>
      <c r="RTM78" s="165"/>
      <c r="RTN78" s="165"/>
      <c r="RTO78" s="165"/>
      <c r="RTP78" s="165"/>
      <c r="RTQ78" s="165"/>
      <c r="RTR78" s="165"/>
      <c r="RTS78" s="165"/>
      <c r="RTT78" s="165"/>
      <c r="RTU78" s="165"/>
      <c r="RTV78" s="165"/>
      <c r="RTW78" s="165"/>
      <c r="RTX78" s="165"/>
      <c r="RTY78" s="165"/>
      <c r="RTZ78" s="165"/>
      <c r="RUA78" s="165"/>
      <c r="RUB78" s="165"/>
      <c r="RUC78" s="165"/>
      <c r="RUD78" s="165"/>
      <c r="RUE78" s="165"/>
      <c r="RUF78" s="165"/>
      <c r="RUG78" s="165"/>
      <c r="RUH78" s="165"/>
      <c r="RUI78" s="165"/>
      <c r="RUJ78" s="165"/>
      <c r="RUK78" s="165"/>
      <c r="RUL78" s="165"/>
      <c r="RUM78" s="165"/>
      <c r="RUN78" s="165"/>
      <c r="RUO78" s="165"/>
      <c r="RUP78" s="165"/>
      <c r="RUQ78" s="165"/>
      <c r="RUR78" s="165"/>
      <c r="RUS78" s="165"/>
      <c r="RUT78" s="165"/>
      <c r="RUU78" s="165"/>
      <c r="RUV78" s="165"/>
      <c r="RUW78" s="165"/>
      <c r="RUX78" s="165"/>
      <c r="RUY78" s="165"/>
      <c r="RUZ78" s="165"/>
      <c r="RVA78" s="165"/>
      <c r="RVB78" s="165"/>
      <c r="RVC78" s="165"/>
      <c r="RVD78" s="165"/>
      <c r="RVE78" s="165"/>
      <c r="RVF78" s="165"/>
      <c r="RVG78" s="165"/>
      <c r="RVH78" s="165"/>
      <c r="RVI78" s="165"/>
      <c r="RVJ78" s="165"/>
      <c r="RVK78" s="165"/>
      <c r="RVL78" s="165"/>
      <c r="RVM78" s="165"/>
      <c r="RVN78" s="165"/>
      <c r="RVO78" s="165"/>
      <c r="RVP78" s="165"/>
      <c r="RVQ78" s="165"/>
      <c r="RVR78" s="165"/>
      <c r="RVS78" s="165"/>
      <c r="RVT78" s="165"/>
      <c r="RVU78" s="165"/>
      <c r="RVV78" s="165"/>
      <c r="RVW78" s="165"/>
      <c r="RVX78" s="165"/>
      <c r="RVY78" s="165"/>
      <c r="RVZ78" s="165"/>
      <c r="RWA78" s="165"/>
      <c r="RWB78" s="165"/>
      <c r="RWC78" s="165"/>
      <c r="RWD78" s="165"/>
      <c r="RWE78" s="165"/>
      <c r="RWF78" s="165"/>
      <c r="RWG78" s="165"/>
      <c r="RWH78" s="165"/>
      <c r="RWI78" s="165"/>
      <c r="RWJ78" s="165"/>
      <c r="RWK78" s="165"/>
      <c r="RWL78" s="165"/>
      <c r="RWM78" s="165"/>
      <c r="RWN78" s="165"/>
      <c r="RWO78" s="165"/>
      <c r="RWP78" s="165"/>
      <c r="RWQ78" s="165"/>
      <c r="RWR78" s="165"/>
      <c r="RWS78" s="165"/>
      <c r="RWT78" s="165"/>
      <c r="RWU78" s="165"/>
      <c r="RWV78" s="165"/>
      <c r="RWW78" s="165"/>
      <c r="RWX78" s="165"/>
      <c r="RWY78" s="165"/>
      <c r="RWZ78" s="165"/>
      <c r="RXA78" s="165"/>
      <c r="RXB78" s="165"/>
      <c r="RXC78" s="165"/>
      <c r="RXD78" s="165"/>
      <c r="RXE78" s="165"/>
      <c r="RXF78" s="165"/>
      <c r="RXG78" s="165"/>
      <c r="RXH78" s="165"/>
      <c r="RXI78" s="165"/>
      <c r="RXJ78" s="165"/>
      <c r="RXK78" s="165"/>
      <c r="RXL78" s="165"/>
      <c r="RXM78" s="165"/>
      <c r="RXN78" s="165"/>
      <c r="RXO78" s="165"/>
      <c r="RXP78" s="165"/>
      <c r="RXQ78" s="165"/>
      <c r="RXR78" s="165"/>
      <c r="RXS78" s="165"/>
      <c r="RXT78" s="165"/>
      <c r="RXU78" s="165"/>
      <c r="RXV78" s="165"/>
      <c r="RXW78" s="165"/>
      <c r="RXX78" s="165"/>
      <c r="RXY78" s="165"/>
      <c r="RXZ78" s="165"/>
      <c r="RYA78" s="165"/>
      <c r="RYB78" s="165"/>
      <c r="RYC78" s="165"/>
      <c r="RYD78" s="165"/>
      <c r="RYE78" s="165"/>
      <c r="RYF78" s="165"/>
      <c r="RYG78" s="165"/>
      <c r="RYH78" s="165"/>
      <c r="RYI78" s="165"/>
      <c r="RYJ78" s="165"/>
      <c r="RYK78" s="165"/>
      <c r="RYL78" s="165"/>
      <c r="RYM78" s="165"/>
      <c r="RYN78" s="165"/>
      <c r="RYO78" s="165"/>
      <c r="RYP78" s="165"/>
      <c r="RYQ78" s="165"/>
      <c r="RYR78" s="165"/>
      <c r="RYS78" s="165"/>
      <c r="RYT78" s="165"/>
      <c r="RYU78" s="165"/>
      <c r="RYV78" s="165"/>
      <c r="RYW78" s="165"/>
      <c r="RYX78" s="165"/>
      <c r="RYY78" s="165"/>
      <c r="RYZ78" s="165"/>
      <c r="RZA78" s="165"/>
      <c r="RZB78" s="165"/>
      <c r="RZC78" s="165"/>
      <c r="RZD78" s="165"/>
      <c r="RZE78" s="165"/>
      <c r="RZF78" s="165"/>
      <c r="RZG78" s="165"/>
      <c r="RZH78" s="165"/>
      <c r="RZI78" s="165"/>
      <c r="RZJ78" s="165"/>
      <c r="RZK78" s="165"/>
      <c r="RZL78" s="165"/>
      <c r="RZM78" s="165"/>
      <c r="RZN78" s="165"/>
      <c r="RZO78" s="165"/>
      <c r="RZP78" s="165"/>
      <c r="RZQ78" s="165"/>
      <c r="RZR78" s="165"/>
      <c r="RZS78" s="165"/>
      <c r="RZT78" s="165"/>
      <c r="RZU78" s="165"/>
      <c r="RZV78" s="165"/>
      <c r="RZW78" s="165"/>
      <c r="RZX78" s="165"/>
      <c r="RZY78" s="165"/>
      <c r="RZZ78" s="165"/>
      <c r="SAA78" s="165"/>
      <c r="SAB78" s="165"/>
      <c r="SAC78" s="165"/>
      <c r="SAD78" s="165"/>
      <c r="SAE78" s="165"/>
      <c r="SAF78" s="165"/>
      <c r="SAG78" s="165"/>
      <c r="SAH78" s="165"/>
      <c r="SAI78" s="165"/>
      <c r="SAJ78" s="165"/>
      <c r="SAK78" s="165"/>
      <c r="SAL78" s="165"/>
      <c r="SAM78" s="165"/>
      <c r="SAN78" s="165"/>
      <c r="SAO78" s="165"/>
      <c r="SAP78" s="165"/>
      <c r="SAQ78" s="165"/>
      <c r="SAR78" s="165"/>
      <c r="SAS78" s="165"/>
      <c r="SAT78" s="165"/>
      <c r="SAU78" s="165"/>
      <c r="SAV78" s="165"/>
      <c r="SAW78" s="165"/>
      <c r="SAX78" s="165"/>
      <c r="SAY78" s="165"/>
      <c r="SAZ78" s="165"/>
      <c r="SBA78" s="165"/>
      <c r="SBB78" s="165"/>
      <c r="SBC78" s="165"/>
      <c r="SBD78" s="165"/>
      <c r="SBE78" s="165"/>
      <c r="SBF78" s="165"/>
      <c r="SBG78" s="165"/>
      <c r="SBH78" s="165"/>
      <c r="SBI78" s="165"/>
      <c r="SBJ78" s="165"/>
      <c r="SBK78" s="165"/>
      <c r="SBL78" s="165"/>
      <c r="SBM78" s="165"/>
      <c r="SBN78" s="165"/>
      <c r="SBO78" s="165"/>
      <c r="SBP78" s="165"/>
      <c r="SBQ78" s="165"/>
      <c r="SBR78" s="165"/>
      <c r="SBS78" s="165"/>
      <c r="SBT78" s="165"/>
      <c r="SBU78" s="165"/>
      <c r="SBV78" s="165"/>
      <c r="SBW78" s="165"/>
      <c r="SBX78" s="165"/>
      <c r="SBY78" s="165"/>
      <c r="SBZ78" s="165"/>
      <c r="SCA78" s="165"/>
      <c r="SCB78" s="165"/>
      <c r="SCC78" s="165"/>
      <c r="SCD78" s="165"/>
      <c r="SCE78" s="165"/>
      <c r="SCF78" s="165"/>
      <c r="SCG78" s="165"/>
      <c r="SCH78" s="165"/>
      <c r="SCI78" s="165"/>
      <c r="SCJ78" s="165"/>
      <c r="SCK78" s="165"/>
      <c r="SCL78" s="165"/>
      <c r="SCM78" s="165"/>
      <c r="SCN78" s="165"/>
      <c r="SCO78" s="165"/>
      <c r="SCP78" s="165"/>
      <c r="SCQ78" s="165"/>
      <c r="SCR78" s="165"/>
      <c r="SCS78" s="165"/>
      <c r="SCT78" s="165"/>
      <c r="SCU78" s="165"/>
      <c r="SCV78" s="165"/>
      <c r="SCW78" s="165"/>
      <c r="SCX78" s="165"/>
      <c r="SCY78" s="165"/>
      <c r="SCZ78" s="165"/>
      <c r="SDA78" s="165"/>
      <c r="SDB78" s="165"/>
      <c r="SDC78" s="165"/>
      <c r="SDD78" s="165"/>
      <c r="SDE78" s="165"/>
      <c r="SDF78" s="165"/>
      <c r="SDG78" s="165"/>
      <c r="SDH78" s="165"/>
      <c r="SDI78" s="165"/>
      <c r="SDJ78" s="165"/>
      <c r="SDK78" s="165"/>
      <c r="SDL78" s="165"/>
      <c r="SDM78" s="165"/>
      <c r="SDN78" s="165"/>
      <c r="SDO78" s="165"/>
      <c r="SDP78" s="165"/>
      <c r="SDQ78" s="165"/>
      <c r="SDR78" s="165"/>
      <c r="SDS78" s="165"/>
      <c r="SDT78" s="165"/>
      <c r="SDU78" s="165"/>
      <c r="SDV78" s="165"/>
      <c r="SDW78" s="165"/>
      <c r="SDX78" s="165"/>
      <c r="SDY78" s="165"/>
      <c r="SDZ78" s="165"/>
      <c r="SEA78" s="165"/>
      <c r="SEB78" s="165"/>
      <c r="SEC78" s="165"/>
      <c r="SED78" s="165"/>
      <c r="SEE78" s="165"/>
      <c r="SEF78" s="165"/>
      <c r="SEG78" s="165"/>
      <c r="SEH78" s="165"/>
      <c r="SEI78" s="165"/>
      <c r="SEJ78" s="165"/>
      <c r="SEK78" s="165"/>
      <c r="SEL78" s="165"/>
      <c r="SEM78" s="165"/>
      <c r="SEN78" s="165"/>
      <c r="SEO78" s="165"/>
      <c r="SEP78" s="165"/>
      <c r="SEQ78" s="165"/>
      <c r="SER78" s="165"/>
      <c r="SES78" s="165"/>
      <c r="SET78" s="165"/>
      <c r="SEU78" s="165"/>
      <c r="SEV78" s="165"/>
      <c r="SEW78" s="165"/>
      <c r="SEX78" s="165"/>
      <c r="SEY78" s="165"/>
      <c r="SEZ78" s="165"/>
      <c r="SFA78" s="165"/>
      <c r="SFB78" s="165"/>
      <c r="SFC78" s="165"/>
      <c r="SFD78" s="165"/>
      <c r="SFE78" s="165"/>
      <c r="SFF78" s="165"/>
      <c r="SFG78" s="165"/>
      <c r="SFH78" s="165"/>
      <c r="SFI78" s="165"/>
      <c r="SFJ78" s="165"/>
      <c r="SFK78" s="165"/>
      <c r="SFL78" s="165"/>
      <c r="SFM78" s="165"/>
      <c r="SFN78" s="165"/>
      <c r="SFO78" s="165"/>
      <c r="SFP78" s="165"/>
      <c r="SFQ78" s="165"/>
      <c r="SFR78" s="165"/>
      <c r="SFS78" s="165"/>
      <c r="SFT78" s="165"/>
      <c r="SFU78" s="165"/>
      <c r="SFV78" s="165"/>
      <c r="SFW78" s="165"/>
      <c r="SFX78" s="165"/>
      <c r="SFY78" s="165"/>
      <c r="SFZ78" s="165"/>
      <c r="SGA78" s="165"/>
      <c r="SGB78" s="165"/>
      <c r="SGC78" s="165"/>
      <c r="SGD78" s="165"/>
      <c r="SGE78" s="165"/>
      <c r="SGF78" s="165"/>
      <c r="SGG78" s="165"/>
      <c r="SGH78" s="165"/>
      <c r="SGI78" s="165"/>
      <c r="SGJ78" s="165"/>
      <c r="SGK78" s="165"/>
      <c r="SGL78" s="165"/>
      <c r="SGM78" s="165"/>
      <c r="SGN78" s="165"/>
      <c r="SGO78" s="165"/>
      <c r="SGP78" s="165"/>
      <c r="SGQ78" s="165"/>
      <c r="SGR78" s="165"/>
      <c r="SGS78" s="165"/>
      <c r="SGT78" s="165"/>
      <c r="SGU78" s="165"/>
      <c r="SGV78" s="165"/>
      <c r="SGW78" s="165"/>
      <c r="SGX78" s="165"/>
      <c r="SGY78" s="165"/>
      <c r="SGZ78" s="165"/>
      <c r="SHA78" s="165"/>
      <c r="SHB78" s="165"/>
      <c r="SHC78" s="165"/>
      <c r="SHD78" s="165"/>
      <c r="SHE78" s="165"/>
      <c r="SHF78" s="165"/>
      <c r="SHG78" s="165"/>
      <c r="SHH78" s="165"/>
      <c r="SHI78" s="165"/>
      <c r="SHJ78" s="165"/>
      <c r="SHK78" s="165"/>
      <c r="SHL78" s="165"/>
      <c r="SHM78" s="165"/>
      <c r="SHN78" s="165"/>
      <c r="SHO78" s="165"/>
      <c r="SHP78" s="165"/>
      <c r="SHQ78" s="165"/>
      <c r="SHR78" s="165"/>
      <c r="SHS78" s="165"/>
      <c r="SHT78" s="165"/>
      <c r="SHU78" s="165"/>
      <c r="SHV78" s="165"/>
      <c r="SHW78" s="165"/>
      <c r="SHX78" s="165"/>
      <c r="SHY78" s="165"/>
      <c r="SHZ78" s="165"/>
      <c r="SIA78" s="165"/>
      <c r="SIB78" s="165"/>
      <c r="SIC78" s="165"/>
      <c r="SID78" s="165"/>
      <c r="SIE78" s="165"/>
      <c r="SIF78" s="165"/>
      <c r="SIG78" s="165"/>
      <c r="SIH78" s="165"/>
      <c r="SII78" s="165"/>
      <c r="SIJ78" s="165"/>
      <c r="SIK78" s="165"/>
      <c r="SIL78" s="165"/>
      <c r="SIM78" s="165"/>
      <c r="SIN78" s="165"/>
      <c r="SIO78" s="165"/>
      <c r="SIP78" s="165"/>
      <c r="SIQ78" s="165"/>
      <c r="SIR78" s="165"/>
      <c r="SIS78" s="165"/>
      <c r="SIT78" s="165"/>
      <c r="SIU78" s="165"/>
      <c r="SIV78" s="165"/>
      <c r="SIW78" s="165"/>
      <c r="SIX78" s="165"/>
      <c r="SIY78" s="165"/>
      <c r="SIZ78" s="165"/>
      <c r="SJA78" s="165"/>
      <c r="SJB78" s="165"/>
      <c r="SJC78" s="165"/>
      <c r="SJD78" s="165"/>
      <c r="SJE78" s="165"/>
      <c r="SJF78" s="165"/>
      <c r="SJG78" s="165"/>
      <c r="SJH78" s="165"/>
      <c r="SJI78" s="165"/>
      <c r="SJJ78" s="165"/>
      <c r="SJK78" s="165"/>
      <c r="SJL78" s="165"/>
      <c r="SJM78" s="165"/>
      <c r="SJN78" s="165"/>
      <c r="SJO78" s="165"/>
      <c r="SJP78" s="165"/>
      <c r="SJQ78" s="165"/>
      <c r="SJR78" s="165"/>
      <c r="SJS78" s="165"/>
      <c r="SJT78" s="165"/>
      <c r="SJU78" s="165"/>
      <c r="SJV78" s="165"/>
      <c r="SJW78" s="165"/>
      <c r="SJX78" s="165"/>
      <c r="SJY78" s="165"/>
      <c r="SJZ78" s="165"/>
      <c r="SKA78" s="165"/>
      <c r="SKB78" s="165"/>
      <c r="SKC78" s="165"/>
      <c r="SKD78" s="165"/>
      <c r="SKE78" s="165"/>
      <c r="SKF78" s="165"/>
      <c r="SKG78" s="165"/>
      <c r="SKH78" s="165"/>
      <c r="SKI78" s="165"/>
      <c r="SKJ78" s="165"/>
      <c r="SKK78" s="165"/>
      <c r="SKL78" s="165"/>
      <c r="SKM78" s="165"/>
      <c r="SKN78" s="165"/>
      <c r="SKO78" s="165"/>
      <c r="SKP78" s="165"/>
      <c r="SKQ78" s="165"/>
      <c r="SKR78" s="165"/>
      <c r="SKS78" s="165"/>
      <c r="SKT78" s="165"/>
      <c r="SKU78" s="165"/>
      <c r="SKV78" s="165"/>
      <c r="SKW78" s="165"/>
      <c r="SKX78" s="165"/>
      <c r="SKY78" s="165"/>
      <c r="SKZ78" s="165"/>
      <c r="SLA78" s="165"/>
      <c r="SLB78" s="165"/>
      <c r="SLC78" s="165"/>
      <c r="SLD78" s="165"/>
      <c r="SLE78" s="165"/>
      <c r="SLF78" s="165"/>
      <c r="SLG78" s="165"/>
      <c r="SLH78" s="165"/>
      <c r="SLI78" s="165"/>
      <c r="SLJ78" s="165"/>
      <c r="SLK78" s="165"/>
      <c r="SLL78" s="165"/>
      <c r="SLM78" s="165"/>
      <c r="SLN78" s="165"/>
      <c r="SLO78" s="165"/>
      <c r="SLP78" s="165"/>
      <c r="SLQ78" s="165"/>
      <c r="SLR78" s="165"/>
      <c r="SLS78" s="165"/>
      <c r="SLT78" s="165"/>
      <c r="SLU78" s="165"/>
      <c r="SLV78" s="165"/>
      <c r="SLW78" s="165"/>
      <c r="SLX78" s="165"/>
      <c r="SLY78" s="165"/>
      <c r="SLZ78" s="165"/>
      <c r="SMA78" s="165"/>
      <c r="SMB78" s="165"/>
      <c r="SMC78" s="165"/>
      <c r="SMD78" s="165"/>
      <c r="SME78" s="165"/>
      <c r="SMF78" s="165"/>
      <c r="SMG78" s="165"/>
      <c r="SMH78" s="165"/>
      <c r="SMI78" s="165"/>
      <c r="SMJ78" s="165"/>
      <c r="SMK78" s="165"/>
      <c r="SML78" s="165"/>
      <c r="SMM78" s="165"/>
      <c r="SMN78" s="165"/>
      <c r="SMO78" s="165"/>
      <c r="SMP78" s="165"/>
      <c r="SMQ78" s="165"/>
      <c r="SMR78" s="165"/>
      <c r="SMS78" s="165"/>
      <c r="SMT78" s="165"/>
      <c r="SMU78" s="165"/>
      <c r="SMV78" s="165"/>
      <c r="SMW78" s="165"/>
      <c r="SMX78" s="165"/>
      <c r="SMY78" s="165"/>
      <c r="SMZ78" s="165"/>
      <c r="SNA78" s="165"/>
      <c r="SNB78" s="165"/>
      <c r="SNC78" s="165"/>
      <c r="SND78" s="165"/>
      <c r="SNE78" s="165"/>
      <c r="SNF78" s="165"/>
      <c r="SNG78" s="165"/>
      <c r="SNH78" s="165"/>
      <c r="SNI78" s="165"/>
      <c r="SNJ78" s="165"/>
      <c r="SNK78" s="165"/>
      <c r="SNL78" s="165"/>
      <c r="SNM78" s="165"/>
      <c r="SNN78" s="165"/>
      <c r="SNO78" s="165"/>
      <c r="SNP78" s="165"/>
      <c r="SNQ78" s="165"/>
      <c r="SNR78" s="165"/>
      <c r="SNS78" s="165"/>
      <c r="SNT78" s="165"/>
      <c r="SNU78" s="165"/>
      <c r="SNV78" s="165"/>
      <c r="SNW78" s="165"/>
      <c r="SNX78" s="165"/>
      <c r="SNY78" s="165"/>
      <c r="SNZ78" s="165"/>
      <c r="SOA78" s="165"/>
      <c r="SOB78" s="165"/>
      <c r="SOC78" s="165"/>
      <c r="SOD78" s="165"/>
      <c r="SOE78" s="165"/>
      <c r="SOF78" s="165"/>
      <c r="SOG78" s="165"/>
      <c r="SOH78" s="165"/>
      <c r="SOI78" s="165"/>
      <c r="SOJ78" s="165"/>
      <c r="SOK78" s="165"/>
      <c r="SOL78" s="165"/>
      <c r="SOM78" s="165"/>
      <c r="SON78" s="165"/>
      <c r="SOO78" s="165"/>
      <c r="SOP78" s="165"/>
      <c r="SOQ78" s="165"/>
      <c r="SOR78" s="165"/>
      <c r="SOS78" s="165"/>
      <c r="SOT78" s="165"/>
      <c r="SOU78" s="165"/>
      <c r="SOV78" s="165"/>
      <c r="SOW78" s="165"/>
      <c r="SOX78" s="165"/>
      <c r="SOY78" s="165"/>
      <c r="SOZ78" s="165"/>
      <c r="SPA78" s="165"/>
      <c r="SPB78" s="165"/>
      <c r="SPC78" s="165"/>
      <c r="SPD78" s="165"/>
      <c r="SPE78" s="165"/>
      <c r="SPF78" s="165"/>
      <c r="SPG78" s="165"/>
      <c r="SPH78" s="165"/>
      <c r="SPI78" s="165"/>
      <c r="SPJ78" s="165"/>
      <c r="SPK78" s="165"/>
      <c r="SPL78" s="165"/>
      <c r="SPM78" s="165"/>
      <c r="SPN78" s="165"/>
      <c r="SPO78" s="165"/>
      <c r="SPP78" s="165"/>
      <c r="SPQ78" s="165"/>
      <c r="SPR78" s="165"/>
      <c r="SPS78" s="165"/>
      <c r="SPT78" s="165"/>
      <c r="SPU78" s="165"/>
      <c r="SPV78" s="165"/>
      <c r="SPW78" s="165"/>
      <c r="SPX78" s="165"/>
      <c r="SPY78" s="165"/>
      <c r="SPZ78" s="165"/>
      <c r="SQA78" s="165"/>
      <c r="SQB78" s="165"/>
      <c r="SQC78" s="165"/>
      <c r="SQD78" s="165"/>
      <c r="SQE78" s="165"/>
      <c r="SQF78" s="165"/>
      <c r="SQG78" s="165"/>
      <c r="SQH78" s="165"/>
      <c r="SQI78" s="165"/>
      <c r="SQJ78" s="165"/>
      <c r="SQK78" s="165"/>
      <c r="SQL78" s="165"/>
      <c r="SQM78" s="165"/>
      <c r="SQN78" s="165"/>
      <c r="SQO78" s="165"/>
      <c r="SQP78" s="165"/>
      <c r="SQQ78" s="165"/>
      <c r="SQR78" s="165"/>
      <c r="SQS78" s="165"/>
      <c r="SQT78" s="165"/>
      <c r="SQU78" s="165"/>
      <c r="SQV78" s="165"/>
      <c r="SQW78" s="165"/>
      <c r="SQX78" s="165"/>
      <c r="SQY78" s="165"/>
      <c r="SQZ78" s="165"/>
      <c r="SRA78" s="165"/>
      <c r="SRB78" s="165"/>
      <c r="SRC78" s="165"/>
      <c r="SRD78" s="165"/>
      <c r="SRE78" s="165"/>
      <c r="SRF78" s="165"/>
      <c r="SRG78" s="165"/>
      <c r="SRH78" s="165"/>
      <c r="SRI78" s="165"/>
      <c r="SRJ78" s="165"/>
      <c r="SRK78" s="165"/>
      <c r="SRL78" s="165"/>
      <c r="SRM78" s="165"/>
      <c r="SRN78" s="165"/>
      <c r="SRO78" s="165"/>
      <c r="SRP78" s="165"/>
      <c r="SRQ78" s="165"/>
      <c r="SRR78" s="165"/>
      <c r="SRS78" s="165"/>
      <c r="SRT78" s="165"/>
      <c r="SRU78" s="165"/>
      <c r="SRV78" s="165"/>
      <c r="SRW78" s="165"/>
      <c r="SRX78" s="165"/>
      <c r="SRY78" s="165"/>
      <c r="SRZ78" s="165"/>
      <c r="SSA78" s="165"/>
      <c r="SSB78" s="165"/>
      <c r="SSC78" s="165"/>
      <c r="SSD78" s="165"/>
      <c r="SSE78" s="165"/>
      <c r="SSF78" s="165"/>
      <c r="SSG78" s="165"/>
      <c r="SSH78" s="165"/>
      <c r="SSI78" s="165"/>
      <c r="SSJ78" s="165"/>
      <c r="SSK78" s="165"/>
      <c r="SSL78" s="165"/>
      <c r="SSM78" s="165"/>
      <c r="SSN78" s="165"/>
      <c r="SSO78" s="165"/>
      <c r="SSP78" s="165"/>
      <c r="SSQ78" s="165"/>
      <c r="SSR78" s="165"/>
      <c r="SSS78" s="165"/>
      <c r="SST78" s="165"/>
      <c r="SSU78" s="165"/>
      <c r="SSV78" s="165"/>
      <c r="SSW78" s="165"/>
      <c r="SSX78" s="165"/>
      <c r="SSY78" s="165"/>
      <c r="SSZ78" s="165"/>
      <c r="STA78" s="165"/>
      <c r="STB78" s="165"/>
      <c r="STC78" s="165"/>
      <c r="STD78" s="165"/>
      <c r="STE78" s="165"/>
      <c r="STF78" s="165"/>
      <c r="STG78" s="165"/>
      <c r="STH78" s="165"/>
      <c r="STI78" s="165"/>
      <c r="STJ78" s="165"/>
      <c r="STK78" s="165"/>
      <c r="STL78" s="165"/>
      <c r="STM78" s="165"/>
      <c r="STN78" s="165"/>
      <c r="STO78" s="165"/>
      <c r="STP78" s="165"/>
      <c r="STQ78" s="165"/>
      <c r="STR78" s="165"/>
      <c r="STS78" s="165"/>
      <c r="STT78" s="165"/>
      <c r="STU78" s="165"/>
      <c r="STV78" s="165"/>
      <c r="STW78" s="165"/>
      <c r="STX78" s="165"/>
      <c r="STY78" s="165"/>
      <c r="STZ78" s="165"/>
      <c r="SUA78" s="165"/>
      <c r="SUB78" s="165"/>
      <c r="SUC78" s="165"/>
      <c r="SUD78" s="165"/>
      <c r="SUE78" s="165"/>
      <c r="SUF78" s="165"/>
      <c r="SUG78" s="165"/>
      <c r="SUH78" s="165"/>
      <c r="SUI78" s="165"/>
      <c r="SUJ78" s="165"/>
      <c r="SUK78" s="165"/>
      <c r="SUL78" s="165"/>
      <c r="SUM78" s="165"/>
      <c r="SUN78" s="165"/>
      <c r="SUO78" s="165"/>
      <c r="SUP78" s="165"/>
      <c r="SUQ78" s="165"/>
      <c r="SUR78" s="165"/>
      <c r="SUS78" s="165"/>
      <c r="SUT78" s="165"/>
      <c r="SUU78" s="165"/>
      <c r="SUV78" s="165"/>
      <c r="SUW78" s="165"/>
      <c r="SUX78" s="165"/>
      <c r="SUY78" s="165"/>
      <c r="SUZ78" s="165"/>
      <c r="SVA78" s="165"/>
      <c r="SVB78" s="165"/>
      <c r="SVC78" s="165"/>
      <c r="SVD78" s="165"/>
      <c r="SVE78" s="165"/>
      <c r="SVF78" s="165"/>
      <c r="SVG78" s="165"/>
      <c r="SVH78" s="165"/>
      <c r="SVI78" s="165"/>
      <c r="SVJ78" s="165"/>
      <c r="SVK78" s="165"/>
      <c r="SVL78" s="165"/>
      <c r="SVM78" s="165"/>
      <c r="SVN78" s="165"/>
      <c r="SVO78" s="165"/>
      <c r="SVP78" s="165"/>
      <c r="SVQ78" s="165"/>
      <c r="SVR78" s="165"/>
      <c r="SVS78" s="165"/>
      <c r="SVT78" s="165"/>
      <c r="SVU78" s="165"/>
      <c r="SVV78" s="165"/>
      <c r="SVW78" s="165"/>
      <c r="SVX78" s="165"/>
      <c r="SVY78" s="165"/>
      <c r="SVZ78" s="165"/>
      <c r="SWA78" s="165"/>
      <c r="SWB78" s="165"/>
      <c r="SWC78" s="165"/>
      <c r="SWD78" s="165"/>
      <c r="SWE78" s="165"/>
      <c r="SWF78" s="165"/>
      <c r="SWG78" s="165"/>
      <c r="SWH78" s="165"/>
      <c r="SWI78" s="165"/>
      <c r="SWJ78" s="165"/>
      <c r="SWK78" s="165"/>
      <c r="SWL78" s="165"/>
      <c r="SWM78" s="165"/>
      <c r="SWN78" s="165"/>
      <c r="SWO78" s="165"/>
      <c r="SWP78" s="165"/>
      <c r="SWQ78" s="165"/>
      <c r="SWR78" s="165"/>
      <c r="SWS78" s="165"/>
      <c r="SWT78" s="165"/>
      <c r="SWU78" s="165"/>
      <c r="SWV78" s="165"/>
      <c r="SWW78" s="165"/>
      <c r="SWX78" s="165"/>
      <c r="SWY78" s="165"/>
      <c r="SWZ78" s="165"/>
      <c r="SXA78" s="165"/>
      <c r="SXB78" s="165"/>
      <c r="SXC78" s="165"/>
      <c r="SXD78" s="165"/>
      <c r="SXE78" s="165"/>
      <c r="SXF78" s="165"/>
      <c r="SXG78" s="165"/>
      <c r="SXH78" s="165"/>
      <c r="SXI78" s="165"/>
      <c r="SXJ78" s="165"/>
      <c r="SXK78" s="165"/>
      <c r="SXL78" s="165"/>
      <c r="SXM78" s="165"/>
      <c r="SXN78" s="165"/>
      <c r="SXO78" s="165"/>
      <c r="SXP78" s="165"/>
      <c r="SXQ78" s="165"/>
      <c r="SXR78" s="165"/>
      <c r="SXS78" s="165"/>
      <c r="SXT78" s="165"/>
      <c r="SXU78" s="165"/>
      <c r="SXV78" s="165"/>
      <c r="SXW78" s="165"/>
      <c r="SXX78" s="165"/>
      <c r="SXY78" s="165"/>
      <c r="SXZ78" s="165"/>
      <c r="SYA78" s="165"/>
      <c r="SYB78" s="165"/>
      <c r="SYC78" s="165"/>
      <c r="SYD78" s="165"/>
      <c r="SYE78" s="165"/>
      <c r="SYF78" s="165"/>
      <c r="SYG78" s="165"/>
      <c r="SYH78" s="165"/>
      <c r="SYI78" s="165"/>
      <c r="SYJ78" s="165"/>
      <c r="SYK78" s="165"/>
      <c r="SYL78" s="165"/>
      <c r="SYM78" s="165"/>
      <c r="SYN78" s="165"/>
      <c r="SYO78" s="165"/>
      <c r="SYP78" s="165"/>
      <c r="SYQ78" s="165"/>
      <c r="SYR78" s="165"/>
      <c r="SYS78" s="165"/>
      <c r="SYT78" s="165"/>
      <c r="SYU78" s="165"/>
      <c r="SYV78" s="165"/>
      <c r="SYW78" s="165"/>
      <c r="SYX78" s="165"/>
      <c r="SYY78" s="165"/>
      <c r="SYZ78" s="165"/>
      <c r="SZA78" s="165"/>
      <c r="SZB78" s="165"/>
      <c r="SZC78" s="165"/>
      <c r="SZD78" s="165"/>
      <c r="SZE78" s="165"/>
      <c r="SZF78" s="165"/>
      <c r="SZG78" s="165"/>
      <c r="SZH78" s="165"/>
      <c r="SZI78" s="165"/>
      <c r="SZJ78" s="165"/>
      <c r="SZK78" s="165"/>
      <c r="SZL78" s="165"/>
      <c r="SZM78" s="165"/>
      <c r="SZN78" s="165"/>
      <c r="SZO78" s="165"/>
      <c r="SZP78" s="165"/>
      <c r="SZQ78" s="165"/>
      <c r="SZR78" s="165"/>
      <c r="SZS78" s="165"/>
      <c r="SZT78" s="165"/>
      <c r="SZU78" s="165"/>
      <c r="SZV78" s="165"/>
      <c r="SZW78" s="165"/>
      <c r="SZX78" s="165"/>
      <c r="SZY78" s="165"/>
      <c r="SZZ78" s="165"/>
      <c r="TAA78" s="165"/>
      <c r="TAB78" s="165"/>
      <c r="TAC78" s="165"/>
      <c r="TAD78" s="165"/>
      <c r="TAE78" s="165"/>
      <c r="TAF78" s="165"/>
      <c r="TAG78" s="165"/>
      <c r="TAH78" s="165"/>
      <c r="TAI78" s="165"/>
      <c r="TAJ78" s="165"/>
      <c r="TAK78" s="165"/>
      <c r="TAL78" s="165"/>
      <c r="TAM78" s="165"/>
      <c r="TAN78" s="165"/>
      <c r="TAO78" s="165"/>
      <c r="TAP78" s="165"/>
      <c r="TAQ78" s="165"/>
      <c r="TAR78" s="165"/>
      <c r="TAS78" s="165"/>
      <c r="TAT78" s="165"/>
      <c r="TAU78" s="165"/>
      <c r="TAV78" s="165"/>
      <c r="TAW78" s="165"/>
      <c r="TAX78" s="165"/>
      <c r="TAY78" s="165"/>
      <c r="TAZ78" s="165"/>
      <c r="TBA78" s="165"/>
      <c r="TBB78" s="165"/>
      <c r="TBC78" s="165"/>
      <c r="TBD78" s="165"/>
      <c r="TBE78" s="165"/>
      <c r="TBF78" s="165"/>
      <c r="TBG78" s="165"/>
      <c r="TBH78" s="165"/>
      <c r="TBI78" s="165"/>
      <c r="TBJ78" s="165"/>
      <c r="TBK78" s="165"/>
      <c r="TBL78" s="165"/>
      <c r="TBM78" s="165"/>
      <c r="TBN78" s="165"/>
      <c r="TBO78" s="165"/>
      <c r="TBP78" s="165"/>
      <c r="TBQ78" s="165"/>
      <c r="TBR78" s="165"/>
      <c r="TBS78" s="165"/>
      <c r="TBT78" s="165"/>
      <c r="TBU78" s="165"/>
      <c r="TBV78" s="165"/>
      <c r="TBW78" s="165"/>
      <c r="TBX78" s="165"/>
      <c r="TBY78" s="165"/>
      <c r="TBZ78" s="165"/>
      <c r="TCA78" s="165"/>
      <c r="TCB78" s="165"/>
      <c r="TCC78" s="165"/>
      <c r="TCD78" s="165"/>
      <c r="TCE78" s="165"/>
      <c r="TCF78" s="165"/>
      <c r="TCG78" s="165"/>
      <c r="TCH78" s="165"/>
      <c r="TCI78" s="165"/>
      <c r="TCJ78" s="165"/>
      <c r="TCK78" s="165"/>
      <c r="TCL78" s="165"/>
      <c r="TCM78" s="165"/>
      <c r="TCN78" s="165"/>
      <c r="TCO78" s="165"/>
      <c r="TCP78" s="165"/>
      <c r="TCQ78" s="165"/>
      <c r="TCR78" s="165"/>
      <c r="TCS78" s="165"/>
      <c r="TCT78" s="165"/>
      <c r="TCU78" s="165"/>
      <c r="TCV78" s="165"/>
      <c r="TCW78" s="165"/>
      <c r="TCX78" s="165"/>
      <c r="TCY78" s="165"/>
      <c r="TCZ78" s="165"/>
      <c r="TDA78" s="165"/>
      <c r="TDB78" s="165"/>
      <c r="TDC78" s="165"/>
      <c r="TDD78" s="165"/>
      <c r="TDE78" s="165"/>
      <c r="TDF78" s="165"/>
      <c r="TDG78" s="165"/>
      <c r="TDH78" s="165"/>
      <c r="TDI78" s="165"/>
      <c r="TDJ78" s="165"/>
      <c r="TDK78" s="165"/>
      <c r="TDL78" s="165"/>
      <c r="TDM78" s="165"/>
      <c r="TDN78" s="165"/>
      <c r="TDO78" s="165"/>
      <c r="TDP78" s="165"/>
      <c r="TDQ78" s="165"/>
      <c r="TDR78" s="165"/>
      <c r="TDS78" s="165"/>
      <c r="TDT78" s="165"/>
      <c r="TDU78" s="165"/>
      <c r="TDV78" s="165"/>
      <c r="TDW78" s="165"/>
      <c r="TDX78" s="165"/>
      <c r="TDY78" s="165"/>
      <c r="TDZ78" s="165"/>
      <c r="TEA78" s="165"/>
      <c r="TEB78" s="165"/>
      <c r="TEC78" s="165"/>
      <c r="TED78" s="165"/>
      <c r="TEE78" s="165"/>
      <c r="TEF78" s="165"/>
      <c r="TEG78" s="165"/>
      <c r="TEH78" s="165"/>
      <c r="TEI78" s="165"/>
      <c r="TEJ78" s="165"/>
      <c r="TEK78" s="165"/>
      <c r="TEL78" s="165"/>
      <c r="TEM78" s="165"/>
      <c r="TEN78" s="165"/>
      <c r="TEO78" s="165"/>
      <c r="TEP78" s="165"/>
      <c r="TEQ78" s="165"/>
      <c r="TER78" s="165"/>
      <c r="TES78" s="165"/>
      <c r="TET78" s="165"/>
      <c r="TEU78" s="165"/>
      <c r="TEV78" s="165"/>
      <c r="TEW78" s="165"/>
      <c r="TEX78" s="165"/>
      <c r="TEY78" s="165"/>
      <c r="TEZ78" s="165"/>
      <c r="TFA78" s="165"/>
      <c r="TFB78" s="165"/>
      <c r="TFC78" s="165"/>
      <c r="TFD78" s="165"/>
      <c r="TFE78" s="165"/>
      <c r="TFF78" s="165"/>
      <c r="TFG78" s="165"/>
      <c r="TFH78" s="165"/>
      <c r="TFI78" s="165"/>
      <c r="TFJ78" s="165"/>
      <c r="TFK78" s="165"/>
      <c r="TFL78" s="165"/>
      <c r="TFM78" s="165"/>
      <c r="TFN78" s="165"/>
      <c r="TFO78" s="165"/>
      <c r="TFP78" s="165"/>
      <c r="TFQ78" s="165"/>
      <c r="TFR78" s="165"/>
      <c r="TFS78" s="165"/>
      <c r="TFT78" s="165"/>
      <c r="TFU78" s="165"/>
      <c r="TFV78" s="165"/>
      <c r="TFW78" s="165"/>
      <c r="TFX78" s="165"/>
      <c r="TFY78" s="165"/>
      <c r="TFZ78" s="165"/>
      <c r="TGA78" s="165"/>
      <c r="TGB78" s="165"/>
      <c r="TGC78" s="165"/>
      <c r="TGD78" s="165"/>
      <c r="TGE78" s="165"/>
      <c r="TGF78" s="165"/>
      <c r="TGG78" s="165"/>
      <c r="TGH78" s="165"/>
      <c r="TGI78" s="165"/>
      <c r="TGJ78" s="165"/>
      <c r="TGK78" s="165"/>
      <c r="TGL78" s="165"/>
      <c r="TGM78" s="165"/>
      <c r="TGN78" s="165"/>
      <c r="TGO78" s="165"/>
      <c r="TGP78" s="165"/>
      <c r="TGQ78" s="165"/>
      <c r="TGR78" s="165"/>
      <c r="TGS78" s="165"/>
      <c r="TGT78" s="165"/>
      <c r="TGU78" s="165"/>
      <c r="TGV78" s="165"/>
      <c r="TGW78" s="165"/>
      <c r="TGX78" s="165"/>
      <c r="TGY78" s="165"/>
      <c r="TGZ78" s="165"/>
      <c r="THA78" s="165"/>
      <c r="THB78" s="165"/>
      <c r="THC78" s="165"/>
      <c r="THD78" s="165"/>
      <c r="THE78" s="165"/>
      <c r="THF78" s="165"/>
      <c r="THG78" s="165"/>
      <c r="THH78" s="165"/>
      <c r="THI78" s="165"/>
      <c r="THJ78" s="165"/>
      <c r="THK78" s="165"/>
      <c r="THL78" s="165"/>
      <c r="THM78" s="165"/>
      <c r="THN78" s="165"/>
      <c r="THO78" s="165"/>
      <c r="THP78" s="165"/>
      <c r="THQ78" s="165"/>
      <c r="THR78" s="165"/>
      <c r="THS78" s="165"/>
      <c r="THT78" s="165"/>
      <c r="THU78" s="165"/>
      <c r="THV78" s="165"/>
      <c r="THW78" s="165"/>
      <c r="THX78" s="165"/>
      <c r="THY78" s="165"/>
      <c r="THZ78" s="165"/>
      <c r="TIA78" s="165"/>
      <c r="TIB78" s="165"/>
      <c r="TIC78" s="165"/>
      <c r="TID78" s="165"/>
      <c r="TIE78" s="165"/>
      <c r="TIF78" s="165"/>
      <c r="TIG78" s="165"/>
      <c r="TIH78" s="165"/>
      <c r="TII78" s="165"/>
      <c r="TIJ78" s="165"/>
      <c r="TIK78" s="165"/>
      <c r="TIL78" s="165"/>
      <c r="TIM78" s="165"/>
      <c r="TIN78" s="165"/>
      <c r="TIO78" s="165"/>
      <c r="TIP78" s="165"/>
      <c r="TIQ78" s="165"/>
      <c r="TIR78" s="165"/>
      <c r="TIS78" s="165"/>
      <c r="TIT78" s="165"/>
      <c r="TIU78" s="165"/>
      <c r="TIV78" s="165"/>
      <c r="TIW78" s="165"/>
      <c r="TIX78" s="165"/>
      <c r="TIY78" s="165"/>
      <c r="TIZ78" s="165"/>
      <c r="TJA78" s="165"/>
      <c r="TJB78" s="165"/>
      <c r="TJC78" s="165"/>
      <c r="TJD78" s="165"/>
      <c r="TJE78" s="165"/>
      <c r="TJF78" s="165"/>
      <c r="TJG78" s="165"/>
      <c r="TJH78" s="165"/>
      <c r="TJI78" s="165"/>
      <c r="TJJ78" s="165"/>
      <c r="TJK78" s="165"/>
      <c r="TJL78" s="165"/>
      <c r="TJM78" s="165"/>
      <c r="TJN78" s="165"/>
      <c r="TJO78" s="165"/>
      <c r="TJP78" s="165"/>
      <c r="TJQ78" s="165"/>
      <c r="TJR78" s="165"/>
      <c r="TJS78" s="165"/>
      <c r="TJT78" s="165"/>
      <c r="TJU78" s="165"/>
      <c r="TJV78" s="165"/>
      <c r="TJW78" s="165"/>
      <c r="TJX78" s="165"/>
      <c r="TJY78" s="165"/>
      <c r="TJZ78" s="165"/>
      <c r="TKA78" s="165"/>
      <c r="TKB78" s="165"/>
      <c r="TKC78" s="165"/>
      <c r="TKD78" s="165"/>
      <c r="TKE78" s="165"/>
      <c r="TKF78" s="165"/>
      <c r="TKG78" s="165"/>
      <c r="TKH78" s="165"/>
      <c r="TKI78" s="165"/>
      <c r="TKJ78" s="165"/>
      <c r="TKK78" s="165"/>
      <c r="TKL78" s="165"/>
      <c r="TKM78" s="165"/>
      <c r="TKN78" s="165"/>
      <c r="TKO78" s="165"/>
      <c r="TKP78" s="165"/>
      <c r="TKQ78" s="165"/>
      <c r="TKR78" s="165"/>
      <c r="TKS78" s="165"/>
      <c r="TKT78" s="165"/>
      <c r="TKU78" s="165"/>
      <c r="TKV78" s="165"/>
      <c r="TKW78" s="165"/>
      <c r="TKX78" s="165"/>
      <c r="TKY78" s="165"/>
      <c r="TKZ78" s="165"/>
      <c r="TLA78" s="165"/>
      <c r="TLB78" s="165"/>
      <c r="TLC78" s="165"/>
      <c r="TLD78" s="165"/>
      <c r="TLE78" s="165"/>
      <c r="TLF78" s="165"/>
      <c r="TLG78" s="165"/>
      <c r="TLH78" s="165"/>
      <c r="TLI78" s="165"/>
      <c r="TLJ78" s="165"/>
      <c r="TLK78" s="165"/>
      <c r="TLL78" s="165"/>
      <c r="TLM78" s="165"/>
      <c r="TLN78" s="165"/>
      <c r="TLO78" s="165"/>
      <c r="TLP78" s="165"/>
      <c r="TLQ78" s="165"/>
      <c r="TLR78" s="165"/>
      <c r="TLS78" s="165"/>
      <c r="TLT78" s="165"/>
      <c r="TLU78" s="165"/>
      <c r="TLV78" s="165"/>
      <c r="TLW78" s="165"/>
      <c r="TLX78" s="165"/>
      <c r="TLY78" s="165"/>
      <c r="TLZ78" s="165"/>
      <c r="TMA78" s="165"/>
      <c r="TMB78" s="165"/>
      <c r="TMC78" s="165"/>
      <c r="TMD78" s="165"/>
      <c r="TME78" s="165"/>
      <c r="TMF78" s="165"/>
      <c r="TMG78" s="165"/>
      <c r="TMH78" s="165"/>
      <c r="TMI78" s="165"/>
      <c r="TMJ78" s="165"/>
      <c r="TMK78" s="165"/>
      <c r="TML78" s="165"/>
      <c r="TMM78" s="165"/>
      <c r="TMN78" s="165"/>
      <c r="TMO78" s="165"/>
      <c r="TMP78" s="165"/>
      <c r="TMQ78" s="165"/>
      <c r="TMR78" s="165"/>
      <c r="TMS78" s="165"/>
      <c r="TMT78" s="165"/>
      <c r="TMU78" s="165"/>
      <c r="TMV78" s="165"/>
      <c r="TMW78" s="165"/>
      <c r="TMX78" s="165"/>
      <c r="TMY78" s="165"/>
      <c r="TMZ78" s="165"/>
      <c r="TNA78" s="165"/>
      <c r="TNB78" s="165"/>
      <c r="TNC78" s="165"/>
      <c r="TND78" s="165"/>
      <c r="TNE78" s="165"/>
      <c r="TNF78" s="165"/>
      <c r="TNG78" s="165"/>
      <c r="TNH78" s="165"/>
      <c r="TNI78" s="165"/>
      <c r="TNJ78" s="165"/>
      <c r="TNK78" s="165"/>
      <c r="TNL78" s="165"/>
      <c r="TNM78" s="165"/>
      <c r="TNN78" s="165"/>
      <c r="TNO78" s="165"/>
      <c r="TNP78" s="165"/>
      <c r="TNQ78" s="165"/>
      <c r="TNR78" s="165"/>
      <c r="TNS78" s="165"/>
      <c r="TNT78" s="165"/>
      <c r="TNU78" s="165"/>
      <c r="TNV78" s="165"/>
      <c r="TNW78" s="165"/>
      <c r="TNX78" s="165"/>
      <c r="TNY78" s="165"/>
      <c r="TNZ78" s="165"/>
      <c r="TOA78" s="165"/>
      <c r="TOB78" s="165"/>
      <c r="TOC78" s="165"/>
      <c r="TOD78" s="165"/>
      <c r="TOE78" s="165"/>
      <c r="TOF78" s="165"/>
      <c r="TOG78" s="165"/>
      <c r="TOH78" s="165"/>
      <c r="TOI78" s="165"/>
      <c r="TOJ78" s="165"/>
      <c r="TOK78" s="165"/>
      <c r="TOL78" s="165"/>
      <c r="TOM78" s="165"/>
      <c r="TON78" s="165"/>
      <c r="TOO78" s="165"/>
      <c r="TOP78" s="165"/>
      <c r="TOQ78" s="165"/>
      <c r="TOR78" s="165"/>
      <c r="TOS78" s="165"/>
      <c r="TOT78" s="165"/>
      <c r="TOU78" s="165"/>
      <c r="TOV78" s="165"/>
      <c r="TOW78" s="165"/>
      <c r="TOX78" s="165"/>
      <c r="TOY78" s="165"/>
      <c r="TOZ78" s="165"/>
      <c r="TPA78" s="165"/>
      <c r="TPB78" s="165"/>
      <c r="TPC78" s="165"/>
      <c r="TPD78" s="165"/>
      <c r="TPE78" s="165"/>
      <c r="TPF78" s="165"/>
      <c r="TPG78" s="165"/>
      <c r="TPH78" s="165"/>
      <c r="TPI78" s="165"/>
      <c r="TPJ78" s="165"/>
      <c r="TPK78" s="165"/>
      <c r="TPL78" s="165"/>
      <c r="TPM78" s="165"/>
      <c r="TPN78" s="165"/>
      <c r="TPO78" s="165"/>
      <c r="TPP78" s="165"/>
      <c r="TPQ78" s="165"/>
      <c r="TPR78" s="165"/>
      <c r="TPS78" s="165"/>
      <c r="TPT78" s="165"/>
      <c r="TPU78" s="165"/>
      <c r="TPV78" s="165"/>
      <c r="TPW78" s="165"/>
      <c r="TPX78" s="165"/>
      <c r="TPY78" s="165"/>
      <c r="TPZ78" s="165"/>
      <c r="TQA78" s="165"/>
      <c r="TQB78" s="165"/>
      <c r="TQC78" s="165"/>
      <c r="TQD78" s="165"/>
      <c r="TQE78" s="165"/>
      <c r="TQF78" s="165"/>
      <c r="TQG78" s="165"/>
      <c r="TQH78" s="165"/>
      <c r="TQI78" s="165"/>
      <c r="TQJ78" s="165"/>
      <c r="TQK78" s="165"/>
      <c r="TQL78" s="165"/>
      <c r="TQM78" s="165"/>
      <c r="TQN78" s="165"/>
      <c r="TQO78" s="165"/>
      <c r="TQP78" s="165"/>
      <c r="TQQ78" s="165"/>
      <c r="TQR78" s="165"/>
      <c r="TQS78" s="165"/>
      <c r="TQT78" s="165"/>
      <c r="TQU78" s="165"/>
      <c r="TQV78" s="165"/>
      <c r="TQW78" s="165"/>
      <c r="TQX78" s="165"/>
      <c r="TQY78" s="165"/>
      <c r="TQZ78" s="165"/>
      <c r="TRA78" s="165"/>
      <c r="TRB78" s="165"/>
      <c r="TRC78" s="165"/>
      <c r="TRD78" s="165"/>
      <c r="TRE78" s="165"/>
      <c r="TRF78" s="165"/>
      <c r="TRG78" s="165"/>
      <c r="TRH78" s="165"/>
      <c r="TRI78" s="165"/>
      <c r="TRJ78" s="165"/>
      <c r="TRK78" s="165"/>
      <c r="TRL78" s="165"/>
      <c r="TRM78" s="165"/>
      <c r="TRN78" s="165"/>
      <c r="TRO78" s="165"/>
      <c r="TRP78" s="165"/>
      <c r="TRQ78" s="165"/>
      <c r="TRR78" s="165"/>
      <c r="TRS78" s="165"/>
      <c r="TRT78" s="165"/>
      <c r="TRU78" s="165"/>
      <c r="TRV78" s="165"/>
      <c r="TRW78" s="165"/>
      <c r="TRX78" s="165"/>
      <c r="TRY78" s="165"/>
      <c r="TRZ78" s="165"/>
      <c r="TSA78" s="165"/>
      <c r="TSB78" s="165"/>
      <c r="TSC78" s="165"/>
      <c r="TSD78" s="165"/>
      <c r="TSE78" s="165"/>
      <c r="TSF78" s="165"/>
      <c r="TSG78" s="165"/>
      <c r="TSH78" s="165"/>
      <c r="TSI78" s="165"/>
      <c r="TSJ78" s="165"/>
      <c r="TSK78" s="165"/>
      <c r="TSL78" s="165"/>
      <c r="TSM78" s="165"/>
      <c r="TSN78" s="165"/>
      <c r="TSO78" s="165"/>
      <c r="TSP78" s="165"/>
      <c r="TSQ78" s="165"/>
      <c r="TSR78" s="165"/>
      <c r="TSS78" s="165"/>
      <c r="TST78" s="165"/>
      <c r="TSU78" s="165"/>
      <c r="TSV78" s="165"/>
      <c r="TSW78" s="165"/>
      <c r="TSX78" s="165"/>
      <c r="TSY78" s="165"/>
      <c r="TSZ78" s="165"/>
      <c r="TTA78" s="165"/>
      <c r="TTB78" s="165"/>
      <c r="TTC78" s="165"/>
      <c r="TTD78" s="165"/>
      <c r="TTE78" s="165"/>
      <c r="TTF78" s="165"/>
      <c r="TTG78" s="165"/>
      <c r="TTH78" s="165"/>
      <c r="TTI78" s="165"/>
      <c r="TTJ78" s="165"/>
      <c r="TTK78" s="165"/>
      <c r="TTL78" s="165"/>
      <c r="TTM78" s="165"/>
      <c r="TTN78" s="165"/>
      <c r="TTO78" s="165"/>
      <c r="TTP78" s="165"/>
      <c r="TTQ78" s="165"/>
      <c r="TTR78" s="165"/>
      <c r="TTS78" s="165"/>
      <c r="TTT78" s="165"/>
      <c r="TTU78" s="165"/>
      <c r="TTV78" s="165"/>
      <c r="TTW78" s="165"/>
      <c r="TTX78" s="165"/>
      <c r="TTY78" s="165"/>
      <c r="TTZ78" s="165"/>
      <c r="TUA78" s="165"/>
      <c r="TUB78" s="165"/>
      <c r="TUC78" s="165"/>
      <c r="TUD78" s="165"/>
      <c r="TUE78" s="165"/>
      <c r="TUF78" s="165"/>
      <c r="TUG78" s="165"/>
      <c r="TUH78" s="165"/>
      <c r="TUI78" s="165"/>
      <c r="TUJ78" s="165"/>
      <c r="TUK78" s="165"/>
      <c r="TUL78" s="165"/>
      <c r="TUM78" s="165"/>
      <c r="TUN78" s="165"/>
      <c r="TUO78" s="165"/>
      <c r="TUP78" s="165"/>
      <c r="TUQ78" s="165"/>
      <c r="TUR78" s="165"/>
      <c r="TUS78" s="165"/>
      <c r="TUT78" s="165"/>
      <c r="TUU78" s="165"/>
      <c r="TUV78" s="165"/>
      <c r="TUW78" s="165"/>
      <c r="TUX78" s="165"/>
      <c r="TUY78" s="165"/>
      <c r="TUZ78" s="165"/>
      <c r="TVA78" s="165"/>
      <c r="TVB78" s="165"/>
      <c r="TVC78" s="165"/>
      <c r="TVD78" s="165"/>
      <c r="TVE78" s="165"/>
      <c r="TVF78" s="165"/>
      <c r="TVG78" s="165"/>
      <c r="TVH78" s="165"/>
      <c r="TVI78" s="165"/>
      <c r="TVJ78" s="165"/>
      <c r="TVK78" s="165"/>
      <c r="TVL78" s="165"/>
      <c r="TVM78" s="165"/>
      <c r="TVN78" s="165"/>
      <c r="TVO78" s="165"/>
      <c r="TVP78" s="165"/>
      <c r="TVQ78" s="165"/>
      <c r="TVR78" s="165"/>
      <c r="TVS78" s="165"/>
      <c r="TVT78" s="165"/>
      <c r="TVU78" s="165"/>
      <c r="TVV78" s="165"/>
      <c r="TVW78" s="165"/>
      <c r="TVX78" s="165"/>
      <c r="TVY78" s="165"/>
      <c r="TVZ78" s="165"/>
      <c r="TWA78" s="165"/>
      <c r="TWB78" s="165"/>
      <c r="TWC78" s="165"/>
      <c r="TWD78" s="165"/>
      <c r="TWE78" s="165"/>
      <c r="TWF78" s="165"/>
      <c r="TWG78" s="165"/>
      <c r="TWH78" s="165"/>
      <c r="TWI78" s="165"/>
      <c r="TWJ78" s="165"/>
      <c r="TWK78" s="165"/>
      <c r="TWL78" s="165"/>
      <c r="TWM78" s="165"/>
      <c r="TWN78" s="165"/>
      <c r="TWO78" s="165"/>
      <c r="TWP78" s="165"/>
      <c r="TWQ78" s="165"/>
      <c r="TWR78" s="165"/>
      <c r="TWS78" s="165"/>
      <c r="TWT78" s="165"/>
      <c r="TWU78" s="165"/>
      <c r="TWV78" s="165"/>
      <c r="TWW78" s="165"/>
      <c r="TWX78" s="165"/>
      <c r="TWY78" s="165"/>
      <c r="TWZ78" s="165"/>
      <c r="TXA78" s="165"/>
      <c r="TXB78" s="165"/>
      <c r="TXC78" s="165"/>
      <c r="TXD78" s="165"/>
      <c r="TXE78" s="165"/>
      <c r="TXF78" s="165"/>
      <c r="TXG78" s="165"/>
      <c r="TXH78" s="165"/>
      <c r="TXI78" s="165"/>
      <c r="TXJ78" s="165"/>
      <c r="TXK78" s="165"/>
      <c r="TXL78" s="165"/>
      <c r="TXM78" s="165"/>
      <c r="TXN78" s="165"/>
      <c r="TXO78" s="165"/>
      <c r="TXP78" s="165"/>
      <c r="TXQ78" s="165"/>
      <c r="TXR78" s="165"/>
      <c r="TXS78" s="165"/>
      <c r="TXT78" s="165"/>
      <c r="TXU78" s="165"/>
      <c r="TXV78" s="165"/>
      <c r="TXW78" s="165"/>
      <c r="TXX78" s="165"/>
      <c r="TXY78" s="165"/>
      <c r="TXZ78" s="165"/>
      <c r="TYA78" s="165"/>
      <c r="TYB78" s="165"/>
      <c r="TYC78" s="165"/>
      <c r="TYD78" s="165"/>
      <c r="TYE78" s="165"/>
      <c r="TYF78" s="165"/>
      <c r="TYG78" s="165"/>
      <c r="TYH78" s="165"/>
      <c r="TYI78" s="165"/>
      <c r="TYJ78" s="165"/>
      <c r="TYK78" s="165"/>
      <c r="TYL78" s="165"/>
      <c r="TYM78" s="165"/>
      <c r="TYN78" s="165"/>
      <c r="TYO78" s="165"/>
      <c r="TYP78" s="165"/>
      <c r="TYQ78" s="165"/>
      <c r="TYR78" s="165"/>
      <c r="TYS78" s="165"/>
      <c r="TYT78" s="165"/>
      <c r="TYU78" s="165"/>
      <c r="TYV78" s="165"/>
      <c r="TYW78" s="165"/>
      <c r="TYX78" s="165"/>
      <c r="TYY78" s="165"/>
      <c r="TYZ78" s="165"/>
      <c r="TZA78" s="165"/>
      <c r="TZB78" s="165"/>
      <c r="TZC78" s="165"/>
      <c r="TZD78" s="165"/>
      <c r="TZE78" s="165"/>
      <c r="TZF78" s="165"/>
      <c r="TZG78" s="165"/>
      <c r="TZH78" s="165"/>
      <c r="TZI78" s="165"/>
      <c r="TZJ78" s="165"/>
      <c r="TZK78" s="165"/>
      <c r="TZL78" s="165"/>
      <c r="TZM78" s="165"/>
      <c r="TZN78" s="165"/>
      <c r="TZO78" s="165"/>
      <c r="TZP78" s="165"/>
      <c r="TZQ78" s="165"/>
      <c r="TZR78" s="165"/>
      <c r="TZS78" s="165"/>
      <c r="TZT78" s="165"/>
      <c r="TZU78" s="165"/>
      <c r="TZV78" s="165"/>
      <c r="TZW78" s="165"/>
      <c r="TZX78" s="165"/>
      <c r="TZY78" s="165"/>
      <c r="TZZ78" s="165"/>
      <c r="UAA78" s="165"/>
      <c r="UAB78" s="165"/>
      <c r="UAC78" s="165"/>
      <c r="UAD78" s="165"/>
      <c r="UAE78" s="165"/>
      <c r="UAF78" s="165"/>
      <c r="UAG78" s="165"/>
      <c r="UAH78" s="165"/>
      <c r="UAI78" s="165"/>
      <c r="UAJ78" s="165"/>
      <c r="UAK78" s="165"/>
      <c r="UAL78" s="165"/>
      <c r="UAM78" s="165"/>
      <c r="UAN78" s="165"/>
      <c r="UAO78" s="165"/>
      <c r="UAP78" s="165"/>
      <c r="UAQ78" s="165"/>
      <c r="UAR78" s="165"/>
      <c r="UAS78" s="165"/>
      <c r="UAT78" s="165"/>
      <c r="UAU78" s="165"/>
      <c r="UAV78" s="165"/>
      <c r="UAW78" s="165"/>
      <c r="UAX78" s="165"/>
      <c r="UAY78" s="165"/>
      <c r="UAZ78" s="165"/>
      <c r="UBA78" s="165"/>
      <c r="UBB78" s="165"/>
      <c r="UBC78" s="165"/>
      <c r="UBD78" s="165"/>
      <c r="UBE78" s="165"/>
      <c r="UBF78" s="165"/>
      <c r="UBG78" s="165"/>
      <c r="UBH78" s="165"/>
      <c r="UBI78" s="165"/>
      <c r="UBJ78" s="165"/>
      <c r="UBK78" s="165"/>
      <c r="UBL78" s="165"/>
      <c r="UBM78" s="165"/>
      <c r="UBN78" s="165"/>
      <c r="UBO78" s="165"/>
      <c r="UBP78" s="165"/>
      <c r="UBQ78" s="165"/>
      <c r="UBR78" s="165"/>
      <c r="UBS78" s="165"/>
      <c r="UBT78" s="165"/>
      <c r="UBU78" s="165"/>
      <c r="UBV78" s="165"/>
      <c r="UBW78" s="165"/>
      <c r="UBX78" s="165"/>
      <c r="UBY78" s="165"/>
      <c r="UBZ78" s="165"/>
      <c r="UCA78" s="165"/>
      <c r="UCB78" s="165"/>
      <c r="UCC78" s="165"/>
      <c r="UCD78" s="165"/>
      <c r="UCE78" s="165"/>
      <c r="UCF78" s="165"/>
      <c r="UCG78" s="165"/>
      <c r="UCH78" s="165"/>
      <c r="UCI78" s="165"/>
      <c r="UCJ78" s="165"/>
      <c r="UCK78" s="165"/>
      <c r="UCL78" s="165"/>
      <c r="UCM78" s="165"/>
      <c r="UCN78" s="165"/>
      <c r="UCO78" s="165"/>
      <c r="UCP78" s="165"/>
      <c r="UCQ78" s="165"/>
      <c r="UCR78" s="165"/>
      <c r="UCS78" s="165"/>
      <c r="UCT78" s="165"/>
      <c r="UCU78" s="165"/>
      <c r="UCV78" s="165"/>
      <c r="UCW78" s="165"/>
      <c r="UCX78" s="165"/>
      <c r="UCY78" s="165"/>
      <c r="UCZ78" s="165"/>
      <c r="UDA78" s="165"/>
      <c r="UDB78" s="165"/>
      <c r="UDC78" s="165"/>
      <c r="UDD78" s="165"/>
      <c r="UDE78" s="165"/>
      <c r="UDF78" s="165"/>
      <c r="UDG78" s="165"/>
      <c r="UDH78" s="165"/>
      <c r="UDI78" s="165"/>
      <c r="UDJ78" s="165"/>
      <c r="UDK78" s="165"/>
      <c r="UDL78" s="165"/>
      <c r="UDM78" s="165"/>
      <c r="UDN78" s="165"/>
      <c r="UDO78" s="165"/>
      <c r="UDP78" s="165"/>
      <c r="UDQ78" s="165"/>
      <c r="UDR78" s="165"/>
      <c r="UDS78" s="165"/>
      <c r="UDT78" s="165"/>
      <c r="UDU78" s="165"/>
      <c r="UDV78" s="165"/>
      <c r="UDW78" s="165"/>
      <c r="UDX78" s="165"/>
      <c r="UDY78" s="165"/>
      <c r="UDZ78" s="165"/>
      <c r="UEA78" s="165"/>
      <c r="UEB78" s="165"/>
      <c r="UEC78" s="165"/>
      <c r="UED78" s="165"/>
      <c r="UEE78" s="165"/>
      <c r="UEF78" s="165"/>
      <c r="UEG78" s="165"/>
      <c r="UEH78" s="165"/>
      <c r="UEI78" s="165"/>
      <c r="UEJ78" s="165"/>
      <c r="UEK78" s="165"/>
      <c r="UEL78" s="165"/>
      <c r="UEM78" s="165"/>
      <c r="UEN78" s="165"/>
      <c r="UEO78" s="165"/>
      <c r="UEP78" s="165"/>
      <c r="UEQ78" s="165"/>
      <c r="UER78" s="165"/>
      <c r="UES78" s="165"/>
      <c r="UET78" s="165"/>
      <c r="UEU78" s="165"/>
      <c r="UEV78" s="165"/>
      <c r="UEW78" s="165"/>
      <c r="UEX78" s="165"/>
      <c r="UEY78" s="165"/>
      <c r="UEZ78" s="165"/>
      <c r="UFA78" s="165"/>
      <c r="UFB78" s="165"/>
      <c r="UFC78" s="165"/>
      <c r="UFD78" s="165"/>
      <c r="UFE78" s="165"/>
      <c r="UFF78" s="165"/>
      <c r="UFG78" s="165"/>
      <c r="UFH78" s="165"/>
      <c r="UFI78" s="165"/>
      <c r="UFJ78" s="165"/>
      <c r="UFK78" s="165"/>
      <c r="UFL78" s="165"/>
      <c r="UFM78" s="165"/>
      <c r="UFN78" s="165"/>
      <c r="UFO78" s="165"/>
      <c r="UFP78" s="165"/>
      <c r="UFQ78" s="165"/>
      <c r="UFR78" s="165"/>
      <c r="UFS78" s="165"/>
      <c r="UFT78" s="165"/>
      <c r="UFU78" s="165"/>
      <c r="UFV78" s="165"/>
      <c r="UFW78" s="165"/>
      <c r="UFX78" s="165"/>
      <c r="UFY78" s="165"/>
      <c r="UFZ78" s="165"/>
      <c r="UGA78" s="165"/>
      <c r="UGB78" s="165"/>
      <c r="UGC78" s="165"/>
      <c r="UGD78" s="165"/>
      <c r="UGE78" s="165"/>
      <c r="UGF78" s="165"/>
      <c r="UGG78" s="165"/>
      <c r="UGH78" s="165"/>
      <c r="UGI78" s="165"/>
      <c r="UGJ78" s="165"/>
      <c r="UGK78" s="165"/>
      <c r="UGL78" s="165"/>
      <c r="UGM78" s="165"/>
      <c r="UGN78" s="165"/>
      <c r="UGO78" s="165"/>
      <c r="UGP78" s="165"/>
      <c r="UGQ78" s="165"/>
      <c r="UGR78" s="165"/>
      <c r="UGS78" s="165"/>
      <c r="UGT78" s="165"/>
      <c r="UGU78" s="165"/>
      <c r="UGV78" s="165"/>
      <c r="UGW78" s="165"/>
      <c r="UGX78" s="165"/>
      <c r="UGY78" s="165"/>
      <c r="UGZ78" s="165"/>
      <c r="UHA78" s="165"/>
      <c r="UHB78" s="165"/>
      <c r="UHC78" s="165"/>
      <c r="UHD78" s="165"/>
      <c r="UHE78" s="165"/>
      <c r="UHF78" s="165"/>
      <c r="UHG78" s="165"/>
      <c r="UHH78" s="165"/>
      <c r="UHI78" s="165"/>
      <c r="UHJ78" s="165"/>
      <c r="UHK78" s="165"/>
      <c r="UHL78" s="165"/>
      <c r="UHM78" s="165"/>
      <c r="UHN78" s="165"/>
      <c r="UHO78" s="165"/>
      <c r="UHP78" s="165"/>
      <c r="UHQ78" s="165"/>
      <c r="UHR78" s="165"/>
      <c r="UHS78" s="165"/>
      <c r="UHT78" s="165"/>
      <c r="UHU78" s="165"/>
      <c r="UHV78" s="165"/>
      <c r="UHW78" s="165"/>
      <c r="UHX78" s="165"/>
      <c r="UHY78" s="165"/>
      <c r="UHZ78" s="165"/>
      <c r="UIA78" s="165"/>
      <c r="UIB78" s="165"/>
      <c r="UIC78" s="165"/>
      <c r="UID78" s="165"/>
      <c r="UIE78" s="165"/>
      <c r="UIF78" s="165"/>
      <c r="UIG78" s="165"/>
      <c r="UIH78" s="165"/>
      <c r="UII78" s="165"/>
      <c r="UIJ78" s="165"/>
      <c r="UIK78" s="165"/>
      <c r="UIL78" s="165"/>
      <c r="UIM78" s="165"/>
      <c r="UIN78" s="165"/>
      <c r="UIO78" s="165"/>
      <c r="UIP78" s="165"/>
      <c r="UIQ78" s="165"/>
      <c r="UIR78" s="165"/>
      <c r="UIS78" s="165"/>
      <c r="UIT78" s="165"/>
      <c r="UIU78" s="165"/>
      <c r="UIV78" s="165"/>
      <c r="UIW78" s="165"/>
      <c r="UIX78" s="165"/>
      <c r="UIY78" s="165"/>
      <c r="UIZ78" s="165"/>
      <c r="UJA78" s="165"/>
      <c r="UJB78" s="165"/>
      <c r="UJC78" s="165"/>
      <c r="UJD78" s="165"/>
      <c r="UJE78" s="165"/>
      <c r="UJF78" s="165"/>
      <c r="UJG78" s="165"/>
      <c r="UJH78" s="165"/>
      <c r="UJI78" s="165"/>
      <c r="UJJ78" s="165"/>
      <c r="UJK78" s="165"/>
      <c r="UJL78" s="165"/>
      <c r="UJM78" s="165"/>
      <c r="UJN78" s="165"/>
      <c r="UJO78" s="165"/>
      <c r="UJP78" s="165"/>
      <c r="UJQ78" s="165"/>
      <c r="UJR78" s="165"/>
      <c r="UJS78" s="165"/>
      <c r="UJT78" s="165"/>
      <c r="UJU78" s="165"/>
      <c r="UJV78" s="165"/>
      <c r="UJW78" s="165"/>
      <c r="UJX78" s="165"/>
      <c r="UJY78" s="165"/>
      <c r="UJZ78" s="165"/>
      <c r="UKA78" s="165"/>
      <c r="UKB78" s="165"/>
      <c r="UKC78" s="165"/>
      <c r="UKD78" s="165"/>
      <c r="UKE78" s="165"/>
      <c r="UKF78" s="165"/>
      <c r="UKG78" s="165"/>
      <c r="UKH78" s="165"/>
      <c r="UKI78" s="165"/>
      <c r="UKJ78" s="165"/>
      <c r="UKK78" s="165"/>
      <c r="UKL78" s="165"/>
      <c r="UKM78" s="165"/>
      <c r="UKN78" s="165"/>
      <c r="UKO78" s="165"/>
      <c r="UKP78" s="165"/>
      <c r="UKQ78" s="165"/>
      <c r="UKR78" s="165"/>
      <c r="UKS78" s="165"/>
      <c r="UKT78" s="165"/>
      <c r="UKU78" s="165"/>
      <c r="UKV78" s="165"/>
      <c r="UKW78" s="165"/>
      <c r="UKX78" s="165"/>
      <c r="UKY78" s="165"/>
      <c r="UKZ78" s="165"/>
      <c r="ULA78" s="165"/>
      <c r="ULB78" s="165"/>
      <c r="ULC78" s="165"/>
      <c r="ULD78" s="165"/>
      <c r="ULE78" s="165"/>
      <c r="ULF78" s="165"/>
      <c r="ULG78" s="165"/>
      <c r="ULH78" s="165"/>
      <c r="ULI78" s="165"/>
      <c r="ULJ78" s="165"/>
      <c r="ULK78" s="165"/>
      <c r="ULL78" s="165"/>
      <c r="ULM78" s="165"/>
      <c r="ULN78" s="165"/>
      <c r="ULO78" s="165"/>
      <c r="ULP78" s="165"/>
      <c r="ULQ78" s="165"/>
      <c r="ULR78" s="165"/>
      <c r="ULS78" s="165"/>
      <c r="ULT78" s="165"/>
      <c r="ULU78" s="165"/>
      <c r="ULV78" s="165"/>
      <c r="ULW78" s="165"/>
      <c r="ULX78" s="165"/>
      <c r="ULY78" s="165"/>
      <c r="ULZ78" s="165"/>
      <c r="UMA78" s="165"/>
      <c r="UMB78" s="165"/>
      <c r="UMC78" s="165"/>
      <c r="UMD78" s="165"/>
      <c r="UME78" s="165"/>
      <c r="UMF78" s="165"/>
      <c r="UMG78" s="165"/>
      <c r="UMH78" s="165"/>
      <c r="UMI78" s="165"/>
      <c r="UMJ78" s="165"/>
      <c r="UMK78" s="165"/>
      <c r="UML78" s="165"/>
      <c r="UMM78" s="165"/>
      <c r="UMN78" s="165"/>
      <c r="UMO78" s="165"/>
      <c r="UMP78" s="165"/>
      <c r="UMQ78" s="165"/>
      <c r="UMR78" s="165"/>
      <c r="UMS78" s="165"/>
      <c r="UMT78" s="165"/>
      <c r="UMU78" s="165"/>
      <c r="UMV78" s="165"/>
      <c r="UMW78" s="165"/>
      <c r="UMX78" s="165"/>
      <c r="UMY78" s="165"/>
      <c r="UMZ78" s="165"/>
      <c r="UNA78" s="165"/>
      <c r="UNB78" s="165"/>
      <c r="UNC78" s="165"/>
      <c r="UND78" s="165"/>
      <c r="UNE78" s="165"/>
      <c r="UNF78" s="165"/>
      <c r="UNG78" s="165"/>
      <c r="UNH78" s="165"/>
      <c r="UNI78" s="165"/>
      <c r="UNJ78" s="165"/>
      <c r="UNK78" s="165"/>
      <c r="UNL78" s="165"/>
      <c r="UNM78" s="165"/>
      <c r="UNN78" s="165"/>
      <c r="UNO78" s="165"/>
      <c r="UNP78" s="165"/>
      <c r="UNQ78" s="165"/>
      <c r="UNR78" s="165"/>
      <c r="UNS78" s="165"/>
      <c r="UNT78" s="165"/>
      <c r="UNU78" s="165"/>
      <c r="UNV78" s="165"/>
      <c r="UNW78" s="165"/>
      <c r="UNX78" s="165"/>
      <c r="UNY78" s="165"/>
      <c r="UNZ78" s="165"/>
      <c r="UOA78" s="165"/>
      <c r="UOB78" s="165"/>
      <c r="UOC78" s="165"/>
      <c r="UOD78" s="165"/>
      <c r="UOE78" s="165"/>
      <c r="UOF78" s="165"/>
      <c r="UOG78" s="165"/>
      <c r="UOH78" s="165"/>
      <c r="UOI78" s="165"/>
      <c r="UOJ78" s="165"/>
      <c r="UOK78" s="165"/>
      <c r="UOL78" s="165"/>
      <c r="UOM78" s="165"/>
      <c r="UON78" s="165"/>
      <c r="UOO78" s="165"/>
      <c r="UOP78" s="165"/>
      <c r="UOQ78" s="165"/>
      <c r="UOR78" s="165"/>
      <c r="UOS78" s="165"/>
      <c r="UOT78" s="165"/>
      <c r="UOU78" s="165"/>
      <c r="UOV78" s="165"/>
      <c r="UOW78" s="165"/>
      <c r="UOX78" s="165"/>
      <c r="UOY78" s="165"/>
      <c r="UOZ78" s="165"/>
      <c r="UPA78" s="165"/>
      <c r="UPB78" s="165"/>
      <c r="UPC78" s="165"/>
      <c r="UPD78" s="165"/>
      <c r="UPE78" s="165"/>
      <c r="UPF78" s="165"/>
      <c r="UPG78" s="165"/>
      <c r="UPH78" s="165"/>
      <c r="UPI78" s="165"/>
      <c r="UPJ78" s="165"/>
      <c r="UPK78" s="165"/>
      <c r="UPL78" s="165"/>
      <c r="UPM78" s="165"/>
      <c r="UPN78" s="165"/>
      <c r="UPO78" s="165"/>
      <c r="UPP78" s="165"/>
      <c r="UPQ78" s="165"/>
      <c r="UPR78" s="165"/>
      <c r="UPS78" s="165"/>
      <c r="UPT78" s="165"/>
      <c r="UPU78" s="165"/>
      <c r="UPV78" s="165"/>
      <c r="UPW78" s="165"/>
      <c r="UPX78" s="165"/>
      <c r="UPY78" s="165"/>
      <c r="UPZ78" s="165"/>
      <c r="UQA78" s="165"/>
      <c r="UQB78" s="165"/>
      <c r="UQC78" s="165"/>
      <c r="UQD78" s="165"/>
      <c r="UQE78" s="165"/>
      <c r="UQF78" s="165"/>
      <c r="UQG78" s="165"/>
      <c r="UQH78" s="165"/>
      <c r="UQI78" s="165"/>
      <c r="UQJ78" s="165"/>
      <c r="UQK78" s="165"/>
      <c r="UQL78" s="165"/>
      <c r="UQM78" s="165"/>
      <c r="UQN78" s="165"/>
      <c r="UQO78" s="165"/>
      <c r="UQP78" s="165"/>
      <c r="UQQ78" s="165"/>
      <c r="UQR78" s="165"/>
      <c r="UQS78" s="165"/>
      <c r="UQT78" s="165"/>
      <c r="UQU78" s="165"/>
      <c r="UQV78" s="165"/>
      <c r="UQW78" s="165"/>
      <c r="UQX78" s="165"/>
      <c r="UQY78" s="165"/>
      <c r="UQZ78" s="165"/>
      <c r="URA78" s="165"/>
      <c r="URB78" s="165"/>
      <c r="URC78" s="165"/>
      <c r="URD78" s="165"/>
      <c r="URE78" s="165"/>
      <c r="URF78" s="165"/>
      <c r="URG78" s="165"/>
      <c r="URH78" s="165"/>
      <c r="URI78" s="165"/>
      <c r="URJ78" s="165"/>
      <c r="URK78" s="165"/>
      <c r="URL78" s="165"/>
      <c r="URM78" s="165"/>
      <c r="URN78" s="165"/>
      <c r="URO78" s="165"/>
      <c r="URP78" s="165"/>
      <c r="URQ78" s="165"/>
      <c r="URR78" s="165"/>
      <c r="URS78" s="165"/>
      <c r="URT78" s="165"/>
      <c r="URU78" s="165"/>
      <c r="URV78" s="165"/>
      <c r="URW78" s="165"/>
      <c r="URX78" s="165"/>
      <c r="URY78" s="165"/>
      <c r="URZ78" s="165"/>
      <c r="USA78" s="165"/>
      <c r="USB78" s="165"/>
      <c r="USC78" s="165"/>
      <c r="USD78" s="165"/>
      <c r="USE78" s="165"/>
      <c r="USF78" s="165"/>
      <c r="USG78" s="165"/>
      <c r="USH78" s="165"/>
      <c r="USI78" s="165"/>
      <c r="USJ78" s="165"/>
      <c r="USK78" s="165"/>
      <c r="USL78" s="165"/>
      <c r="USM78" s="165"/>
      <c r="USN78" s="165"/>
      <c r="USO78" s="165"/>
      <c r="USP78" s="165"/>
      <c r="USQ78" s="165"/>
      <c r="USR78" s="165"/>
      <c r="USS78" s="165"/>
      <c r="UST78" s="165"/>
      <c r="USU78" s="165"/>
      <c r="USV78" s="165"/>
      <c r="USW78" s="165"/>
      <c r="USX78" s="165"/>
      <c r="USY78" s="165"/>
      <c r="USZ78" s="165"/>
      <c r="UTA78" s="165"/>
      <c r="UTB78" s="165"/>
      <c r="UTC78" s="165"/>
      <c r="UTD78" s="165"/>
      <c r="UTE78" s="165"/>
      <c r="UTF78" s="165"/>
      <c r="UTG78" s="165"/>
      <c r="UTH78" s="165"/>
      <c r="UTI78" s="165"/>
      <c r="UTJ78" s="165"/>
      <c r="UTK78" s="165"/>
      <c r="UTL78" s="165"/>
      <c r="UTM78" s="165"/>
      <c r="UTN78" s="165"/>
      <c r="UTO78" s="165"/>
      <c r="UTP78" s="165"/>
      <c r="UTQ78" s="165"/>
      <c r="UTR78" s="165"/>
      <c r="UTS78" s="165"/>
      <c r="UTT78" s="165"/>
      <c r="UTU78" s="165"/>
      <c r="UTV78" s="165"/>
      <c r="UTW78" s="165"/>
      <c r="UTX78" s="165"/>
      <c r="UTY78" s="165"/>
      <c r="UTZ78" s="165"/>
      <c r="UUA78" s="165"/>
      <c r="UUB78" s="165"/>
      <c r="UUC78" s="165"/>
      <c r="UUD78" s="165"/>
      <c r="UUE78" s="165"/>
      <c r="UUF78" s="165"/>
      <c r="UUG78" s="165"/>
      <c r="UUH78" s="165"/>
      <c r="UUI78" s="165"/>
      <c r="UUJ78" s="165"/>
      <c r="UUK78" s="165"/>
      <c r="UUL78" s="165"/>
      <c r="UUM78" s="165"/>
      <c r="UUN78" s="165"/>
      <c r="UUO78" s="165"/>
      <c r="UUP78" s="165"/>
      <c r="UUQ78" s="165"/>
      <c r="UUR78" s="165"/>
      <c r="UUS78" s="165"/>
      <c r="UUT78" s="165"/>
      <c r="UUU78" s="165"/>
      <c r="UUV78" s="165"/>
      <c r="UUW78" s="165"/>
      <c r="UUX78" s="165"/>
      <c r="UUY78" s="165"/>
      <c r="UUZ78" s="165"/>
      <c r="UVA78" s="165"/>
      <c r="UVB78" s="165"/>
      <c r="UVC78" s="165"/>
      <c r="UVD78" s="165"/>
      <c r="UVE78" s="165"/>
      <c r="UVF78" s="165"/>
      <c r="UVG78" s="165"/>
      <c r="UVH78" s="165"/>
      <c r="UVI78" s="165"/>
      <c r="UVJ78" s="165"/>
      <c r="UVK78" s="165"/>
      <c r="UVL78" s="165"/>
      <c r="UVM78" s="165"/>
      <c r="UVN78" s="165"/>
      <c r="UVO78" s="165"/>
      <c r="UVP78" s="165"/>
      <c r="UVQ78" s="165"/>
      <c r="UVR78" s="165"/>
      <c r="UVS78" s="165"/>
      <c r="UVT78" s="165"/>
      <c r="UVU78" s="165"/>
      <c r="UVV78" s="165"/>
      <c r="UVW78" s="165"/>
      <c r="UVX78" s="165"/>
      <c r="UVY78" s="165"/>
      <c r="UVZ78" s="165"/>
      <c r="UWA78" s="165"/>
      <c r="UWB78" s="165"/>
      <c r="UWC78" s="165"/>
      <c r="UWD78" s="165"/>
      <c r="UWE78" s="165"/>
      <c r="UWF78" s="165"/>
      <c r="UWG78" s="165"/>
      <c r="UWH78" s="165"/>
      <c r="UWI78" s="165"/>
      <c r="UWJ78" s="165"/>
      <c r="UWK78" s="165"/>
      <c r="UWL78" s="165"/>
      <c r="UWM78" s="165"/>
      <c r="UWN78" s="165"/>
      <c r="UWO78" s="165"/>
      <c r="UWP78" s="165"/>
      <c r="UWQ78" s="165"/>
      <c r="UWR78" s="165"/>
      <c r="UWS78" s="165"/>
      <c r="UWT78" s="165"/>
      <c r="UWU78" s="165"/>
      <c r="UWV78" s="165"/>
      <c r="UWW78" s="165"/>
      <c r="UWX78" s="165"/>
      <c r="UWY78" s="165"/>
      <c r="UWZ78" s="165"/>
      <c r="UXA78" s="165"/>
      <c r="UXB78" s="165"/>
      <c r="UXC78" s="165"/>
      <c r="UXD78" s="165"/>
      <c r="UXE78" s="165"/>
      <c r="UXF78" s="165"/>
      <c r="UXG78" s="165"/>
      <c r="UXH78" s="165"/>
      <c r="UXI78" s="165"/>
      <c r="UXJ78" s="165"/>
      <c r="UXK78" s="165"/>
      <c r="UXL78" s="165"/>
      <c r="UXM78" s="165"/>
      <c r="UXN78" s="165"/>
      <c r="UXO78" s="165"/>
      <c r="UXP78" s="165"/>
      <c r="UXQ78" s="165"/>
      <c r="UXR78" s="165"/>
      <c r="UXS78" s="165"/>
      <c r="UXT78" s="165"/>
      <c r="UXU78" s="165"/>
      <c r="UXV78" s="165"/>
      <c r="UXW78" s="165"/>
      <c r="UXX78" s="165"/>
      <c r="UXY78" s="165"/>
      <c r="UXZ78" s="165"/>
      <c r="UYA78" s="165"/>
      <c r="UYB78" s="165"/>
      <c r="UYC78" s="165"/>
      <c r="UYD78" s="165"/>
      <c r="UYE78" s="165"/>
      <c r="UYF78" s="165"/>
      <c r="UYG78" s="165"/>
      <c r="UYH78" s="165"/>
      <c r="UYI78" s="165"/>
      <c r="UYJ78" s="165"/>
      <c r="UYK78" s="165"/>
      <c r="UYL78" s="165"/>
      <c r="UYM78" s="165"/>
      <c r="UYN78" s="165"/>
      <c r="UYO78" s="165"/>
      <c r="UYP78" s="165"/>
      <c r="UYQ78" s="165"/>
      <c r="UYR78" s="165"/>
      <c r="UYS78" s="165"/>
      <c r="UYT78" s="165"/>
      <c r="UYU78" s="165"/>
      <c r="UYV78" s="165"/>
      <c r="UYW78" s="165"/>
      <c r="UYX78" s="165"/>
      <c r="UYY78" s="165"/>
      <c r="UYZ78" s="165"/>
      <c r="UZA78" s="165"/>
      <c r="UZB78" s="165"/>
      <c r="UZC78" s="165"/>
      <c r="UZD78" s="165"/>
      <c r="UZE78" s="165"/>
      <c r="UZF78" s="165"/>
      <c r="UZG78" s="165"/>
      <c r="UZH78" s="165"/>
      <c r="UZI78" s="165"/>
      <c r="UZJ78" s="165"/>
      <c r="UZK78" s="165"/>
      <c r="UZL78" s="165"/>
      <c r="UZM78" s="165"/>
      <c r="UZN78" s="165"/>
      <c r="UZO78" s="165"/>
      <c r="UZP78" s="165"/>
      <c r="UZQ78" s="165"/>
      <c r="UZR78" s="165"/>
      <c r="UZS78" s="165"/>
      <c r="UZT78" s="165"/>
      <c r="UZU78" s="165"/>
      <c r="UZV78" s="165"/>
      <c r="UZW78" s="165"/>
      <c r="UZX78" s="165"/>
      <c r="UZY78" s="165"/>
      <c r="UZZ78" s="165"/>
      <c r="VAA78" s="165"/>
      <c r="VAB78" s="165"/>
      <c r="VAC78" s="165"/>
      <c r="VAD78" s="165"/>
      <c r="VAE78" s="165"/>
      <c r="VAF78" s="165"/>
      <c r="VAG78" s="165"/>
      <c r="VAH78" s="165"/>
      <c r="VAI78" s="165"/>
      <c r="VAJ78" s="165"/>
      <c r="VAK78" s="165"/>
      <c r="VAL78" s="165"/>
      <c r="VAM78" s="165"/>
      <c r="VAN78" s="165"/>
      <c r="VAO78" s="165"/>
      <c r="VAP78" s="165"/>
      <c r="VAQ78" s="165"/>
      <c r="VAR78" s="165"/>
      <c r="VAS78" s="165"/>
      <c r="VAT78" s="165"/>
      <c r="VAU78" s="165"/>
      <c r="VAV78" s="165"/>
      <c r="VAW78" s="165"/>
      <c r="VAX78" s="165"/>
      <c r="VAY78" s="165"/>
      <c r="VAZ78" s="165"/>
      <c r="VBA78" s="165"/>
      <c r="VBB78" s="165"/>
      <c r="VBC78" s="165"/>
      <c r="VBD78" s="165"/>
      <c r="VBE78" s="165"/>
      <c r="VBF78" s="165"/>
      <c r="VBG78" s="165"/>
      <c r="VBH78" s="165"/>
      <c r="VBI78" s="165"/>
      <c r="VBJ78" s="165"/>
      <c r="VBK78" s="165"/>
      <c r="VBL78" s="165"/>
      <c r="VBM78" s="165"/>
      <c r="VBN78" s="165"/>
      <c r="VBO78" s="165"/>
      <c r="VBP78" s="165"/>
      <c r="VBQ78" s="165"/>
      <c r="VBR78" s="165"/>
      <c r="VBS78" s="165"/>
      <c r="VBT78" s="165"/>
      <c r="VBU78" s="165"/>
      <c r="VBV78" s="165"/>
      <c r="VBW78" s="165"/>
      <c r="VBX78" s="165"/>
      <c r="VBY78" s="165"/>
      <c r="VBZ78" s="165"/>
      <c r="VCA78" s="165"/>
      <c r="VCB78" s="165"/>
      <c r="VCC78" s="165"/>
      <c r="VCD78" s="165"/>
      <c r="VCE78" s="165"/>
      <c r="VCF78" s="165"/>
      <c r="VCG78" s="165"/>
      <c r="VCH78" s="165"/>
      <c r="VCI78" s="165"/>
      <c r="VCJ78" s="165"/>
      <c r="VCK78" s="165"/>
      <c r="VCL78" s="165"/>
      <c r="VCM78" s="165"/>
      <c r="VCN78" s="165"/>
      <c r="VCO78" s="165"/>
      <c r="VCP78" s="165"/>
      <c r="VCQ78" s="165"/>
      <c r="VCR78" s="165"/>
      <c r="VCS78" s="165"/>
      <c r="VCT78" s="165"/>
      <c r="VCU78" s="165"/>
      <c r="VCV78" s="165"/>
      <c r="VCW78" s="165"/>
      <c r="VCX78" s="165"/>
      <c r="VCY78" s="165"/>
      <c r="VCZ78" s="165"/>
      <c r="VDA78" s="165"/>
      <c r="VDB78" s="165"/>
      <c r="VDC78" s="165"/>
      <c r="VDD78" s="165"/>
      <c r="VDE78" s="165"/>
      <c r="VDF78" s="165"/>
      <c r="VDG78" s="165"/>
      <c r="VDH78" s="165"/>
      <c r="VDI78" s="165"/>
      <c r="VDJ78" s="165"/>
      <c r="VDK78" s="165"/>
      <c r="VDL78" s="165"/>
      <c r="VDM78" s="165"/>
      <c r="VDN78" s="165"/>
      <c r="VDO78" s="165"/>
      <c r="VDP78" s="165"/>
      <c r="VDQ78" s="165"/>
      <c r="VDR78" s="165"/>
      <c r="VDS78" s="165"/>
      <c r="VDT78" s="165"/>
      <c r="VDU78" s="165"/>
      <c r="VDV78" s="165"/>
      <c r="VDW78" s="165"/>
      <c r="VDX78" s="165"/>
      <c r="VDY78" s="165"/>
      <c r="VDZ78" s="165"/>
      <c r="VEA78" s="165"/>
      <c r="VEB78" s="165"/>
      <c r="VEC78" s="165"/>
      <c r="VED78" s="165"/>
      <c r="VEE78" s="165"/>
      <c r="VEF78" s="165"/>
      <c r="VEG78" s="165"/>
      <c r="VEH78" s="165"/>
      <c r="VEI78" s="165"/>
      <c r="VEJ78" s="165"/>
      <c r="VEK78" s="165"/>
      <c r="VEL78" s="165"/>
      <c r="VEM78" s="165"/>
      <c r="VEN78" s="165"/>
      <c r="VEO78" s="165"/>
      <c r="VEP78" s="165"/>
      <c r="VEQ78" s="165"/>
      <c r="VER78" s="165"/>
      <c r="VES78" s="165"/>
      <c r="VET78" s="165"/>
      <c r="VEU78" s="165"/>
      <c r="VEV78" s="165"/>
      <c r="VEW78" s="165"/>
      <c r="VEX78" s="165"/>
      <c r="VEY78" s="165"/>
      <c r="VEZ78" s="165"/>
      <c r="VFA78" s="165"/>
      <c r="VFB78" s="165"/>
      <c r="VFC78" s="165"/>
      <c r="VFD78" s="165"/>
      <c r="VFE78" s="165"/>
      <c r="VFF78" s="165"/>
      <c r="VFG78" s="165"/>
      <c r="VFH78" s="165"/>
      <c r="VFI78" s="165"/>
      <c r="VFJ78" s="165"/>
      <c r="VFK78" s="165"/>
      <c r="VFL78" s="165"/>
      <c r="VFM78" s="165"/>
      <c r="VFN78" s="165"/>
      <c r="VFO78" s="165"/>
      <c r="VFP78" s="165"/>
      <c r="VFQ78" s="165"/>
      <c r="VFR78" s="165"/>
      <c r="VFS78" s="165"/>
      <c r="VFT78" s="165"/>
      <c r="VFU78" s="165"/>
      <c r="VFV78" s="165"/>
      <c r="VFW78" s="165"/>
      <c r="VFX78" s="165"/>
      <c r="VFY78" s="165"/>
      <c r="VFZ78" s="165"/>
      <c r="VGA78" s="165"/>
      <c r="VGB78" s="165"/>
      <c r="VGC78" s="165"/>
      <c r="VGD78" s="165"/>
      <c r="VGE78" s="165"/>
      <c r="VGF78" s="165"/>
      <c r="VGG78" s="165"/>
      <c r="VGH78" s="165"/>
      <c r="VGI78" s="165"/>
      <c r="VGJ78" s="165"/>
      <c r="VGK78" s="165"/>
      <c r="VGL78" s="165"/>
      <c r="VGM78" s="165"/>
      <c r="VGN78" s="165"/>
      <c r="VGO78" s="165"/>
      <c r="VGP78" s="165"/>
      <c r="VGQ78" s="165"/>
      <c r="VGR78" s="165"/>
      <c r="VGS78" s="165"/>
      <c r="VGT78" s="165"/>
      <c r="VGU78" s="165"/>
      <c r="VGV78" s="165"/>
      <c r="VGW78" s="165"/>
      <c r="VGX78" s="165"/>
      <c r="VGY78" s="165"/>
      <c r="VGZ78" s="165"/>
      <c r="VHA78" s="165"/>
      <c r="VHB78" s="165"/>
      <c r="VHC78" s="165"/>
      <c r="VHD78" s="165"/>
      <c r="VHE78" s="165"/>
      <c r="VHF78" s="165"/>
      <c r="VHG78" s="165"/>
      <c r="VHH78" s="165"/>
      <c r="VHI78" s="165"/>
      <c r="VHJ78" s="165"/>
      <c r="VHK78" s="165"/>
      <c r="VHL78" s="165"/>
      <c r="VHM78" s="165"/>
      <c r="VHN78" s="165"/>
      <c r="VHO78" s="165"/>
      <c r="VHP78" s="165"/>
      <c r="VHQ78" s="165"/>
      <c r="VHR78" s="165"/>
      <c r="VHS78" s="165"/>
      <c r="VHT78" s="165"/>
      <c r="VHU78" s="165"/>
      <c r="VHV78" s="165"/>
      <c r="VHW78" s="165"/>
      <c r="VHX78" s="165"/>
      <c r="VHY78" s="165"/>
      <c r="VHZ78" s="165"/>
      <c r="VIA78" s="165"/>
      <c r="VIB78" s="165"/>
      <c r="VIC78" s="165"/>
      <c r="VID78" s="165"/>
      <c r="VIE78" s="165"/>
      <c r="VIF78" s="165"/>
      <c r="VIG78" s="165"/>
      <c r="VIH78" s="165"/>
      <c r="VII78" s="165"/>
      <c r="VIJ78" s="165"/>
      <c r="VIK78" s="165"/>
      <c r="VIL78" s="165"/>
      <c r="VIM78" s="165"/>
      <c r="VIN78" s="165"/>
      <c r="VIO78" s="165"/>
      <c r="VIP78" s="165"/>
      <c r="VIQ78" s="165"/>
      <c r="VIR78" s="165"/>
      <c r="VIS78" s="165"/>
      <c r="VIT78" s="165"/>
      <c r="VIU78" s="165"/>
      <c r="VIV78" s="165"/>
      <c r="VIW78" s="165"/>
      <c r="VIX78" s="165"/>
      <c r="VIY78" s="165"/>
      <c r="VIZ78" s="165"/>
      <c r="VJA78" s="165"/>
      <c r="VJB78" s="165"/>
      <c r="VJC78" s="165"/>
      <c r="VJD78" s="165"/>
      <c r="VJE78" s="165"/>
      <c r="VJF78" s="165"/>
      <c r="VJG78" s="165"/>
      <c r="VJH78" s="165"/>
      <c r="VJI78" s="165"/>
      <c r="VJJ78" s="165"/>
      <c r="VJK78" s="165"/>
      <c r="VJL78" s="165"/>
      <c r="VJM78" s="165"/>
      <c r="VJN78" s="165"/>
      <c r="VJO78" s="165"/>
      <c r="VJP78" s="165"/>
      <c r="VJQ78" s="165"/>
      <c r="VJR78" s="165"/>
      <c r="VJS78" s="165"/>
      <c r="VJT78" s="165"/>
      <c r="VJU78" s="165"/>
      <c r="VJV78" s="165"/>
      <c r="VJW78" s="165"/>
      <c r="VJX78" s="165"/>
      <c r="VJY78" s="165"/>
      <c r="VJZ78" s="165"/>
      <c r="VKA78" s="165"/>
      <c r="VKB78" s="165"/>
      <c r="VKC78" s="165"/>
      <c r="VKD78" s="165"/>
      <c r="VKE78" s="165"/>
      <c r="VKF78" s="165"/>
      <c r="VKG78" s="165"/>
      <c r="VKH78" s="165"/>
      <c r="VKI78" s="165"/>
      <c r="VKJ78" s="165"/>
      <c r="VKK78" s="165"/>
      <c r="VKL78" s="165"/>
      <c r="VKM78" s="165"/>
      <c r="VKN78" s="165"/>
      <c r="VKO78" s="165"/>
      <c r="VKP78" s="165"/>
      <c r="VKQ78" s="165"/>
      <c r="VKR78" s="165"/>
      <c r="VKS78" s="165"/>
      <c r="VKT78" s="165"/>
      <c r="VKU78" s="165"/>
      <c r="VKV78" s="165"/>
      <c r="VKW78" s="165"/>
      <c r="VKX78" s="165"/>
      <c r="VKY78" s="165"/>
      <c r="VKZ78" s="165"/>
      <c r="VLA78" s="165"/>
      <c r="VLB78" s="165"/>
      <c r="VLC78" s="165"/>
      <c r="VLD78" s="165"/>
      <c r="VLE78" s="165"/>
      <c r="VLF78" s="165"/>
      <c r="VLG78" s="165"/>
      <c r="VLH78" s="165"/>
      <c r="VLI78" s="165"/>
      <c r="VLJ78" s="165"/>
      <c r="VLK78" s="165"/>
      <c r="VLL78" s="165"/>
      <c r="VLM78" s="165"/>
      <c r="VLN78" s="165"/>
      <c r="VLO78" s="165"/>
      <c r="VLP78" s="165"/>
      <c r="VLQ78" s="165"/>
      <c r="VLR78" s="165"/>
      <c r="VLS78" s="165"/>
      <c r="VLT78" s="165"/>
      <c r="VLU78" s="165"/>
      <c r="VLV78" s="165"/>
      <c r="VLW78" s="165"/>
      <c r="VLX78" s="165"/>
      <c r="VLY78" s="165"/>
      <c r="VLZ78" s="165"/>
      <c r="VMA78" s="165"/>
      <c r="VMB78" s="165"/>
      <c r="VMC78" s="165"/>
      <c r="VMD78" s="165"/>
      <c r="VME78" s="165"/>
      <c r="VMF78" s="165"/>
      <c r="VMG78" s="165"/>
      <c r="VMH78" s="165"/>
      <c r="VMI78" s="165"/>
      <c r="VMJ78" s="165"/>
      <c r="VMK78" s="165"/>
      <c r="VML78" s="165"/>
      <c r="VMM78" s="165"/>
      <c r="VMN78" s="165"/>
      <c r="VMO78" s="165"/>
      <c r="VMP78" s="165"/>
      <c r="VMQ78" s="165"/>
      <c r="VMR78" s="165"/>
      <c r="VMS78" s="165"/>
      <c r="VMT78" s="165"/>
      <c r="VMU78" s="165"/>
      <c r="VMV78" s="165"/>
      <c r="VMW78" s="165"/>
      <c r="VMX78" s="165"/>
      <c r="VMY78" s="165"/>
      <c r="VMZ78" s="165"/>
      <c r="VNA78" s="165"/>
      <c r="VNB78" s="165"/>
      <c r="VNC78" s="165"/>
      <c r="VND78" s="165"/>
      <c r="VNE78" s="165"/>
      <c r="VNF78" s="165"/>
      <c r="VNG78" s="165"/>
      <c r="VNH78" s="165"/>
      <c r="VNI78" s="165"/>
      <c r="VNJ78" s="165"/>
      <c r="VNK78" s="165"/>
      <c r="VNL78" s="165"/>
      <c r="VNM78" s="165"/>
      <c r="VNN78" s="165"/>
      <c r="VNO78" s="165"/>
      <c r="VNP78" s="165"/>
      <c r="VNQ78" s="165"/>
      <c r="VNR78" s="165"/>
      <c r="VNS78" s="165"/>
      <c r="VNT78" s="165"/>
      <c r="VNU78" s="165"/>
      <c r="VNV78" s="165"/>
      <c r="VNW78" s="165"/>
      <c r="VNX78" s="165"/>
      <c r="VNY78" s="165"/>
      <c r="VNZ78" s="165"/>
      <c r="VOA78" s="165"/>
      <c r="VOB78" s="165"/>
      <c r="VOC78" s="165"/>
      <c r="VOD78" s="165"/>
      <c r="VOE78" s="165"/>
      <c r="VOF78" s="165"/>
      <c r="VOG78" s="165"/>
      <c r="VOH78" s="165"/>
      <c r="VOI78" s="165"/>
      <c r="VOJ78" s="165"/>
      <c r="VOK78" s="165"/>
      <c r="VOL78" s="165"/>
      <c r="VOM78" s="165"/>
      <c r="VON78" s="165"/>
      <c r="VOO78" s="165"/>
      <c r="VOP78" s="165"/>
      <c r="VOQ78" s="165"/>
      <c r="VOR78" s="165"/>
      <c r="VOS78" s="165"/>
      <c r="VOT78" s="165"/>
      <c r="VOU78" s="165"/>
      <c r="VOV78" s="165"/>
      <c r="VOW78" s="165"/>
      <c r="VOX78" s="165"/>
      <c r="VOY78" s="165"/>
      <c r="VOZ78" s="165"/>
      <c r="VPA78" s="165"/>
      <c r="VPB78" s="165"/>
      <c r="VPC78" s="165"/>
      <c r="VPD78" s="165"/>
      <c r="VPE78" s="165"/>
      <c r="VPF78" s="165"/>
      <c r="VPG78" s="165"/>
      <c r="VPH78" s="165"/>
      <c r="VPI78" s="165"/>
      <c r="VPJ78" s="165"/>
      <c r="VPK78" s="165"/>
      <c r="VPL78" s="165"/>
      <c r="VPM78" s="165"/>
      <c r="VPN78" s="165"/>
      <c r="VPO78" s="165"/>
      <c r="VPP78" s="165"/>
      <c r="VPQ78" s="165"/>
      <c r="VPR78" s="165"/>
      <c r="VPS78" s="165"/>
      <c r="VPT78" s="165"/>
      <c r="VPU78" s="165"/>
      <c r="VPV78" s="165"/>
      <c r="VPW78" s="165"/>
      <c r="VPX78" s="165"/>
      <c r="VPY78" s="165"/>
      <c r="VPZ78" s="165"/>
      <c r="VQA78" s="165"/>
      <c r="VQB78" s="165"/>
      <c r="VQC78" s="165"/>
      <c r="VQD78" s="165"/>
      <c r="VQE78" s="165"/>
      <c r="VQF78" s="165"/>
      <c r="VQG78" s="165"/>
      <c r="VQH78" s="165"/>
      <c r="VQI78" s="165"/>
      <c r="VQJ78" s="165"/>
      <c r="VQK78" s="165"/>
      <c r="VQL78" s="165"/>
      <c r="VQM78" s="165"/>
      <c r="VQN78" s="165"/>
      <c r="VQO78" s="165"/>
      <c r="VQP78" s="165"/>
      <c r="VQQ78" s="165"/>
      <c r="VQR78" s="165"/>
      <c r="VQS78" s="165"/>
      <c r="VQT78" s="165"/>
      <c r="VQU78" s="165"/>
      <c r="VQV78" s="165"/>
      <c r="VQW78" s="165"/>
      <c r="VQX78" s="165"/>
      <c r="VQY78" s="165"/>
      <c r="VQZ78" s="165"/>
      <c r="VRA78" s="165"/>
      <c r="VRB78" s="165"/>
      <c r="VRC78" s="165"/>
      <c r="VRD78" s="165"/>
      <c r="VRE78" s="165"/>
      <c r="VRF78" s="165"/>
      <c r="VRG78" s="165"/>
      <c r="VRH78" s="165"/>
      <c r="VRI78" s="165"/>
      <c r="VRJ78" s="165"/>
      <c r="VRK78" s="165"/>
      <c r="VRL78" s="165"/>
      <c r="VRM78" s="165"/>
      <c r="VRN78" s="165"/>
      <c r="VRO78" s="165"/>
      <c r="VRP78" s="165"/>
      <c r="VRQ78" s="165"/>
      <c r="VRR78" s="165"/>
      <c r="VRS78" s="165"/>
      <c r="VRT78" s="165"/>
      <c r="VRU78" s="165"/>
      <c r="VRV78" s="165"/>
      <c r="VRW78" s="165"/>
      <c r="VRX78" s="165"/>
      <c r="VRY78" s="165"/>
      <c r="VRZ78" s="165"/>
      <c r="VSA78" s="165"/>
      <c r="VSB78" s="165"/>
      <c r="VSC78" s="165"/>
      <c r="VSD78" s="165"/>
      <c r="VSE78" s="165"/>
      <c r="VSF78" s="165"/>
      <c r="VSG78" s="165"/>
      <c r="VSH78" s="165"/>
      <c r="VSI78" s="165"/>
      <c r="VSJ78" s="165"/>
      <c r="VSK78" s="165"/>
      <c r="VSL78" s="165"/>
      <c r="VSM78" s="165"/>
      <c r="VSN78" s="165"/>
      <c r="VSO78" s="165"/>
      <c r="VSP78" s="165"/>
      <c r="VSQ78" s="165"/>
      <c r="VSR78" s="165"/>
      <c r="VSS78" s="165"/>
      <c r="VST78" s="165"/>
      <c r="VSU78" s="165"/>
      <c r="VSV78" s="165"/>
      <c r="VSW78" s="165"/>
      <c r="VSX78" s="165"/>
      <c r="VSY78" s="165"/>
      <c r="VSZ78" s="165"/>
      <c r="VTA78" s="165"/>
      <c r="VTB78" s="165"/>
      <c r="VTC78" s="165"/>
      <c r="VTD78" s="165"/>
      <c r="VTE78" s="165"/>
      <c r="VTF78" s="165"/>
      <c r="VTG78" s="165"/>
      <c r="VTH78" s="165"/>
      <c r="VTI78" s="165"/>
      <c r="VTJ78" s="165"/>
      <c r="VTK78" s="165"/>
      <c r="VTL78" s="165"/>
      <c r="VTM78" s="165"/>
      <c r="VTN78" s="165"/>
      <c r="VTO78" s="165"/>
      <c r="VTP78" s="165"/>
      <c r="VTQ78" s="165"/>
      <c r="VTR78" s="165"/>
      <c r="VTS78" s="165"/>
      <c r="VTT78" s="165"/>
      <c r="VTU78" s="165"/>
      <c r="VTV78" s="165"/>
      <c r="VTW78" s="165"/>
      <c r="VTX78" s="165"/>
      <c r="VTY78" s="165"/>
      <c r="VTZ78" s="165"/>
      <c r="VUA78" s="165"/>
      <c r="VUB78" s="165"/>
      <c r="VUC78" s="165"/>
      <c r="VUD78" s="165"/>
      <c r="VUE78" s="165"/>
      <c r="VUF78" s="165"/>
      <c r="VUG78" s="165"/>
      <c r="VUH78" s="165"/>
      <c r="VUI78" s="165"/>
      <c r="VUJ78" s="165"/>
      <c r="VUK78" s="165"/>
      <c r="VUL78" s="165"/>
      <c r="VUM78" s="165"/>
      <c r="VUN78" s="165"/>
      <c r="VUO78" s="165"/>
      <c r="VUP78" s="165"/>
      <c r="VUQ78" s="165"/>
      <c r="VUR78" s="165"/>
      <c r="VUS78" s="165"/>
      <c r="VUT78" s="165"/>
      <c r="VUU78" s="165"/>
      <c r="VUV78" s="165"/>
      <c r="VUW78" s="165"/>
      <c r="VUX78" s="165"/>
      <c r="VUY78" s="165"/>
      <c r="VUZ78" s="165"/>
      <c r="VVA78" s="165"/>
      <c r="VVB78" s="165"/>
      <c r="VVC78" s="165"/>
      <c r="VVD78" s="165"/>
      <c r="VVE78" s="165"/>
      <c r="VVF78" s="165"/>
      <c r="VVG78" s="165"/>
      <c r="VVH78" s="165"/>
      <c r="VVI78" s="165"/>
      <c r="VVJ78" s="165"/>
      <c r="VVK78" s="165"/>
      <c r="VVL78" s="165"/>
      <c r="VVM78" s="165"/>
      <c r="VVN78" s="165"/>
      <c r="VVO78" s="165"/>
      <c r="VVP78" s="165"/>
      <c r="VVQ78" s="165"/>
      <c r="VVR78" s="165"/>
      <c r="VVS78" s="165"/>
      <c r="VVT78" s="165"/>
      <c r="VVU78" s="165"/>
      <c r="VVV78" s="165"/>
      <c r="VVW78" s="165"/>
      <c r="VVX78" s="165"/>
      <c r="VVY78" s="165"/>
      <c r="VVZ78" s="165"/>
      <c r="VWA78" s="165"/>
      <c r="VWB78" s="165"/>
      <c r="VWC78" s="165"/>
      <c r="VWD78" s="165"/>
      <c r="VWE78" s="165"/>
      <c r="VWF78" s="165"/>
      <c r="VWG78" s="165"/>
      <c r="VWH78" s="165"/>
      <c r="VWI78" s="165"/>
      <c r="VWJ78" s="165"/>
      <c r="VWK78" s="165"/>
      <c r="VWL78" s="165"/>
      <c r="VWM78" s="165"/>
      <c r="VWN78" s="165"/>
      <c r="VWO78" s="165"/>
      <c r="VWP78" s="165"/>
      <c r="VWQ78" s="165"/>
      <c r="VWR78" s="165"/>
      <c r="VWS78" s="165"/>
      <c r="VWT78" s="165"/>
      <c r="VWU78" s="165"/>
      <c r="VWV78" s="165"/>
      <c r="VWW78" s="165"/>
      <c r="VWX78" s="165"/>
      <c r="VWY78" s="165"/>
      <c r="VWZ78" s="165"/>
      <c r="VXA78" s="165"/>
      <c r="VXB78" s="165"/>
      <c r="VXC78" s="165"/>
      <c r="VXD78" s="165"/>
      <c r="VXE78" s="165"/>
      <c r="VXF78" s="165"/>
      <c r="VXG78" s="165"/>
      <c r="VXH78" s="165"/>
      <c r="VXI78" s="165"/>
      <c r="VXJ78" s="165"/>
      <c r="VXK78" s="165"/>
      <c r="VXL78" s="165"/>
      <c r="VXM78" s="165"/>
      <c r="VXN78" s="165"/>
      <c r="VXO78" s="165"/>
      <c r="VXP78" s="165"/>
      <c r="VXQ78" s="165"/>
      <c r="VXR78" s="165"/>
      <c r="VXS78" s="165"/>
      <c r="VXT78" s="165"/>
      <c r="VXU78" s="165"/>
      <c r="VXV78" s="165"/>
      <c r="VXW78" s="165"/>
      <c r="VXX78" s="165"/>
      <c r="VXY78" s="165"/>
      <c r="VXZ78" s="165"/>
      <c r="VYA78" s="165"/>
      <c r="VYB78" s="165"/>
      <c r="VYC78" s="165"/>
      <c r="VYD78" s="165"/>
      <c r="VYE78" s="165"/>
      <c r="VYF78" s="165"/>
      <c r="VYG78" s="165"/>
      <c r="VYH78" s="165"/>
      <c r="VYI78" s="165"/>
      <c r="VYJ78" s="165"/>
      <c r="VYK78" s="165"/>
      <c r="VYL78" s="165"/>
      <c r="VYM78" s="165"/>
      <c r="VYN78" s="165"/>
      <c r="VYO78" s="165"/>
      <c r="VYP78" s="165"/>
      <c r="VYQ78" s="165"/>
      <c r="VYR78" s="165"/>
      <c r="VYS78" s="165"/>
      <c r="VYT78" s="165"/>
      <c r="VYU78" s="165"/>
      <c r="VYV78" s="165"/>
      <c r="VYW78" s="165"/>
      <c r="VYX78" s="165"/>
      <c r="VYY78" s="165"/>
      <c r="VYZ78" s="165"/>
      <c r="VZA78" s="165"/>
      <c r="VZB78" s="165"/>
      <c r="VZC78" s="165"/>
      <c r="VZD78" s="165"/>
      <c r="VZE78" s="165"/>
      <c r="VZF78" s="165"/>
      <c r="VZG78" s="165"/>
      <c r="VZH78" s="165"/>
      <c r="VZI78" s="165"/>
      <c r="VZJ78" s="165"/>
      <c r="VZK78" s="165"/>
      <c r="VZL78" s="165"/>
      <c r="VZM78" s="165"/>
      <c r="VZN78" s="165"/>
      <c r="VZO78" s="165"/>
      <c r="VZP78" s="165"/>
      <c r="VZQ78" s="165"/>
      <c r="VZR78" s="165"/>
      <c r="VZS78" s="165"/>
      <c r="VZT78" s="165"/>
      <c r="VZU78" s="165"/>
      <c r="VZV78" s="165"/>
      <c r="VZW78" s="165"/>
      <c r="VZX78" s="165"/>
      <c r="VZY78" s="165"/>
      <c r="VZZ78" s="165"/>
      <c r="WAA78" s="165"/>
      <c r="WAB78" s="165"/>
      <c r="WAC78" s="165"/>
      <c r="WAD78" s="165"/>
      <c r="WAE78" s="165"/>
      <c r="WAF78" s="165"/>
      <c r="WAG78" s="165"/>
      <c r="WAH78" s="165"/>
      <c r="WAI78" s="165"/>
      <c r="WAJ78" s="165"/>
      <c r="WAK78" s="165"/>
      <c r="WAL78" s="165"/>
      <c r="WAM78" s="165"/>
      <c r="WAN78" s="165"/>
      <c r="WAO78" s="165"/>
      <c r="WAP78" s="165"/>
      <c r="WAQ78" s="165"/>
      <c r="WAR78" s="165"/>
      <c r="WAS78" s="165"/>
      <c r="WAT78" s="165"/>
      <c r="WAU78" s="165"/>
      <c r="WAV78" s="165"/>
      <c r="WAW78" s="165"/>
      <c r="WAX78" s="165"/>
      <c r="WAY78" s="165"/>
      <c r="WAZ78" s="165"/>
      <c r="WBA78" s="165"/>
      <c r="WBB78" s="165"/>
      <c r="WBC78" s="165"/>
      <c r="WBD78" s="165"/>
      <c r="WBE78" s="165"/>
      <c r="WBF78" s="165"/>
      <c r="WBG78" s="165"/>
      <c r="WBH78" s="165"/>
      <c r="WBI78" s="165"/>
      <c r="WBJ78" s="165"/>
      <c r="WBK78" s="165"/>
      <c r="WBL78" s="165"/>
      <c r="WBM78" s="165"/>
      <c r="WBN78" s="165"/>
      <c r="WBO78" s="165"/>
      <c r="WBP78" s="165"/>
      <c r="WBQ78" s="165"/>
      <c r="WBR78" s="165"/>
      <c r="WBS78" s="165"/>
      <c r="WBT78" s="165"/>
      <c r="WBU78" s="165"/>
      <c r="WBV78" s="165"/>
      <c r="WBW78" s="165"/>
      <c r="WBX78" s="165"/>
      <c r="WBY78" s="165"/>
      <c r="WBZ78" s="165"/>
      <c r="WCA78" s="165"/>
      <c r="WCB78" s="165"/>
      <c r="WCC78" s="165"/>
      <c r="WCD78" s="165"/>
      <c r="WCE78" s="165"/>
      <c r="WCF78" s="165"/>
      <c r="WCG78" s="165"/>
      <c r="WCH78" s="165"/>
      <c r="WCI78" s="165"/>
      <c r="WCJ78" s="165"/>
      <c r="WCK78" s="165"/>
      <c r="WCL78" s="165"/>
      <c r="WCM78" s="165"/>
      <c r="WCN78" s="165"/>
      <c r="WCO78" s="165"/>
      <c r="WCP78" s="165"/>
      <c r="WCQ78" s="165"/>
      <c r="WCR78" s="165"/>
      <c r="WCS78" s="165"/>
      <c r="WCT78" s="165"/>
      <c r="WCU78" s="165"/>
      <c r="WCV78" s="165"/>
      <c r="WCW78" s="165"/>
      <c r="WCX78" s="165"/>
      <c r="WCY78" s="165"/>
      <c r="WCZ78" s="165"/>
      <c r="WDA78" s="165"/>
      <c r="WDB78" s="165"/>
      <c r="WDC78" s="165"/>
      <c r="WDD78" s="165"/>
      <c r="WDE78" s="165"/>
      <c r="WDF78" s="165"/>
      <c r="WDG78" s="165"/>
      <c r="WDH78" s="165"/>
      <c r="WDI78" s="165"/>
      <c r="WDJ78" s="165"/>
      <c r="WDK78" s="165"/>
      <c r="WDL78" s="165"/>
      <c r="WDM78" s="165"/>
      <c r="WDN78" s="165"/>
      <c r="WDO78" s="165"/>
      <c r="WDP78" s="165"/>
      <c r="WDQ78" s="165"/>
      <c r="WDR78" s="165"/>
      <c r="WDS78" s="165"/>
      <c r="WDT78" s="165"/>
      <c r="WDU78" s="165"/>
      <c r="WDV78" s="165"/>
      <c r="WDW78" s="165"/>
      <c r="WDX78" s="165"/>
      <c r="WDY78" s="165"/>
      <c r="WDZ78" s="165"/>
      <c r="WEA78" s="165"/>
      <c r="WEB78" s="165"/>
      <c r="WEC78" s="165"/>
      <c r="WED78" s="165"/>
      <c r="WEE78" s="165"/>
      <c r="WEF78" s="165"/>
      <c r="WEG78" s="165"/>
      <c r="WEH78" s="165"/>
      <c r="WEI78" s="165"/>
      <c r="WEJ78" s="165"/>
      <c r="WEK78" s="165"/>
      <c r="WEL78" s="165"/>
      <c r="WEM78" s="165"/>
      <c r="WEN78" s="165"/>
      <c r="WEO78" s="165"/>
      <c r="WEP78" s="165"/>
      <c r="WEQ78" s="165"/>
      <c r="WER78" s="165"/>
      <c r="WES78" s="165"/>
      <c r="WET78" s="165"/>
      <c r="WEU78" s="165"/>
      <c r="WEV78" s="165"/>
      <c r="WEW78" s="165"/>
      <c r="WEX78" s="165"/>
      <c r="WEY78" s="165"/>
      <c r="WEZ78" s="165"/>
      <c r="WFA78" s="165"/>
      <c r="WFB78" s="165"/>
      <c r="WFC78" s="165"/>
      <c r="WFD78" s="165"/>
      <c r="WFE78" s="165"/>
      <c r="WFF78" s="165"/>
      <c r="WFG78" s="165"/>
      <c r="WFH78" s="165"/>
      <c r="WFI78" s="165"/>
      <c r="WFJ78" s="165"/>
      <c r="WFK78" s="165"/>
      <c r="WFL78" s="165"/>
      <c r="WFM78" s="165"/>
      <c r="WFN78" s="165"/>
      <c r="WFO78" s="165"/>
      <c r="WFP78" s="165"/>
      <c r="WFQ78" s="165"/>
      <c r="WFR78" s="165"/>
      <c r="WFS78" s="165"/>
      <c r="WFT78" s="165"/>
      <c r="WFU78" s="165"/>
      <c r="WFV78" s="165"/>
      <c r="WFW78" s="165"/>
      <c r="WFX78" s="165"/>
      <c r="WFY78" s="165"/>
      <c r="WFZ78" s="165"/>
      <c r="WGA78" s="165"/>
      <c r="WGB78" s="165"/>
      <c r="WGC78" s="165"/>
      <c r="WGD78" s="165"/>
      <c r="WGE78" s="165"/>
      <c r="WGF78" s="165"/>
      <c r="WGG78" s="165"/>
      <c r="WGH78" s="165"/>
      <c r="WGI78" s="165"/>
      <c r="WGJ78" s="165"/>
      <c r="WGK78" s="165"/>
      <c r="WGL78" s="165"/>
      <c r="WGM78" s="165"/>
      <c r="WGN78" s="165"/>
      <c r="WGO78" s="165"/>
      <c r="WGP78" s="165"/>
      <c r="WGQ78" s="165"/>
      <c r="WGR78" s="165"/>
      <c r="WGS78" s="165"/>
      <c r="WGT78" s="165"/>
      <c r="WGU78" s="165"/>
      <c r="WGV78" s="165"/>
      <c r="WGW78" s="165"/>
      <c r="WGX78" s="165"/>
      <c r="WGY78" s="165"/>
      <c r="WGZ78" s="165"/>
      <c r="WHA78" s="165"/>
      <c r="WHB78" s="165"/>
      <c r="WHC78" s="165"/>
      <c r="WHD78" s="165"/>
      <c r="WHE78" s="165"/>
      <c r="WHF78" s="165"/>
      <c r="WHG78" s="165"/>
      <c r="WHH78" s="165"/>
      <c r="WHI78" s="165"/>
      <c r="WHJ78" s="165"/>
      <c r="WHK78" s="165"/>
      <c r="WHL78" s="165"/>
      <c r="WHM78" s="165"/>
      <c r="WHN78" s="165"/>
      <c r="WHO78" s="165"/>
      <c r="WHP78" s="165"/>
      <c r="WHQ78" s="165"/>
      <c r="WHR78" s="165"/>
      <c r="WHS78" s="165"/>
      <c r="WHT78" s="165"/>
      <c r="WHU78" s="165"/>
      <c r="WHV78" s="165"/>
      <c r="WHW78" s="165"/>
      <c r="WHX78" s="165"/>
      <c r="WHY78" s="165"/>
      <c r="WHZ78" s="165"/>
      <c r="WIA78" s="165"/>
      <c r="WIB78" s="165"/>
      <c r="WIC78" s="165"/>
      <c r="WID78" s="165"/>
      <c r="WIE78" s="165"/>
      <c r="WIF78" s="165"/>
      <c r="WIG78" s="165"/>
      <c r="WIH78" s="165"/>
      <c r="WII78" s="165"/>
      <c r="WIJ78" s="165"/>
      <c r="WIK78" s="165"/>
      <c r="WIL78" s="165"/>
      <c r="WIM78" s="165"/>
      <c r="WIN78" s="165"/>
      <c r="WIO78" s="165"/>
      <c r="WIP78" s="165"/>
      <c r="WIQ78" s="165"/>
      <c r="WIR78" s="165"/>
      <c r="WIS78" s="165"/>
      <c r="WIT78" s="165"/>
      <c r="WIU78" s="165"/>
      <c r="WIV78" s="165"/>
      <c r="WIW78" s="165"/>
      <c r="WIX78" s="165"/>
      <c r="WIY78" s="165"/>
      <c r="WIZ78" s="165"/>
      <c r="WJA78" s="165"/>
      <c r="WJB78" s="165"/>
      <c r="WJC78" s="165"/>
      <c r="WJD78" s="165"/>
      <c r="WJE78" s="165"/>
      <c r="WJF78" s="165"/>
      <c r="WJG78" s="165"/>
      <c r="WJH78" s="165"/>
      <c r="WJI78" s="165"/>
      <c r="WJJ78" s="165"/>
      <c r="WJK78" s="165"/>
      <c r="WJL78" s="165"/>
      <c r="WJM78" s="165"/>
      <c r="WJN78" s="165"/>
      <c r="WJO78" s="165"/>
      <c r="WJP78" s="165"/>
      <c r="WJQ78" s="165"/>
      <c r="WJR78" s="165"/>
      <c r="WJS78" s="165"/>
      <c r="WJT78" s="165"/>
      <c r="WJU78" s="165"/>
      <c r="WJV78" s="165"/>
      <c r="WJW78" s="165"/>
      <c r="WJX78" s="165"/>
      <c r="WJY78" s="165"/>
      <c r="WJZ78" s="165"/>
      <c r="WKA78" s="165"/>
      <c r="WKB78" s="165"/>
      <c r="WKC78" s="165"/>
      <c r="WKD78" s="165"/>
      <c r="WKE78" s="165"/>
      <c r="WKF78" s="165"/>
      <c r="WKG78" s="165"/>
      <c r="WKH78" s="165"/>
      <c r="WKI78" s="165"/>
      <c r="WKJ78" s="165"/>
      <c r="WKK78" s="165"/>
      <c r="WKL78" s="165"/>
      <c r="WKM78" s="165"/>
      <c r="WKN78" s="165"/>
      <c r="WKO78" s="165"/>
      <c r="WKP78" s="165"/>
      <c r="WKQ78" s="165"/>
      <c r="WKR78" s="165"/>
      <c r="WKS78" s="165"/>
      <c r="WKT78" s="165"/>
      <c r="WKU78" s="165"/>
      <c r="WKV78" s="165"/>
      <c r="WKW78" s="165"/>
      <c r="WKX78" s="165"/>
      <c r="WKY78" s="165"/>
      <c r="WKZ78" s="165"/>
      <c r="WLA78" s="165"/>
      <c r="WLB78" s="165"/>
      <c r="WLC78" s="165"/>
      <c r="WLD78" s="165"/>
      <c r="WLE78" s="165"/>
      <c r="WLF78" s="165"/>
      <c r="WLG78" s="165"/>
      <c r="WLH78" s="165"/>
      <c r="WLI78" s="165"/>
      <c r="WLJ78" s="165"/>
      <c r="WLK78" s="165"/>
      <c r="WLL78" s="165"/>
      <c r="WLM78" s="165"/>
      <c r="WLN78" s="165"/>
      <c r="WLO78" s="165"/>
      <c r="WLP78" s="165"/>
      <c r="WLQ78" s="165"/>
      <c r="WLR78" s="165"/>
      <c r="WLS78" s="165"/>
      <c r="WLT78" s="165"/>
      <c r="WLU78" s="165"/>
      <c r="WLV78" s="165"/>
      <c r="WLW78" s="165"/>
      <c r="WLX78" s="165"/>
      <c r="WLY78" s="165"/>
      <c r="WLZ78" s="165"/>
      <c r="WMA78" s="165"/>
      <c r="WMB78" s="165"/>
      <c r="WMC78" s="165"/>
      <c r="WMD78" s="165"/>
      <c r="WME78" s="165"/>
      <c r="WMF78" s="165"/>
      <c r="WMG78" s="165"/>
      <c r="WMH78" s="165"/>
      <c r="WMI78" s="165"/>
      <c r="WMJ78" s="165"/>
      <c r="WMK78" s="165"/>
      <c r="WML78" s="165"/>
      <c r="WMM78" s="165"/>
      <c r="WMN78" s="165"/>
      <c r="WMO78" s="165"/>
      <c r="WMP78" s="165"/>
      <c r="WMQ78" s="165"/>
      <c r="WMR78" s="165"/>
      <c r="WMS78" s="165"/>
      <c r="WMT78" s="165"/>
      <c r="WMU78" s="165"/>
      <c r="WMV78" s="165"/>
      <c r="WMW78" s="165"/>
      <c r="WMX78" s="165"/>
      <c r="WMY78" s="165"/>
      <c r="WMZ78" s="165"/>
      <c r="WNA78" s="165"/>
      <c r="WNB78" s="165"/>
      <c r="WNC78" s="165"/>
      <c r="WND78" s="165"/>
      <c r="WNE78" s="165"/>
      <c r="WNF78" s="165"/>
      <c r="WNG78" s="165"/>
      <c r="WNH78" s="165"/>
      <c r="WNI78" s="165"/>
      <c r="WNJ78" s="165"/>
      <c r="WNK78" s="165"/>
      <c r="WNL78" s="165"/>
      <c r="WNM78" s="165"/>
      <c r="WNN78" s="165"/>
      <c r="WNO78" s="165"/>
      <c r="WNP78" s="165"/>
      <c r="WNQ78" s="165"/>
      <c r="WNR78" s="165"/>
      <c r="WNS78" s="165"/>
      <c r="WNT78" s="165"/>
      <c r="WNU78" s="165"/>
      <c r="WNV78" s="165"/>
      <c r="WNW78" s="165"/>
      <c r="WNX78" s="165"/>
      <c r="WNY78" s="165"/>
      <c r="WNZ78" s="165"/>
      <c r="WOA78" s="165"/>
      <c r="WOB78" s="165"/>
      <c r="WOC78" s="165"/>
      <c r="WOD78" s="165"/>
      <c r="WOE78" s="165"/>
      <c r="WOF78" s="165"/>
      <c r="WOG78" s="165"/>
      <c r="WOH78" s="165"/>
      <c r="WOI78" s="165"/>
      <c r="WOJ78" s="165"/>
      <c r="WOK78" s="165"/>
      <c r="WOL78" s="165"/>
      <c r="WOM78" s="165"/>
      <c r="WON78" s="165"/>
      <c r="WOO78" s="165"/>
      <c r="WOP78" s="165"/>
      <c r="WOQ78" s="165"/>
      <c r="WOR78" s="165"/>
      <c r="WOS78" s="165"/>
      <c r="WOT78" s="165"/>
      <c r="WOU78" s="165"/>
      <c r="WOV78" s="165"/>
      <c r="WOW78" s="165"/>
      <c r="WOX78" s="165"/>
      <c r="WOY78" s="165"/>
      <c r="WOZ78" s="165"/>
      <c r="WPA78" s="165"/>
      <c r="WPB78" s="165"/>
      <c r="WPC78" s="165"/>
      <c r="WPD78" s="165"/>
      <c r="WPE78" s="165"/>
      <c r="WPF78" s="165"/>
      <c r="WPG78" s="165"/>
      <c r="WPH78" s="165"/>
      <c r="WPI78" s="165"/>
      <c r="WPJ78" s="165"/>
      <c r="WPK78" s="165"/>
      <c r="WPL78" s="165"/>
      <c r="WPM78" s="165"/>
      <c r="WPN78" s="165"/>
      <c r="WPO78" s="165"/>
      <c r="WPP78" s="165"/>
      <c r="WPQ78" s="165"/>
      <c r="WPR78" s="165"/>
      <c r="WPS78" s="165"/>
      <c r="WPT78" s="165"/>
      <c r="WPU78" s="165"/>
      <c r="WPV78" s="165"/>
      <c r="WPW78" s="165"/>
      <c r="WPX78" s="165"/>
      <c r="WPY78" s="165"/>
      <c r="WPZ78" s="165"/>
      <c r="WQA78" s="165"/>
      <c r="WQB78" s="165"/>
      <c r="WQC78" s="165"/>
      <c r="WQD78" s="165"/>
      <c r="WQE78" s="165"/>
      <c r="WQF78" s="165"/>
      <c r="WQG78" s="165"/>
      <c r="WQH78" s="165"/>
      <c r="WQI78" s="165"/>
      <c r="WQJ78" s="165"/>
      <c r="WQK78" s="165"/>
      <c r="WQL78" s="165"/>
      <c r="WQM78" s="165"/>
      <c r="WQN78" s="165"/>
      <c r="WQO78" s="165"/>
      <c r="WQP78" s="165"/>
      <c r="WQQ78" s="165"/>
      <c r="WQR78" s="165"/>
      <c r="WQS78" s="165"/>
      <c r="WQT78" s="165"/>
      <c r="WQU78" s="165"/>
      <c r="WQV78" s="165"/>
      <c r="WQW78" s="165"/>
      <c r="WQX78" s="165"/>
      <c r="WQY78" s="165"/>
      <c r="WQZ78" s="165"/>
      <c r="WRA78" s="165"/>
      <c r="WRB78" s="165"/>
      <c r="WRC78" s="165"/>
      <c r="WRD78" s="165"/>
      <c r="WRE78" s="165"/>
      <c r="WRF78" s="165"/>
      <c r="WRG78" s="165"/>
      <c r="WRH78" s="165"/>
      <c r="WRI78" s="165"/>
      <c r="WRJ78" s="165"/>
      <c r="WRK78" s="165"/>
      <c r="WRL78" s="165"/>
      <c r="WRM78" s="165"/>
      <c r="WRN78" s="165"/>
      <c r="WRO78" s="165"/>
      <c r="WRP78" s="165"/>
      <c r="WRQ78" s="165"/>
      <c r="WRR78" s="165"/>
      <c r="WRS78" s="165"/>
      <c r="WRT78" s="165"/>
      <c r="WRU78" s="165"/>
    </row>
    <row r="79" spans="1:16037" s="126" customFormat="1" ht="78.75" hidden="1" customHeight="1" x14ac:dyDescent="0.2">
      <c r="C79" s="150"/>
      <c r="D79" s="145">
        <f>+Tabla2[[#This Row],[Fecha de Postulación]]</f>
        <v>44110</v>
      </c>
      <c r="E79" s="166" t="s">
        <v>118</v>
      </c>
      <c r="F79" s="166" t="s">
        <v>218</v>
      </c>
      <c r="G79" s="167" t="s">
        <v>80</v>
      </c>
      <c r="H79" s="168" t="s">
        <v>224</v>
      </c>
      <c r="I79" s="166" t="s">
        <v>278</v>
      </c>
      <c r="J79" s="155" t="s">
        <v>100</v>
      </c>
      <c r="K79" s="166" t="s">
        <v>10</v>
      </c>
      <c r="L79" s="166" t="s">
        <v>389</v>
      </c>
      <c r="M79" s="166">
        <v>64</v>
      </c>
      <c r="N79" s="162">
        <v>44110</v>
      </c>
      <c r="O79" s="169">
        <v>134590000</v>
      </c>
      <c r="P79" s="169">
        <v>10000000</v>
      </c>
      <c r="Q79" s="152">
        <v>12000000</v>
      </c>
      <c r="R79" s="170">
        <v>0</v>
      </c>
      <c r="S79" s="171">
        <v>41160395</v>
      </c>
      <c r="T79" s="152">
        <f>SUM(O79:S79)</f>
        <v>197750395</v>
      </c>
      <c r="U79" s="169">
        <v>9400000</v>
      </c>
      <c r="V79" s="166">
        <v>0</v>
      </c>
      <c r="W79" s="173">
        <v>42</v>
      </c>
      <c r="X79" s="162" t="str">
        <f>L79</f>
        <v>No adjudicado</v>
      </c>
      <c r="Y79" s="166" t="s">
        <v>66</v>
      </c>
      <c r="Z79" s="162">
        <v>44218</v>
      </c>
      <c r="AA79" s="166"/>
      <c r="AB79" s="166" t="s">
        <v>246</v>
      </c>
      <c r="AC79" s="166"/>
      <c r="AD79" s="166"/>
      <c r="AE79" s="172"/>
      <c r="AF79" s="172"/>
      <c r="AG79" s="172"/>
      <c r="AH79" s="172"/>
      <c r="AI79" s="172"/>
    </row>
    <row r="80" spans="1:16037" s="126" customFormat="1" ht="78.75" hidden="1" customHeight="1" x14ac:dyDescent="0.2">
      <c r="C80" s="150"/>
      <c r="D80" s="145">
        <f>+Tabla2[[#This Row],[Fecha de Postulación]]</f>
        <v>44068</v>
      </c>
      <c r="E80" s="146" t="s">
        <v>298</v>
      </c>
      <c r="F80" s="146" t="s">
        <v>209</v>
      </c>
      <c r="G80" s="167" t="s">
        <v>166</v>
      </c>
      <c r="H80" s="147" t="s">
        <v>208</v>
      </c>
      <c r="I80" s="166" t="s">
        <v>278</v>
      </c>
      <c r="J80" s="160" t="s">
        <v>100</v>
      </c>
      <c r="K80" s="146" t="s">
        <v>10</v>
      </c>
      <c r="L80" s="146" t="s">
        <v>389</v>
      </c>
      <c r="M80" s="146">
        <v>42</v>
      </c>
      <c r="N80" s="150">
        <v>44068</v>
      </c>
      <c r="O80" s="152">
        <v>196528000</v>
      </c>
      <c r="P80" s="152">
        <v>20000000</v>
      </c>
      <c r="Q80" s="152">
        <v>7500000</v>
      </c>
      <c r="R80" s="158">
        <v>0</v>
      </c>
      <c r="S80" s="156">
        <v>80066715</v>
      </c>
      <c r="T80" s="152">
        <f>SUM(O80:S80)</f>
        <v>304094715</v>
      </c>
      <c r="U80" s="152">
        <v>9800000</v>
      </c>
      <c r="V80" s="146">
        <v>0</v>
      </c>
      <c r="W80" s="149">
        <v>36</v>
      </c>
      <c r="X80" s="150" t="str">
        <f>L80</f>
        <v>No adjudicado</v>
      </c>
      <c r="Y80" s="146" t="s">
        <v>66</v>
      </c>
      <c r="Z80" s="150">
        <v>44081</v>
      </c>
      <c r="AA80" s="146" t="s">
        <v>231</v>
      </c>
      <c r="AB80" s="146" t="s">
        <v>66</v>
      </c>
      <c r="AC80" s="146"/>
      <c r="AD80" s="146"/>
      <c r="AE80" s="153"/>
      <c r="AF80" s="153"/>
      <c r="AG80" s="153"/>
      <c r="AH80" s="153"/>
      <c r="AI80" s="153"/>
    </row>
    <row r="81" spans="3:35" s="126" customFormat="1" ht="112.5" hidden="1" customHeight="1" x14ac:dyDescent="0.2">
      <c r="C81" s="149">
        <v>2020</v>
      </c>
      <c r="D81" s="145">
        <f>+Tabla2[[#This Row],[Fecha de Postulación]]</f>
        <v>44012</v>
      </c>
      <c r="E81" s="146" t="s">
        <v>298</v>
      </c>
      <c r="F81" s="166" t="s">
        <v>160</v>
      </c>
      <c r="G81" s="167" t="s">
        <v>80</v>
      </c>
      <c r="H81" s="168" t="s">
        <v>164</v>
      </c>
      <c r="I81" s="166" t="s">
        <v>277</v>
      </c>
      <c r="J81" s="155" t="s">
        <v>165</v>
      </c>
      <c r="K81" s="166" t="s">
        <v>10</v>
      </c>
      <c r="L81" s="166" t="s">
        <v>240</v>
      </c>
      <c r="M81" s="166">
        <v>23</v>
      </c>
      <c r="N81" s="162">
        <v>44012</v>
      </c>
      <c r="O81" s="169">
        <v>212000000</v>
      </c>
      <c r="P81" s="169">
        <v>12000000</v>
      </c>
      <c r="Q81" s="169">
        <v>0</v>
      </c>
      <c r="R81" s="170">
        <v>0</v>
      </c>
      <c r="S81" s="171">
        <v>18000000</v>
      </c>
      <c r="T81" s="152">
        <f>SUM(O81:S81)</f>
        <v>242000000</v>
      </c>
      <c r="U81" s="169">
        <v>10000000</v>
      </c>
      <c r="V81" s="166">
        <v>0</v>
      </c>
      <c r="W81" s="173">
        <v>30</v>
      </c>
      <c r="X81" s="162">
        <v>44120</v>
      </c>
      <c r="Y81" s="166"/>
      <c r="Z81" s="162" t="s">
        <v>66</v>
      </c>
      <c r="AA81" s="166" t="s">
        <v>66</v>
      </c>
      <c r="AB81" s="166" t="s">
        <v>236</v>
      </c>
      <c r="AC81" s="166"/>
      <c r="AD81" s="166"/>
      <c r="AE81" s="172">
        <v>240000000</v>
      </c>
      <c r="AF81" s="172">
        <v>15000000</v>
      </c>
      <c r="AG81" s="172">
        <v>18000000</v>
      </c>
      <c r="AH81" s="172">
        <v>0</v>
      </c>
      <c r="AI81" s="172">
        <f>AE81+AF81+AG81</f>
        <v>273000000</v>
      </c>
    </row>
    <row r="82" spans="3:35" s="126" customFormat="1" ht="123.75" hidden="1" customHeight="1" x14ac:dyDescent="0.2">
      <c r="C82" s="149">
        <v>2020</v>
      </c>
      <c r="D82" s="145">
        <f>+Tabla2[[#This Row],[Fecha de Postulación]]</f>
        <v>44012</v>
      </c>
      <c r="E82" s="146" t="s">
        <v>298</v>
      </c>
      <c r="F82" s="146" t="s">
        <v>160</v>
      </c>
      <c r="G82" s="154" t="s">
        <v>80</v>
      </c>
      <c r="H82" s="147" t="s">
        <v>162</v>
      </c>
      <c r="I82" s="146" t="s">
        <v>278</v>
      </c>
      <c r="J82" s="160" t="s">
        <v>163</v>
      </c>
      <c r="K82" s="146" t="s">
        <v>10</v>
      </c>
      <c r="L82" s="146" t="s">
        <v>240</v>
      </c>
      <c r="M82" s="146">
        <v>22</v>
      </c>
      <c r="N82" s="150">
        <v>44012</v>
      </c>
      <c r="O82" s="152">
        <v>200000000</v>
      </c>
      <c r="P82" s="152">
        <v>12050000</v>
      </c>
      <c r="Q82" s="152">
        <v>0</v>
      </c>
      <c r="R82" s="158">
        <v>0</v>
      </c>
      <c r="S82" s="156">
        <v>27811000</v>
      </c>
      <c r="T82" s="152">
        <f>SUM(O82:S82)</f>
        <v>239861000</v>
      </c>
      <c r="U82" s="152">
        <v>9650000</v>
      </c>
      <c r="V82" s="146">
        <v>0</v>
      </c>
      <c r="W82" s="149">
        <v>36</v>
      </c>
      <c r="X82" s="150">
        <v>44120</v>
      </c>
      <c r="Y82" s="146"/>
      <c r="Z82" s="150" t="s">
        <v>66</v>
      </c>
      <c r="AA82" s="146" t="s">
        <v>66</v>
      </c>
      <c r="AB82" s="146" t="s">
        <v>236</v>
      </c>
      <c r="AC82" s="146"/>
      <c r="AD82" s="146"/>
      <c r="AE82" s="153">
        <v>200000000</v>
      </c>
      <c r="AF82" s="153">
        <v>24275000</v>
      </c>
      <c r="AG82" s="153">
        <v>15536000</v>
      </c>
      <c r="AH82" s="153"/>
      <c r="AI82" s="153">
        <f>AE82+AF82+AG82</f>
        <v>239811000</v>
      </c>
    </row>
    <row r="83" spans="3:35" s="126" customFormat="1" ht="140.25" hidden="1" customHeight="1" x14ac:dyDescent="0.2">
      <c r="C83" s="150"/>
      <c r="D83" s="145">
        <f>+Tabla2[[#This Row],[Fecha de Postulación]]</f>
        <v>44012</v>
      </c>
      <c r="E83" s="146" t="s">
        <v>298</v>
      </c>
      <c r="F83" s="166" t="s">
        <v>160</v>
      </c>
      <c r="G83" s="167" t="s">
        <v>80</v>
      </c>
      <c r="H83" s="168" t="s">
        <v>161</v>
      </c>
      <c r="I83" s="146" t="s">
        <v>278</v>
      </c>
      <c r="J83" s="155" t="s">
        <v>100</v>
      </c>
      <c r="K83" s="166" t="s">
        <v>10</v>
      </c>
      <c r="L83" s="166" t="s">
        <v>389</v>
      </c>
      <c r="M83" s="166">
        <v>21</v>
      </c>
      <c r="N83" s="162">
        <v>44012</v>
      </c>
      <c r="O83" s="169">
        <v>202780000</v>
      </c>
      <c r="P83" s="169">
        <v>15000000</v>
      </c>
      <c r="Q83" s="169">
        <v>0</v>
      </c>
      <c r="R83" s="170">
        <v>2433360</v>
      </c>
      <c r="S83" s="171">
        <v>30283000</v>
      </c>
      <c r="T83" s="152">
        <f>SUM(O83:S83)</f>
        <v>250496360</v>
      </c>
      <c r="U83" s="169">
        <v>10000000</v>
      </c>
      <c r="V83" s="166">
        <v>0</v>
      </c>
      <c r="W83" s="173">
        <v>36</v>
      </c>
      <c r="X83" s="162" t="str">
        <f>L83</f>
        <v>No adjudicado</v>
      </c>
      <c r="Y83" s="166" t="s">
        <v>66</v>
      </c>
      <c r="Z83" s="162">
        <v>44120</v>
      </c>
      <c r="AA83" s="166" t="s">
        <v>235</v>
      </c>
      <c r="AB83" s="166" t="s">
        <v>236</v>
      </c>
      <c r="AC83" s="166"/>
      <c r="AD83" s="166"/>
      <c r="AE83" s="172"/>
      <c r="AF83" s="172"/>
      <c r="AG83" s="172"/>
      <c r="AH83" s="172"/>
      <c r="AI83" s="172"/>
    </row>
    <row r="84" spans="3:35" s="126" customFormat="1" ht="90" hidden="1" customHeight="1" x14ac:dyDescent="0.2">
      <c r="C84" s="150"/>
      <c r="D84" s="145">
        <f>+Tabla2[[#This Row],[Fecha de Postulación]]</f>
        <v>44019</v>
      </c>
      <c r="E84" s="166" t="s">
        <v>202</v>
      </c>
      <c r="F84" s="166" t="s">
        <v>153</v>
      </c>
      <c r="G84" s="167" t="s">
        <v>80</v>
      </c>
      <c r="H84" s="168" t="s">
        <v>154</v>
      </c>
      <c r="I84" s="166" t="s">
        <v>155</v>
      </c>
      <c r="J84" s="155" t="s">
        <v>105</v>
      </c>
      <c r="K84" s="166" t="s">
        <v>156</v>
      </c>
      <c r="L84" s="166" t="s">
        <v>389</v>
      </c>
      <c r="M84" s="166">
        <v>12</v>
      </c>
      <c r="N84" s="150">
        <v>44019</v>
      </c>
      <c r="O84" s="152">
        <v>6265000</v>
      </c>
      <c r="P84" s="152">
        <v>0</v>
      </c>
      <c r="Q84" s="169">
        <v>0</v>
      </c>
      <c r="R84" s="170">
        <v>0</v>
      </c>
      <c r="S84" s="171">
        <v>25000000</v>
      </c>
      <c r="T84" s="152">
        <f>SUM(O84:S84)</f>
        <v>31265000</v>
      </c>
      <c r="U84" s="152">
        <v>6265000</v>
      </c>
      <c r="V84" s="146">
        <v>0</v>
      </c>
      <c r="W84" s="173">
        <v>48</v>
      </c>
      <c r="X84" s="162" t="str">
        <f>L84</f>
        <v>No adjudicado</v>
      </c>
      <c r="Y84" s="166" t="s">
        <v>66</v>
      </c>
      <c r="Z84" s="162">
        <v>44218</v>
      </c>
      <c r="AA84" s="166"/>
      <c r="AB84" s="166" t="s">
        <v>248</v>
      </c>
      <c r="AC84" s="166"/>
      <c r="AD84" s="166"/>
      <c r="AE84" s="172"/>
      <c r="AF84" s="172"/>
      <c r="AG84" s="172"/>
      <c r="AH84" s="172"/>
      <c r="AI84" s="172"/>
    </row>
    <row r="85" spans="3:35" s="126" customFormat="1" ht="90" hidden="1" customHeight="1" x14ac:dyDescent="0.2">
      <c r="C85" s="150"/>
      <c r="D85" s="145">
        <f>+Tabla2[[#This Row],[Fecha de Postulación]]</f>
        <v>44019</v>
      </c>
      <c r="E85" s="146" t="s">
        <v>202</v>
      </c>
      <c r="F85" s="146" t="s">
        <v>153</v>
      </c>
      <c r="G85" s="154" t="s">
        <v>80</v>
      </c>
      <c r="H85" s="147" t="s">
        <v>158</v>
      </c>
      <c r="I85" s="146" t="s">
        <v>155</v>
      </c>
      <c r="J85" s="160" t="s">
        <v>96</v>
      </c>
      <c r="K85" s="146" t="s">
        <v>159</v>
      </c>
      <c r="L85" s="146" t="s">
        <v>389</v>
      </c>
      <c r="M85" s="146"/>
      <c r="N85" s="181">
        <v>44019</v>
      </c>
      <c r="O85" s="152">
        <v>15200000</v>
      </c>
      <c r="P85" s="152">
        <v>0</v>
      </c>
      <c r="Q85" s="152">
        <v>0</v>
      </c>
      <c r="R85" s="158">
        <v>0</v>
      </c>
      <c r="S85" s="156">
        <v>38635000</v>
      </c>
      <c r="T85" s="152">
        <f>SUM(O85:S85)</f>
        <v>53835000</v>
      </c>
      <c r="U85" s="152">
        <v>15200000</v>
      </c>
      <c r="V85" s="146">
        <v>0</v>
      </c>
      <c r="W85" s="149">
        <v>48</v>
      </c>
      <c r="X85" s="150" t="str">
        <f>L85</f>
        <v>No adjudicado</v>
      </c>
      <c r="Y85" s="146" t="s">
        <v>66</v>
      </c>
      <c r="Z85" s="150">
        <v>44218</v>
      </c>
      <c r="AA85" s="146"/>
      <c r="AB85" s="146" t="s">
        <v>248</v>
      </c>
      <c r="AC85" s="146"/>
      <c r="AD85" s="146"/>
      <c r="AE85" s="153"/>
      <c r="AF85" s="153"/>
      <c r="AG85" s="153"/>
      <c r="AH85" s="153"/>
      <c r="AI85" s="153"/>
    </row>
    <row r="86" spans="3:35" s="126" customFormat="1" ht="90" hidden="1" customHeight="1" x14ac:dyDescent="0.2">
      <c r="C86" s="150"/>
      <c r="D86" s="145">
        <f>+Tabla2[[#This Row],[Fecha de Postulación]]</f>
        <v>44019</v>
      </c>
      <c r="E86" s="146" t="s">
        <v>202</v>
      </c>
      <c r="F86" s="146" t="s">
        <v>153</v>
      </c>
      <c r="G86" s="154" t="s">
        <v>80</v>
      </c>
      <c r="H86" s="147" t="s">
        <v>157</v>
      </c>
      <c r="I86" s="146" t="s">
        <v>155</v>
      </c>
      <c r="J86" s="160" t="s">
        <v>96</v>
      </c>
      <c r="K86" s="146" t="s">
        <v>10</v>
      </c>
      <c r="L86" s="146" t="s">
        <v>144</v>
      </c>
      <c r="M86" s="146"/>
      <c r="N86" s="181">
        <v>44019</v>
      </c>
      <c r="O86" s="152">
        <v>265600000</v>
      </c>
      <c r="P86" s="152">
        <v>0</v>
      </c>
      <c r="Q86" s="152">
        <v>0</v>
      </c>
      <c r="R86" s="158">
        <v>0</v>
      </c>
      <c r="S86" s="156">
        <v>146310000</v>
      </c>
      <c r="T86" s="152">
        <f>SUM(O86:S86)</f>
        <v>411910000</v>
      </c>
      <c r="U86" s="152">
        <v>37600000</v>
      </c>
      <c r="V86" s="146">
        <v>0</v>
      </c>
      <c r="W86" s="149">
        <v>48</v>
      </c>
      <c r="X86" s="150" t="str">
        <f>L86</f>
        <v>RECHAZADO</v>
      </c>
      <c r="Y86" s="146" t="s">
        <v>66</v>
      </c>
      <c r="Z86" s="150">
        <v>44225</v>
      </c>
      <c r="AA86" s="146" t="s">
        <v>238</v>
      </c>
      <c r="AB86" s="146" t="s">
        <v>247</v>
      </c>
      <c r="AC86" s="146">
        <v>1212020</v>
      </c>
      <c r="AD86" s="146" t="s">
        <v>243</v>
      </c>
      <c r="AE86" s="153"/>
      <c r="AF86" s="153"/>
      <c r="AG86" s="153"/>
      <c r="AH86" s="153"/>
      <c r="AI86" s="153"/>
    </row>
    <row r="87" spans="3:35" s="126" customFormat="1" ht="90" hidden="1" customHeight="1" x14ac:dyDescent="0.2">
      <c r="C87" s="150"/>
      <c r="D87" s="145">
        <f>+Tabla2[[#This Row],[Fecha de Postulación]]</f>
        <v>43755</v>
      </c>
      <c r="E87" s="146" t="s">
        <v>76</v>
      </c>
      <c r="F87" s="146" t="s">
        <v>77</v>
      </c>
      <c r="G87" s="154" t="s">
        <v>78</v>
      </c>
      <c r="H87" s="147" t="s">
        <v>79</v>
      </c>
      <c r="I87" s="146" t="s">
        <v>155</v>
      </c>
      <c r="J87" s="160" t="s">
        <v>96</v>
      </c>
      <c r="K87" s="146" t="s">
        <v>10</v>
      </c>
      <c r="L87" s="146" t="s">
        <v>144</v>
      </c>
      <c r="M87" s="146"/>
      <c r="N87" s="181">
        <v>43755</v>
      </c>
      <c r="O87" s="152">
        <v>229993000</v>
      </c>
      <c r="P87" s="152">
        <v>3240000</v>
      </c>
      <c r="Q87" s="152">
        <v>94800000</v>
      </c>
      <c r="R87" s="158">
        <v>0</v>
      </c>
      <c r="S87" s="156">
        <v>107555000</v>
      </c>
      <c r="T87" s="152">
        <f>SUM(O87:S87)</f>
        <v>435588000</v>
      </c>
      <c r="U87" s="152">
        <v>26550000</v>
      </c>
      <c r="V87" s="146">
        <v>0</v>
      </c>
      <c r="W87" s="149">
        <v>24</v>
      </c>
      <c r="X87" s="150" t="str">
        <f>L87</f>
        <v>RECHAZADO</v>
      </c>
      <c r="Y87" s="146" t="s">
        <v>66</v>
      </c>
      <c r="Z87" s="150">
        <v>43847</v>
      </c>
      <c r="AA87" s="146" t="s">
        <v>145</v>
      </c>
      <c r="AB87" s="146" t="s">
        <v>204</v>
      </c>
      <c r="AC87" s="146"/>
      <c r="AD87" s="146"/>
      <c r="AE87" s="153"/>
      <c r="AF87" s="153"/>
      <c r="AG87" s="153"/>
      <c r="AH87" s="153"/>
      <c r="AI87" s="153"/>
    </row>
    <row r="88" spans="3:35" s="126" customFormat="1" ht="90" hidden="1" customHeight="1" x14ac:dyDescent="0.2">
      <c r="C88" s="150"/>
      <c r="D88" s="145">
        <f>+Tabla2[[#This Row],[Fecha de Postulación]]</f>
        <v>43731</v>
      </c>
      <c r="E88" s="146" t="s">
        <v>118</v>
      </c>
      <c r="F88" s="146" t="s">
        <v>112</v>
      </c>
      <c r="G88" s="154" t="s">
        <v>71</v>
      </c>
      <c r="H88" s="147" t="s">
        <v>92</v>
      </c>
      <c r="I88" s="146" t="s">
        <v>277</v>
      </c>
      <c r="J88" s="160" t="s">
        <v>93</v>
      </c>
      <c r="K88" s="146" t="s">
        <v>10</v>
      </c>
      <c r="L88" s="146" t="s">
        <v>144</v>
      </c>
      <c r="M88" s="146"/>
      <c r="N88" s="181">
        <v>43731</v>
      </c>
      <c r="O88" s="152">
        <v>120700000</v>
      </c>
      <c r="P88" s="152">
        <v>2500000</v>
      </c>
      <c r="Q88" s="152">
        <v>0</v>
      </c>
      <c r="R88" s="158">
        <v>0</v>
      </c>
      <c r="S88" s="156">
        <v>68521024</v>
      </c>
      <c r="T88" s="152">
        <f>SUM(O88:S88)</f>
        <v>191721024</v>
      </c>
      <c r="U88" s="152"/>
      <c r="V88" s="146">
        <v>0</v>
      </c>
      <c r="W88" s="149">
        <v>48</v>
      </c>
      <c r="X88" s="150" t="str">
        <f>L88</f>
        <v>RECHAZADO</v>
      </c>
      <c r="Y88" s="146" t="s">
        <v>66</v>
      </c>
      <c r="Z88" s="150">
        <v>43914</v>
      </c>
      <c r="AA88" s="146" t="s">
        <v>151</v>
      </c>
      <c r="AB88" s="146" t="s">
        <v>152</v>
      </c>
      <c r="AC88" s="146"/>
      <c r="AD88" s="146"/>
      <c r="AE88" s="153"/>
      <c r="AF88" s="153"/>
      <c r="AG88" s="153"/>
      <c r="AH88" s="153"/>
      <c r="AI88" s="153"/>
    </row>
    <row r="89" spans="3:35" s="126" customFormat="1" ht="90" hidden="1" customHeight="1" x14ac:dyDescent="0.2">
      <c r="C89" s="150"/>
      <c r="D89" s="145">
        <f>+Tabla2[[#This Row],[Fecha de Postulación]]</f>
        <v>43642</v>
      </c>
      <c r="E89" s="146" t="s">
        <v>68</v>
      </c>
      <c r="F89" s="146" t="s">
        <v>59</v>
      </c>
      <c r="G89" s="154" t="s">
        <v>60</v>
      </c>
      <c r="H89" s="147" t="s">
        <v>61</v>
      </c>
      <c r="I89" s="146" t="s">
        <v>155</v>
      </c>
      <c r="J89" s="160" t="s">
        <v>96</v>
      </c>
      <c r="K89" s="146" t="s">
        <v>10</v>
      </c>
      <c r="L89" s="146" t="s">
        <v>144</v>
      </c>
      <c r="M89" s="146"/>
      <c r="N89" s="181">
        <v>43642</v>
      </c>
      <c r="O89" s="152">
        <v>30000000</v>
      </c>
      <c r="P89" s="152">
        <v>0</v>
      </c>
      <c r="Q89" s="152">
        <v>0</v>
      </c>
      <c r="R89" s="158">
        <v>0</v>
      </c>
      <c r="S89" s="156">
        <v>7500000</v>
      </c>
      <c r="T89" s="152">
        <f>SUM(O89:S89)</f>
        <v>37500000</v>
      </c>
      <c r="U89" s="152">
        <f>O89</f>
        <v>30000000</v>
      </c>
      <c r="V89" s="146">
        <v>0</v>
      </c>
      <c r="W89" s="149">
        <v>12</v>
      </c>
      <c r="X89" s="150" t="s">
        <v>144</v>
      </c>
      <c r="Y89" s="146" t="s">
        <v>66</v>
      </c>
      <c r="Z89" s="150">
        <v>43754</v>
      </c>
      <c r="AA89" s="146" t="s">
        <v>123</v>
      </c>
      <c r="AB89" s="146" t="s">
        <v>124</v>
      </c>
      <c r="AC89" s="146"/>
      <c r="AD89" s="146"/>
      <c r="AE89" s="153"/>
      <c r="AF89" s="153"/>
      <c r="AG89" s="153"/>
      <c r="AH89" s="153"/>
      <c r="AI89" s="153"/>
    </row>
    <row r="90" spans="3:35" s="126" customFormat="1" ht="90" hidden="1" customHeight="1" x14ac:dyDescent="0.2">
      <c r="C90" s="150"/>
      <c r="D90" s="145">
        <f>+Tabla2[[#This Row],[Fecha de Postulación]]</f>
        <v>43552</v>
      </c>
      <c r="E90" s="146" t="s">
        <v>76</v>
      </c>
      <c r="F90" s="146" t="s">
        <v>46</v>
      </c>
      <c r="G90" s="154" t="s">
        <v>47</v>
      </c>
      <c r="H90" s="147" t="s">
        <v>48</v>
      </c>
      <c r="I90" s="146" t="s">
        <v>155</v>
      </c>
      <c r="J90" s="160" t="s">
        <v>96</v>
      </c>
      <c r="K90" s="146" t="s">
        <v>10</v>
      </c>
      <c r="L90" s="146" t="s">
        <v>144</v>
      </c>
      <c r="M90" s="146"/>
      <c r="N90" s="181">
        <v>43552</v>
      </c>
      <c r="O90" s="152">
        <v>200000000</v>
      </c>
      <c r="P90" s="152">
        <v>0</v>
      </c>
      <c r="Q90" s="152">
        <v>51600000</v>
      </c>
      <c r="R90" s="158">
        <v>0</v>
      </c>
      <c r="S90" s="156">
        <v>86400000</v>
      </c>
      <c r="T90" s="152">
        <f>SUM(O90:S90)</f>
        <v>338000000</v>
      </c>
      <c r="U90" s="152"/>
      <c r="V90" s="146"/>
      <c r="W90" s="149">
        <v>24</v>
      </c>
      <c r="X90" s="150" t="s">
        <v>144</v>
      </c>
      <c r="Y90" s="146" t="s">
        <v>66</v>
      </c>
      <c r="Z90" s="150">
        <v>43644</v>
      </c>
      <c r="AA90" s="146" t="s">
        <v>203</v>
      </c>
      <c r="AB90" s="146" t="s">
        <v>204</v>
      </c>
      <c r="AC90" s="146" t="s">
        <v>249</v>
      </c>
      <c r="AD90" s="146"/>
      <c r="AE90" s="153"/>
      <c r="AF90" s="153"/>
      <c r="AG90" s="153"/>
      <c r="AH90" s="153"/>
      <c r="AI90" s="153"/>
    </row>
    <row r="91" spans="3:35" s="126" customFormat="1" ht="90" hidden="1" customHeight="1" x14ac:dyDescent="0.2">
      <c r="C91" s="150"/>
      <c r="D91" s="145">
        <f>+Tabla2[[#This Row],[Fecha de Postulación]]</f>
        <v>43320</v>
      </c>
      <c r="E91" s="146" t="s">
        <v>118</v>
      </c>
      <c r="F91" s="146" t="s">
        <v>195</v>
      </c>
      <c r="G91" s="154" t="s">
        <v>71</v>
      </c>
      <c r="H91" s="147" t="s">
        <v>196</v>
      </c>
      <c r="I91" s="146" t="s">
        <v>277</v>
      </c>
      <c r="J91" s="160" t="s">
        <v>93</v>
      </c>
      <c r="K91" s="146" t="s">
        <v>10</v>
      </c>
      <c r="L91" s="146" t="s">
        <v>144</v>
      </c>
      <c r="M91" s="146"/>
      <c r="N91" s="181">
        <v>43320</v>
      </c>
      <c r="O91" s="152">
        <v>2325000</v>
      </c>
      <c r="P91" s="152">
        <v>0</v>
      </c>
      <c r="Q91" s="152">
        <v>1053324</v>
      </c>
      <c r="R91" s="158">
        <v>3578324</v>
      </c>
      <c r="S91" s="156">
        <v>0</v>
      </c>
      <c r="T91" s="152">
        <f>SUM(O91:S91)</f>
        <v>6956648</v>
      </c>
      <c r="U91" s="152"/>
      <c r="V91" s="146"/>
      <c r="W91" s="149"/>
      <c r="X91" s="150" t="s">
        <v>144</v>
      </c>
      <c r="Y91" s="146" t="s">
        <v>198</v>
      </c>
      <c r="Z91" s="150">
        <v>43355</v>
      </c>
      <c r="AA91" s="146" t="s">
        <v>197</v>
      </c>
      <c r="AB91" s="146"/>
      <c r="AC91" s="146"/>
      <c r="AD91" s="146"/>
      <c r="AE91" s="153"/>
      <c r="AF91" s="153"/>
      <c r="AG91" s="153"/>
      <c r="AH91" s="153"/>
      <c r="AI91" s="153"/>
    </row>
    <row r="92" spans="3:35" s="126" customFormat="1" ht="90" hidden="1" customHeight="1" x14ac:dyDescent="0.2">
      <c r="C92" s="150"/>
      <c r="D92" s="145">
        <f>+Tabla2[[#This Row],[Fecha de Postulación]]</f>
        <v>0</v>
      </c>
      <c r="E92" s="146" t="s">
        <v>183</v>
      </c>
      <c r="F92" s="146" t="s">
        <v>191</v>
      </c>
      <c r="G92" s="154" t="s">
        <v>71</v>
      </c>
      <c r="H92" s="147" t="s">
        <v>177</v>
      </c>
      <c r="I92" s="146" t="s">
        <v>155</v>
      </c>
      <c r="J92" s="160" t="s">
        <v>96</v>
      </c>
      <c r="K92" s="146" t="s">
        <v>192</v>
      </c>
      <c r="L92" s="146" t="s">
        <v>144</v>
      </c>
      <c r="M92" s="146"/>
      <c r="N92" s="150"/>
      <c r="O92" s="152">
        <v>41400000</v>
      </c>
      <c r="P92" s="152">
        <v>0</v>
      </c>
      <c r="Q92" s="152">
        <v>33900000</v>
      </c>
      <c r="R92" s="158">
        <v>76692000</v>
      </c>
      <c r="S92" s="156">
        <v>0</v>
      </c>
      <c r="T92" s="152">
        <f>SUM(O92:S92)</f>
        <v>151992000</v>
      </c>
      <c r="U92" s="152"/>
      <c r="V92" s="146"/>
      <c r="W92" s="149">
        <v>48</v>
      </c>
      <c r="X92" s="150" t="s">
        <v>144</v>
      </c>
      <c r="Y92" s="146" t="s">
        <v>194</v>
      </c>
      <c r="Z92" s="150">
        <v>43469</v>
      </c>
      <c r="AA92" s="146" t="s">
        <v>193</v>
      </c>
      <c r="AB92" s="146"/>
      <c r="AC92" s="146"/>
      <c r="AD92" s="146"/>
      <c r="AE92" s="153"/>
      <c r="AF92" s="153"/>
      <c r="AG92" s="153"/>
      <c r="AH92" s="153"/>
      <c r="AI92" s="153"/>
    </row>
    <row r="93" spans="3:35" s="126" customFormat="1" ht="90" hidden="1" customHeight="1" x14ac:dyDescent="0.2">
      <c r="C93" s="181"/>
      <c r="D93" s="145">
        <f>+Tabla2[[#This Row],[Fecha de Postulación]]</f>
        <v>0</v>
      </c>
      <c r="E93" s="146" t="s">
        <v>118</v>
      </c>
      <c r="F93" s="146" t="s">
        <v>191</v>
      </c>
      <c r="G93" s="154" t="s">
        <v>71</v>
      </c>
      <c r="H93" s="147" t="s">
        <v>181</v>
      </c>
      <c r="I93" s="146" t="s">
        <v>277</v>
      </c>
      <c r="J93" s="160" t="s">
        <v>93</v>
      </c>
      <c r="K93" s="146" t="s">
        <v>10</v>
      </c>
      <c r="L93" s="146" t="s">
        <v>144</v>
      </c>
      <c r="M93" s="146"/>
      <c r="N93" s="150"/>
      <c r="O93" s="152">
        <v>4987260</v>
      </c>
      <c r="P93" s="152">
        <v>0</v>
      </c>
      <c r="Q93" s="152">
        <v>1672024</v>
      </c>
      <c r="R93" s="158">
        <v>6659284</v>
      </c>
      <c r="S93" s="156">
        <v>0</v>
      </c>
      <c r="T93" s="152">
        <f>SUM(O93:S93)</f>
        <v>13318568</v>
      </c>
      <c r="U93" s="152"/>
      <c r="V93" s="146"/>
      <c r="W93" s="149"/>
      <c r="X93" s="150" t="s">
        <v>144</v>
      </c>
      <c r="Y93" s="146" t="s">
        <v>66</v>
      </c>
      <c r="Z93" s="150">
        <v>43353</v>
      </c>
      <c r="AA93" s="146"/>
      <c r="AB93" s="146"/>
      <c r="AC93" s="146"/>
      <c r="AD93" s="146"/>
      <c r="AE93" s="153"/>
      <c r="AF93" s="153"/>
      <c r="AG93" s="153"/>
      <c r="AH93" s="153"/>
      <c r="AI93" s="153"/>
    </row>
    <row r="94" spans="3:35" s="126" customFormat="1" ht="90" hidden="1" customHeight="1" x14ac:dyDescent="0.25">
      <c r="C94" s="146"/>
      <c r="D94" s="150"/>
      <c r="E94" s="146"/>
      <c r="F94" s="146"/>
      <c r="G94" s="154"/>
      <c r="H94" s="147"/>
      <c r="I94" s="145"/>
      <c r="J94" s="149"/>
      <c r="K94" s="146"/>
      <c r="L94" s="146"/>
      <c r="M94" s="146"/>
      <c r="N94" s="150"/>
      <c r="O94" s="152"/>
      <c r="P94" s="152"/>
      <c r="Q94" s="152"/>
      <c r="R94" s="158"/>
      <c r="S94" s="159"/>
      <c r="T94" s="152">
        <f>SUM(O94:S94)</f>
        <v>0</v>
      </c>
      <c r="U94" s="152"/>
      <c r="V94" s="152"/>
      <c r="W94" s="149"/>
      <c r="X94" s="150"/>
      <c r="Y94" s="146"/>
      <c r="Z94" s="150"/>
      <c r="AA94" s="146"/>
      <c r="AB94" s="146"/>
      <c r="AC94" s="146"/>
      <c r="AD94" s="146"/>
      <c r="AE94" s="153"/>
      <c r="AF94" s="153"/>
      <c r="AG94" s="153"/>
      <c r="AH94" s="153"/>
      <c r="AI94" s="153"/>
    </row>
    <row r="95" spans="3:35" s="126" customFormat="1" ht="90" hidden="1" customHeight="1" x14ac:dyDescent="0.25">
      <c r="C95" s="146"/>
      <c r="D95" s="145"/>
      <c r="E95" s="146"/>
      <c r="F95" s="146"/>
      <c r="G95" s="154"/>
      <c r="H95" s="147"/>
      <c r="I95" s="146"/>
      <c r="J95" s="174"/>
      <c r="K95" s="146"/>
      <c r="L95" s="146"/>
      <c r="M95" s="146"/>
      <c r="N95" s="150"/>
      <c r="O95" s="152"/>
      <c r="P95" s="152"/>
      <c r="Q95" s="152"/>
      <c r="R95" s="158"/>
      <c r="S95" s="159"/>
      <c r="T95" s="152">
        <f>SUM(O95:S95)</f>
        <v>0</v>
      </c>
      <c r="U95" s="152"/>
      <c r="V95" s="152"/>
      <c r="W95" s="149"/>
      <c r="X95" s="150"/>
      <c r="Y95" s="146"/>
      <c r="Z95" s="150"/>
      <c r="AA95" s="146"/>
      <c r="AB95" s="146"/>
      <c r="AC95" s="146"/>
      <c r="AD95" s="146"/>
      <c r="AE95" s="153"/>
      <c r="AF95" s="153"/>
      <c r="AG95" s="153"/>
      <c r="AH95" s="153"/>
      <c r="AI95" s="153"/>
    </row>
    <row r="96" spans="3:35" s="126" customFormat="1" ht="90" hidden="1" customHeight="1" x14ac:dyDescent="0.25">
      <c r="C96" s="150"/>
      <c r="D96" s="145"/>
      <c r="E96" s="146"/>
      <c r="F96" s="146"/>
      <c r="G96" s="154"/>
      <c r="H96" s="147"/>
      <c r="I96" s="146"/>
      <c r="J96" s="174"/>
      <c r="K96" s="146"/>
      <c r="L96" s="146"/>
      <c r="M96" s="146"/>
      <c r="N96" s="150"/>
      <c r="O96" s="152"/>
      <c r="P96" s="152"/>
      <c r="Q96" s="152"/>
      <c r="R96" s="158"/>
      <c r="S96" s="159"/>
      <c r="T96" s="152">
        <f>SUM(O96:S96)</f>
        <v>0</v>
      </c>
      <c r="U96" s="152"/>
      <c r="V96" s="152"/>
      <c r="W96" s="149"/>
      <c r="X96" s="150"/>
      <c r="Y96" s="146"/>
      <c r="Z96" s="150"/>
      <c r="AA96" s="146"/>
      <c r="AB96" s="146"/>
      <c r="AC96" s="146"/>
      <c r="AD96" s="146"/>
      <c r="AE96" s="153"/>
      <c r="AF96" s="153"/>
      <c r="AG96" s="153"/>
      <c r="AH96" s="153"/>
      <c r="AI96" s="153"/>
    </row>
    <row r="97" spans="3:35" s="126" customFormat="1" ht="90" hidden="1" customHeight="1" x14ac:dyDescent="0.25">
      <c r="C97" s="150"/>
      <c r="D97" s="145"/>
      <c r="E97" s="146"/>
      <c r="F97" s="146"/>
      <c r="G97" s="154"/>
      <c r="H97" s="147"/>
      <c r="I97" s="146"/>
      <c r="J97" s="174"/>
      <c r="K97" s="146"/>
      <c r="L97" s="146"/>
      <c r="M97" s="146"/>
      <c r="N97" s="150"/>
      <c r="O97" s="152"/>
      <c r="P97" s="152"/>
      <c r="Q97" s="152"/>
      <c r="R97" s="158"/>
      <c r="S97" s="159"/>
      <c r="T97" s="152">
        <f>SUM(O97:S97)</f>
        <v>0</v>
      </c>
      <c r="U97" s="152"/>
      <c r="V97" s="152"/>
      <c r="W97" s="149"/>
      <c r="X97" s="150"/>
      <c r="Y97" s="146"/>
      <c r="Z97" s="150"/>
      <c r="AA97" s="146"/>
      <c r="AB97" s="146"/>
      <c r="AC97" s="146"/>
      <c r="AD97" s="146"/>
      <c r="AE97" s="153"/>
      <c r="AF97" s="153"/>
      <c r="AG97" s="153"/>
      <c r="AH97" s="153"/>
      <c r="AI97" s="153"/>
    </row>
    <row r="98" spans="3:35" s="126" customFormat="1" ht="12.75" hidden="1" x14ac:dyDescent="0.25">
      <c r="C98" s="166"/>
      <c r="D98" s="162"/>
      <c r="E98" s="166"/>
      <c r="F98" s="166"/>
      <c r="G98" s="167"/>
      <c r="H98" s="168"/>
      <c r="I98" s="166"/>
      <c r="J98" s="238"/>
      <c r="K98" s="166"/>
      <c r="L98" s="166"/>
      <c r="M98" s="166"/>
      <c r="N98" s="162"/>
      <c r="O98" s="169"/>
      <c r="P98" s="169"/>
      <c r="Q98" s="169"/>
      <c r="R98" s="170"/>
      <c r="S98" s="177"/>
      <c r="T98" s="152">
        <f>SUM(O98:S98)</f>
        <v>0</v>
      </c>
      <c r="U98" s="169"/>
      <c r="V98" s="152"/>
      <c r="W98" s="173"/>
      <c r="X98" s="162"/>
      <c r="Y98" s="166"/>
      <c r="Z98" s="162"/>
      <c r="AA98" s="166"/>
      <c r="AB98" s="166"/>
      <c r="AC98" s="166"/>
      <c r="AD98" s="166"/>
      <c r="AE98" s="172"/>
      <c r="AF98" s="172"/>
      <c r="AG98" s="172"/>
      <c r="AH98" s="172"/>
      <c r="AI98" s="172"/>
    </row>
    <row r="99" spans="3:35" s="126" customFormat="1" ht="12.75" hidden="1" x14ac:dyDescent="0.25">
      <c r="C99" s="166"/>
      <c r="D99" s="162"/>
      <c r="E99" s="166"/>
      <c r="F99" s="166"/>
      <c r="G99" s="167"/>
      <c r="H99" s="168"/>
      <c r="I99" s="166"/>
      <c r="J99" s="238"/>
      <c r="K99" s="166"/>
      <c r="L99" s="166"/>
      <c r="M99" s="166"/>
      <c r="N99" s="162"/>
      <c r="O99" s="169"/>
      <c r="P99" s="169"/>
      <c r="Q99" s="169"/>
      <c r="R99" s="170"/>
      <c r="S99" s="177"/>
      <c r="T99" s="152">
        <f>SUM(O99:S99)</f>
        <v>0</v>
      </c>
      <c r="U99" s="169"/>
      <c r="V99" s="152"/>
      <c r="W99" s="173"/>
      <c r="X99" s="162"/>
      <c r="Y99" s="166"/>
      <c r="Z99" s="162"/>
      <c r="AA99" s="166"/>
      <c r="AB99" s="166"/>
      <c r="AC99" s="166"/>
      <c r="AD99" s="166"/>
      <c r="AE99" s="172"/>
      <c r="AF99" s="172"/>
      <c r="AG99" s="172"/>
      <c r="AH99" s="172"/>
      <c r="AI99" s="172"/>
    </row>
    <row r="100" spans="3:35" s="126" customFormat="1" ht="12.75" hidden="1" x14ac:dyDescent="0.25">
      <c r="C100" s="166"/>
      <c r="D100" s="162"/>
      <c r="E100" s="166"/>
      <c r="F100" s="166"/>
      <c r="G100" s="167"/>
      <c r="H100" s="168"/>
      <c r="I100" s="166"/>
      <c r="J100" s="238"/>
      <c r="K100" s="166"/>
      <c r="L100" s="166"/>
      <c r="M100" s="166"/>
      <c r="N100" s="162"/>
      <c r="O100" s="169"/>
      <c r="P100" s="169"/>
      <c r="Q100" s="169"/>
      <c r="R100" s="170"/>
      <c r="S100" s="177"/>
      <c r="T100" s="152">
        <f>SUM(O100:S100)</f>
        <v>0</v>
      </c>
      <c r="U100" s="169"/>
      <c r="V100" s="152"/>
      <c r="W100" s="173"/>
      <c r="X100" s="162"/>
      <c r="Y100" s="166"/>
      <c r="Z100" s="162"/>
      <c r="AA100" s="166"/>
      <c r="AB100" s="166"/>
      <c r="AC100" s="166"/>
      <c r="AD100" s="166"/>
      <c r="AE100" s="172"/>
      <c r="AF100" s="172"/>
      <c r="AG100" s="172"/>
      <c r="AH100" s="172"/>
      <c r="AI100" s="172"/>
    </row>
    <row r="101" spans="3:35" s="126" customFormat="1" ht="12.75" hidden="1" x14ac:dyDescent="0.25">
      <c r="C101" s="166"/>
      <c r="D101" s="162"/>
      <c r="E101" s="166"/>
      <c r="F101" s="166"/>
      <c r="G101" s="167"/>
      <c r="H101" s="168"/>
      <c r="I101" s="166"/>
      <c r="J101" s="238"/>
      <c r="K101" s="166"/>
      <c r="L101" s="166"/>
      <c r="M101" s="166"/>
      <c r="N101" s="162"/>
      <c r="O101" s="169"/>
      <c r="P101" s="169"/>
      <c r="Q101" s="169"/>
      <c r="R101" s="170"/>
      <c r="S101" s="177"/>
      <c r="T101" s="152">
        <f>SUM(O101:S101)</f>
        <v>0</v>
      </c>
      <c r="U101" s="169"/>
      <c r="V101" s="152"/>
      <c r="W101" s="173"/>
      <c r="X101" s="162"/>
      <c r="Y101" s="166"/>
      <c r="Z101" s="162"/>
      <c r="AA101" s="166"/>
      <c r="AB101" s="166"/>
      <c r="AC101" s="166"/>
      <c r="AD101" s="166"/>
      <c r="AE101" s="172"/>
      <c r="AF101" s="172"/>
      <c r="AG101" s="172"/>
      <c r="AH101" s="172"/>
      <c r="AI101" s="172"/>
    </row>
    <row r="102" spans="3:35" s="126" customFormat="1" ht="12.75" hidden="1" x14ac:dyDescent="0.25">
      <c r="C102" s="166"/>
      <c r="D102" s="162"/>
      <c r="E102" s="166"/>
      <c r="F102" s="166"/>
      <c r="G102" s="167"/>
      <c r="H102" s="168"/>
      <c r="I102" s="166"/>
      <c r="J102" s="238"/>
      <c r="K102" s="166"/>
      <c r="L102" s="166"/>
      <c r="M102" s="166"/>
      <c r="N102" s="162"/>
      <c r="O102" s="169"/>
      <c r="P102" s="169"/>
      <c r="Q102" s="169"/>
      <c r="R102" s="170"/>
      <c r="S102" s="177"/>
      <c r="T102" s="152">
        <f>SUM(O102:S102)</f>
        <v>0</v>
      </c>
      <c r="U102" s="169"/>
      <c r="V102" s="152"/>
      <c r="W102" s="173"/>
      <c r="X102" s="162"/>
      <c r="Y102" s="166"/>
      <c r="Z102" s="162"/>
      <c r="AA102" s="166"/>
      <c r="AB102" s="166"/>
      <c r="AC102" s="166"/>
      <c r="AD102" s="166"/>
      <c r="AE102" s="172"/>
      <c r="AF102" s="172"/>
      <c r="AG102" s="172"/>
      <c r="AH102" s="172"/>
      <c r="AI102" s="172"/>
    </row>
    <row r="103" spans="3:35" s="126" customFormat="1" ht="12.75" hidden="1" x14ac:dyDescent="0.25">
      <c r="C103" s="166"/>
      <c r="D103" s="162"/>
      <c r="E103" s="166"/>
      <c r="F103" s="166"/>
      <c r="G103" s="167"/>
      <c r="H103" s="168"/>
      <c r="I103" s="166"/>
      <c r="J103" s="238"/>
      <c r="K103" s="166"/>
      <c r="L103" s="166"/>
      <c r="M103" s="166"/>
      <c r="N103" s="162"/>
      <c r="O103" s="169"/>
      <c r="P103" s="169"/>
      <c r="Q103" s="169"/>
      <c r="R103" s="170"/>
      <c r="S103" s="177"/>
      <c r="T103" s="152">
        <f>SUM(O103:S103)</f>
        <v>0</v>
      </c>
      <c r="U103" s="169"/>
      <c r="V103" s="152"/>
      <c r="W103" s="173"/>
      <c r="X103" s="162"/>
      <c r="Y103" s="166"/>
      <c r="Z103" s="162"/>
      <c r="AA103" s="166"/>
      <c r="AB103" s="166"/>
      <c r="AC103" s="166"/>
      <c r="AD103" s="166"/>
      <c r="AE103" s="172"/>
      <c r="AF103" s="172"/>
      <c r="AG103" s="172"/>
      <c r="AH103" s="172"/>
      <c r="AI103" s="172"/>
    </row>
    <row r="104" spans="3:35" s="126" customFormat="1" ht="12.75" hidden="1" x14ac:dyDescent="0.25">
      <c r="C104" s="166"/>
      <c r="D104" s="162"/>
      <c r="E104" s="166"/>
      <c r="F104" s="166"/>
      <c r="G104" s="167"/>
      <c r="H104" s="168"/>
      <c r="I104" s="166"/>
      <c r="J104" s="238"/>
      <c r="K104" s="166"/>
      <c r="L104" s="166"/>
      <c r="M104" s="166"/>
      <c r="N104" s="162"/>
      <c r="O104" s="169"/>
      <c r="P104" s="169"/>
      <c r="Q104" s="169"/>
      <c r="R104" s="170"/>
      <c r="S104" s="177"/>
      <c r="T104" s="152">
        <f>SUM(O104:S104)</f>
        <v>0</v>
      </c>
      <c r="U104" s="169"/>
      <c r="V104" s="152"/>
      <c r="W104" s="173"/>
      <c r="X104" s="162"/>
      <c r="Y104" s="166"/>
      <c r="Z104" s="162"/>
      <c r="AA104" s="166"/>
      <c r="AB104" s="166"/>
      <c r="AC104" s="166"/>
      <c r="AD104" s="166"/>
      <c r="AE104" s="172"/>
      <c r="AF104" s="172"/>
      <c r="AG104" s="172"/>
      <c r="AH104" s="172"/>
      <c r="AI104" s="172"/>
    </row>
    <row r="105" spans="3:35" s="126" customFormat="1" ht="12.75" hidden="1" x14ac:dyDescent="0.25">
      <c r="C105" s="166"/>
      <c r="D105" s="162"/>
      <c r="E105" s="166"/>
      <c r="F105" s="166"/>
      <c r="G105" s="167"/>
      <c r="H105" s="168"/>
      <c r="I105" s="166"/>
      <c r="J105" s="238"/>
      <c r="K105" s="166"/>
      <c r="L105" s="166"/>
      <c r="M105" s="166"/>
      <c r="N105" s="162"/>
      <c r="O105" s="169"/>
      <c r="P105" s="169"/>
      <c r="Q105" s="169"/>
      <c r="R105" s="170"/>
      <c r="S105" s="177"/>
      <c r="T105" s="152">
        <f>SUM(O105:S105)</f>
        <v>0</v>
      </c>
      <c r="U105" s="169"/>
      <c r="V105" s="152"/>
      <c r="W105" s="173"/>
      <c r="X105" s="162"/>
      <c r="Y105" s="166"/>
      <c r="Z105" s="162"/>
      <c r="AA105" s="166"/>
      <c r="AB105" s="166"/>
      <c r="AC105" s="166"/>
      <c r="AD105" s="166"/>
      <c r="AE105" s="172"/>
      <c r="AF105" s="172"/>
      <c r="AG105" s="172"/>
      <c r="AH105" s="172"/>
      <c r="AI105" s="172"/>
    </row>
    <row r="106" spans="3:35" s="126" customFormat="1" ht="12.75" hidden="1" x14ac:dyDescent="0.25">
      <c r="C106" s="166"/>
      <c r="D106" s="162"/>
      <c r="E106" s="166"/>
      <c r="F106" s="166"/>
      <c r="G106" s="167"/>
      <c r="H106" s="168"/>
      <c r="I106" s="166"/>
      <c r="J106" s="238"/>
      <c r="K106" s="166"/>
      <c r="L106" s="166"/>
      <c r="M106" s="166"/>
      <c r="N106" s="162"/>
      <c r="O106" s="169"/>
      <c r="P106" s="169"/>
      <c r="Q106" s="169"/>
      <c r="R106" s="170"/>
      <c r="S106" s="177"/>
      <c r="T106" s="152">
        <f>SUM(O106:S106)</f>
        <v>0</v>
      </c>
      <c r="U106" s="169"/>
      <c r="V106" s="152"/>
      <c r="W106" s="173"/>
      <c r="X106" s="162"/>
      <c r="Y106" s="166"/>
      <c r="Z106" s="162"/>
      <c r="AA106" s="166"/>
      <c r="AB106" s="166"/>
      <c r="AC106" s="166"/>
      <c r="AD106" s="166"/>
      <c r="AE106" s="172"/>
      <c r="AF106" s="172"/>
      <c r="AG106" s="172"/>
      <c r="AH106" s="172"/>
      <c r="AI106" s="172"/>
    </row>
    <row r="107" spans="3:35" s="126" customFormat="1" ht="12.75" hidden="1" x14ac:dyDescent="0.25">
      <c r="C107" s="166"/>
      <c r="D107" s="162"/>
      <c r="E107" s="166"/>
      <c r="F107" s="166"/>
      <c r="G107" s="167"/>
      <c r="H107" s="168"/>
      <c r="I107" s="166"/>
      <c r="J107" s="238"/>
      <c r="K107" s="166"/>
      <c r="L107" s="166"/>
      <c r="M107" s="166"/>
      <c r="N107" s="162"/>
      <c r="O107" s="169"/>
      <c r="P107" s="169"/>
      <c r="Q107" s="169"/>
      <c r="R107" s="170"/>
      <c r="S107" s="177"/>
      <c r="T107" s="152">
        <f>SUM(O107:S107)</f>
        <v>0</v>
      </c>
      <c r="U107" s="169"/>
      <c r="V107" s="152"/>
      <c r="W107" s="173"/>
      <c r="X107" s="162"/>
      <c r="Y107" s="166"/>
      <c r="Z107" s="162"/>
      <c r="AA107" s="166"/>
      <c r="AB107" s="166"/>
      <c r="AC107" s="166"/>
      <c r="AD107" s="166"/>
      <c r="AE107" s="172"/>
      <c r="AF107" s="172"/>
      <c r="AG107" s="172"/>
      <c r="AH107" s="172"/>
      <c r="AI107" s="172"/>
    </row>
    <row r="108" spans="3:35" s="126" customFormat="1" ht="12.75" hidden="1" x14ac:dyDescent="0.25">
      <c r="C108" s="166"/>
      <c r="D108" s="162"/>
      <c r="E108" s="166"/>
      <c r="F108" s="166"/>
      <c r="G108" s="167"/>
      <c r="H108" s="168"/>
      <c r="I108" s="166"/>
      <c r="J108" s="238"/>
      <c r="K108" s="166"/>
      <c r="L108" s="166"/>
      <c r="M108" s="166"/>
      <c r="N108" s="162"/>
      <c r="O108" s="169"/>
      <c r="P108" s="169"/>
      <c r="Q108" s="169"/>
      <c r="R108" s="170"/>
      <c r="S108" s="177"/>
      <c r="T108" s="152">
        <f>SUM(O108:S108)</f>
        <v>0</v>
      </c>
      <c r="U108" s="169"/>
      <c r="V108" s="152"/>
      <c r="W108" s="173"/>
      <c r="X108" s="162"/>
      <c r="Y108" s="166"/>
      <c r="Z108" s="162"/>
      <c r="AA108" s="166"/>
      <c r="AB108" s="166"/>
      <c r="AC108" s="166"/>
      <c r="AD108" s="166"/>
      <c r="AE108" s="172"/>
      <c r="AF108" s="172"/>
      <c r="AG108" s="172"/>
      <c r="AH108" s="172"/>
      <c r="AI108" s="172"/>
    </row>
    <row r="109" spans="3:35" s="126" customFormat="1" ht="12.75" hidden="1" x14ac:dyDescent="0.25">
      <c r="C109" s="166"/>
      <c r="D109" s="162"/>
      <c r="E109" s="166"/>
      <c r="F109" s="166"/>
      <c r="G109" s="167"/>
      <c r="H109" s="168"/>
      <c r="I109" s="166"/>
      <c r="J109" s="238"/>
      <c r="K109" s="166"/>
      <c r="L109" s="166"/>
      <c r="M109" s="166"/>
      <c r="N109" s="162"/>
      <c r="O109" s="169"/>
      <c r="P109" s="169"/>
      <c r="Q109" s="169"/>
      <c r="R109" s="170"/>
      <c r="S109" s="177"/>
      <c r="T109" s="152">
        <f>SUM(O109:S109)</f>
        <v>0</v>
      </c>
      <c r="U109" s="169"/>
      <c r="V109" s="152"/>
      <c r="W109" s="173"/>
      <c r="X109" s="162"/>
      <c r="Y109" s="166"/>
      <c r="Z109" s="162"/>
      <c r="AA109" s="166"/>
      <c r="AB109" s="166"/>
      <c r="AC109" s="166"/>
      <c r="AD109" s="166"/>
      <c r="AE109" s="172"/>
      <c r="AF109" s="172"/>
      <c r="AG109" s="172"/>
      <c r="AH109" s="172"/>
      <c r="AI109" s="172"/>
    </row>
    <row r="110" spans="3:35" s="126" customFormat="1" ht="12.75" hidden="1" x14ac:dyDescent="0.25">
      <c r="C110" s="166"/>
      <c r="D110" s="162"/>
      <c r="E110" s="166"/>
      <c r="F110" s="166"/>
      <c r="G110" s="167"/>
      <c r="H110" s="168"/>
      <c r="I110" s="166"/>
      <c r="J110" s="238"/>
      <c r="K110" s="166"/>
      <c r="L110" s="166"/>
      <c r="M110" s="166"/>
      <c r="N110" s="162"/>
      <c r="O110" s="169"/>
      <c r="P110" s="169"/>
      <c r="Q110" s="169"/>
      <c r="R110" s="170"/>
      <c r="S110" s="177"/>
      <c r="T110" s="152">
        <f>SUM(O110:S110)</f>
        <v>0</v>
      </c>
      <c r="U110" s="169"/>
      <c r="V110" s="152"/>
      <c r="W110" s="173"/>
      <c r="X110" s="162"/>
      <c r="Y110" s="166"/>
      <c r="Z110" s="162"/>
      <c r="AA110" s="166"/>
      <c r="AB110" s="166"/>
      <c r="AC110" s="166"/>
      <c r="AD110" s="166"/>
      <c r="AE110" s="172"/>
      <c r="AF110" s="172"/>
      <c r="AG110" s="172"/>
      <c r="AH110" s="172"/>
      <c r="AI110" s="172"/>
    </row>
    <row r="111" spans="3:35" s="126" customFormat="1" ht="12.75" hidden="1" x14ac:dyDescent="0.25">
      <c r="C111" s="166"/>
      <c r="D111" s="162"/>
      <c r="E111" s="166"/>
      <c r="F111" s="166"/>
      <c r="G111" s="167"/>
      <c r="H111" s="168"/>
      <c r="I111" s="166"/>
      <c r="J111" s="238"/>
      <c r="K111" s="166"/>
      <c r="L111" s="166"/>
      <c r="M111" s="166"/>
      <c r="N111" s="162"/>
      <c r="O111" s="169"/>
      <c r="P111" s="169"/>
      <c r="Q111" s="169"/>
      <c r="R111" s="170"/>
      <c r="S111" s="177"/>
      <c r="T111" s="152">
        <f>SUM(O111:S111)</f>
        <v>0</v>
      </c>
      <c r="U111" s="169"/>
      <c r="V111" s="152"/>
      <c r="W111" s="173"/>
      <c r="X111" s="162"/>
      <c r="Y111" s="166"/>
      <c r="Z111" s="162"/>
      <c r="AA111" s="166"/>
      <c r="AB111" s="166"/>
      <c r="AC111" s="166"/>
      <c r="AD111" s="166"/>
      <c r="AE111" s="172"/>
      <c r="AF111" s="172"/>
      <c r="AG111" s="172"/>
      <c r="AH111" s="172"/>
      <c r="AI111" s="172"/>
    </row>
    <row r="112" spans="3:35" s="126" customFormat="1" ht="12.75" hidden="1" x14ac:dyDescent="0.25">
      <c r="C112" s="166"/>
      <c r="D112" s="162"/>
      <c r="E112" s="166"/>
      <c r="F112" s="166"/>
      <c r="G112" s="167"/>
      <c r="H112" s="168"/>
      <c r="I112" s="166"/>
      <c r="J112" s="238"/>
      <c r="K112" s="166"/>
      <c r="L112" s="166"/>
      <c r="M112" s="166"/>
      <c r="N112" s="162"/>
      <c r="O112" s="169"/>
      <c r="P112" s="169"/>
      <c r="Q112" s="169"/>
      <c r="R112" s="170"/>
      <c r="S112" s="177"/>
      <c r="T112" s="152">
        <f>SUM(O112:S112)</f>
        <v>0</v>
      </c>
      <c r="U112" s="169"/>
      <c r="V112" s="167"/>
      <c r="W112" s="173"/>
      <c r="X112" s="162"/>
      <c r="Y112" s="166"/>
      <c r="Z112" s="162"/>
      <c r="AA112" s="166"/>
      <c r="AB112" s="166"/>
      <c r="AC112" s="166"/>
      <c r="AD112" s="166"/>
      <c r="AE112" s="172"/>
      <c r="AF112" s="172"/>
      <c r="AG112" s="172"/>
      <c r="AH112" s="172"/>
      <c r="AI112" s="172"/>
    </row>
    <row r="113" spans="3:35" s="126" customFormat="1" ht="12.75" x14ac:dyDescent="0.25">
      <c r="I113" s="127"/>
      <c r="U113" s="237"/>
      <c r="W113" s="128"/>
      <c r="X113" s="129"/>
      <c r="Z113" s="130"/>
    </row>
    <row r="114" spans="3:35" s="126" customFormat="1" ht="12.75" x14ac:dyDescent="0.25">
      <c r="U114" s="237"/>
      <c r="W114" s="128"/>
      <c r="X114" s="129"/>
      <c r="Z114" s="130"/>
    </row>
    <row r="115" spans="3:35" s="126" customFormat="1" ht="12.75" x14ac:dyDescent="0.25">
      <c r="U115" s="237"/>
      <c r="W115" s="128"/>
      <c r="X115" s="129"/>
      <c r="Z115" s="130"/>
    </row>
    <row r="116" spans="3:35" s="126" customFormat="1" ht="12.75" x14ac:dyDescent="0.25">
      <c r="U116" s="237"/>
      <c r="W116" s="128"/>
      <c r="X116" s="129"/>
      <c r="Z116" s="130"/>
    </row>
    <row r="117" spans="3:35" s="126" customFormat="1" ht="12.75" x14ac:dyDescent="0.25">
      <c r="U117" s="237"/>
      <c r="W117" s="128"/>
      <c r="X117" s="129"/>
      <c r="Z117" s="130"/>
    </row>
    <row r="118" spans="3:35" ht="15" x14ac:dyDescent="0.25">
      <c r="C118" s="106"/>
      <c r="I118" s="8"/>
      <c r="M118" s="106"/>
      <c r="N118" s="106"/>
      <c r="O118" s="106"/>
      <c r="P118" s="106"/>
      <c r="Q118" s="106"/>
      <c r="R118" s="106"/>
      <c r="S118" s="106"/>
      <c r="T118" s="106"/>
      <c r="U118" s="243"/>
      <c r="V118" s="106"/>
      <c r="W118" s="107"/>
      <c r="X118" s="108"/>
      <c r="Y118" s="106"/>
      <c r="Z118" s="109"/>
      <c r="AA118" s="106"/>
      <c r="AB118" s="106"/>
      <c r="AC118" s="106"/>
      <c r="AD118" s="106"/>
      <c r="AE118" s="106"/>
      <c r="AF118" s="106"/>
      <c r="AG118" s="106"/>
      <c r="AH118" s="106"/>
      <c r="AI118" s="106"/>
    </row>
  </sheetData>
  <sortState ref="C32:AI49">
    <sortCondition descending="1" ref="N32:N49"/>
  </sortState>
  <mergeCells count="11">
    <mergeCell ref="D3:I6"/>
    <mergeCell ref="C9:E9"/>
    <mergeCell ref="C10:E10"/>
    <mergeCell ref="F10:G10"/>
    <mergeCell ref="AE12:AI12"/>
    <mergeCell ref="P12:Q12"/>
    <mergeCell ref="R12:S12"/>
    <mergeCell ref="U12:V12"/>
    <mergeCell ref="O11:V11"/>
    <mergeCell ref="AE11:AI11"/>
    <mergeCell ref="F9:G9"/>
  </mergeCells>
  <phoneticPr fontId="7" type="noConversion"/>
  <pageMargins left="0.7" right="0.7" top="0.75" bottom="0.75" header="0.3" footer="0.3"/>
  <pageSetup paperSize="281" scale="37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Datos!$A$2:$A$5</xm:f>
          </x14:formula1>
          <xm:sqref>L67:L78 M67:M69 M71:M72 M74:M78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9"/>
  <sheetViews>
    <sheetView showGridLines="0" zoomScale="85" zoomScaleNormal="85" workbookViewId="0">
      <selection activeCell="O7" sqref="O7"/>
    </sheetView>
  </sheetViews>
  <sheetFormatPr baseColWidth="10" defaultColWidth="11.42578125" defaultRowHeight="11.25" x14ac:dyDescent="0.2"/>
  <cols>
    <col min="1" max="1" width="11.42578125" style="2"/>
    <col min="2" max="2" width="11.42578125" style="37"/>
    <col min="3" max="3" width="11.42578125" style="2"/>
    <col min="4" max="4" width="17.7109375" style="8" customWidth="1"/>
    <col min="5" max="5" width="11.42578125" style="2"/>
    <col min="6" max="6" width="21" style="2" customWidth="1"/>
    <col min="7" max="7" width="11.42578125" style="2"/>
    <col min="8" max="8" width="13.28515625" style="2" customWidth="1"/>
    <col min="9" max="11" width="11.42578125" style="2"/>
    <col min="12" max="12" width="13.140625" style="2" customWidth="1"/>
    <col min="13" max="26" width="11.42578125" style="2"/>
    <col min="27" max="27" width="16.140625" style="2" customWidth="1"/>
    <col min="28" max="16384" width="11.42578125" style="2"/>
  </cols>
  <sheetData>
    <row r="1" spans="2:32" s="8" customFormat="1" ht="21" customHeight="1" thickBot="1" x14ac:dyDescent="0.3">
      <c r="L1" s="34"/>
      <c r="M1" s="277" t="s">
        <v>38</v>
      </c>
      <c r="N1" s="277"/>
      <c r="O1" s="277" t="s">
        <v>22</v>
      </c>
      <c r="P1" s="277"/>
      <c r="Q1" s="35"/>
      <c r="R1" s="277" t="s">
        <v>41</v>
      </c>
      <c r="S1" s="277"/>
      <c r="T1" s="3"/>
      <c r="AB1" s="278" t="s">
        <v>44</v>
      </c>
      <c r="AC1" s="279"/>
      <c r="AD1" s="279"/>
      <c r="AE1" s="279"/>
      <c r="AF1" s="280"/>
    </row>
    <row r="2" spans="2:32" s="8" customFormat="1" ht="45" x14ac:dyDescent="0.25">
      <c r="B2" s="11" t="s">
        <v>13</v>
      </c>
      <c r="C2" s="12" t="s">
        <v>14</v>
      </c>
      <c r="D2" s="12" t="s">
        <v>15</v>
      </c>
      <c r="E2" s="13" t="s">
        <v>0</v>
      </c>
      <c r="F2" s="14" t="s">
        <v>16</v>
      </c>
      <c r="G2" s="12" t="s">
        <v>2</v>
      </c>
      <c r="H2" s="15" t="s">
        <v>136</v>
      </c>
      <c r="I2" s="12" t="s">
        <v>45</v>
      </c>
      <c r="J2" s="12" t="s">
        <v>12</v>
      </c>
      <c r="K2" s="12" t="s">
        <v>17</v>
      </c>
      <c r="L2" s="12" t="s">
        <v>20</v>
      </c>
      <c r="M2" s="12" t="s">
        <v>39</v>
      </c>
      <c r="N2" s="12" t="s">
        <v>40</v>
      </c>
      <c r="O2" s="12" t="s">
        <v>39</v>
      </c>
      <c r="P2" s="12" t="s">
        <v>40</v>
      </c>
      <c r="Q2" s="16" t="s">
        <v>23</v>
      </c>
      <c r="R2" s="12" t="s">
        <v>42</v>
      </c>
      <c r="S2" s="12" t="s">
        <v>43</v>
      </c>
      <c r="T2" s="12" t="s">
        <v>24</v>
      </c>
      <c r="U2" s="17" t="s">
        <v>18</v>
      </c>
      <c r="V2" s="12" t="s">
        <v>32</v>
      </c>
      <c r="W2" s="12" t="s">
        <v>19</v>
      </c>
      <c r="X2" s="16" t="s">
        <v>25</v>
      </c>
      <c r="Y2" s="12" t="s">
        <v>34</v>
      </c>
      <c r="Z2" s="16" t="s">
        <v>31</v>
      </c>
      <c r="AA2" s="18" t="s">
        <v>33</v>
      </c>
      <c r="AB2" s="19" t="s">
        <v>26</v>
      </c>
      <c r="AC2" s="20" t="s">
        <v>21</v>
      </c>
      <c r="AD2" s="20" t="s">
        <v>22</v>
      </c>
      <c r="AE2" s="20" t="s">
        <v>27</v>
      </c>
      <c r="AF2" s="21" t="s">
        <v>28</v>
      </c>
    </row>
    <row r="3" spans="2:32" s="31" customFormat="1" ht="61.5" customHeight="1" x14ac:dyDescent="0.25">
      <c r="B3" s="33">
        <v>2023</v>
      </c>
      <c r="C3" s="32" t="s">
        <v>377</v>
      </c>
      <c r="D3" s="29" t="s">
        <v>310</v>
      </c>
      <c r="E3" s="33" t="s">
        <v>80</v>
      </c>
      <c r="F3" s="32" t="s">
        <v>378</v>
      </c>
      <c r="G3" s="33" t="s">
        <v>155</v>
      </c>
      <c r="H3" s="33" t="s">
        <v>303</v>
      </c>
      <c r="I3" s="32" t="s">
        <v>10</v>
      </c>
      <c r="J3" s="23" t="s">
        <v>328</v>
      </c>
      <c r="K3" s="22">
        <v>45043</v>
      </c>
      <c r="L3" s="51">
        <v>5000000</v>
      </c>
      <c r="M3" s="52"/>
      <c r="N3" s="52"/>
      <c r="O3" s="52"/>
      <c r="P3" s="52">
        <v>3442711</v>
      </c>
      <c r="Q3" s="52">
        <f>+L3+P3</f>
        <v>8442711</v>
      </c>
      <c r="R3" s="52">
        <v>0</v>
      </c>
      <c r="S3" s="52">
        <v>210084</v>
      </c>
      <c r="T3" s="52">
        <v>7</v>
      </c>
      <c r="U3" s="22">
        <v>45077</v>
      </c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2:32" s="31" customFormat="1" ht="61.5" customHeight="1" x14ac:dyDescent="0.25">
      <c r="B4" s="33">
        <v>2025</v>
      </c>
      <c r="C4" s="32" t="s">
        <v>460</v>
      </c>
      <c r="D4" s="33" t="s">
        <v>267</v>
      </c>
      <c r="E4" s="33" t="s">
        <v>80</v>
      </c>
      <c r="F4" s="32" t="s">
        <v>461</v>
      </c>
      <c r="G4" s="33" t="s">
        <v>155</v>
      </c>
      <c r="H4" s="33" t="s">
        <v>100</v>
      </c>
      <c r="I4" s="32" t="s">
        <v>10</v>
      </c>
      <c r="J4" s="23" t="s">
        <v>462</v>
      </c>
      <c r="K4" s="22">
        <v>45689</v>
      </c>
      <c r="L4" s="51">
        <v>8901933</v>
      </c>
      <c r="M4" s="52"/>
      <c r="N4" s="52"/>
      <c r="O4" s="52"/>
      <c r="P4" s="52">
        <v>8743845</v>
      </c>
      <c r="Q4" s="52">
        <f>+L4+P4</f>
        <v>17645778</v>
      </c>
      <c r="R4" s="52"/>
      <c r="S4" s="52"/>
      <c r="T4" s="52">
        <v>17</v>
      </c>
      <c r="U4" s="22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2:32" s="31" customFormat="1" ht="61.5" customHeight="1" x14ac:dyDescent="0.25">
      <c r="B5" s="33">
        <v>2023</v>
      </c>
      <c r="C5" s="32" t="s">
        <v>337</v>
      </c>
      <c r="D5" s="33" t="s">
        <v>267</v>
      </c>
      <c r="E5" s="33" t="s">
        <v>80</v>
      </c>
      <c r="F5" s="32" t="s">
        <v>338</v>
      </c>
      <c r="G5" s="33" t="s">
        <v>277</v>
      </c>
      <c r="H5" s="33" t="s">
        <v>139</v>
      </c>
      <c r="I5" s="32" t="s">
        <v>10</v>
      </c>
      <c r="J5" s="23" t="s">
        <v>328</v>
      </c>
      <c r="K5" s="22">
        <v>44986</v>
      </c>
      <c r="L5" s="51">
        <v>10612500</v>
      </c>
      <c r="M5" s="52">
        <v>0</v>
      </c>
      <c r="N5" s="52">
        <v>0</v>
      </c>
      <c r="O5" s="52">
        <v>0</v>
      </c>
      <c r="P5" s="52">
        <v>14671736</v>
      </c>
      <c r="Q5" s="52">
        <f t="shared" ref="Q5:Q10" si="0">SUM(L5:P5)</f>
        <v>25284236</v>
      </c>
      <c r="R5" s="52">
        <v>0</v>
      </c>
      <c r="S5" s="52">
        <v>2540075</v>
      </c>
      <c r="T5" s="52">
        <v>10</v>
      </c>
      <c r="U5" s="22">
        <v>44986</v>
      </c>
      <c r="V5" s="30"/>
      <c r="W5" s="30"/>
      <c r="X5" s="30"/>
      <c r="Y5" s="30"/>
      <c r="Z5" s="30"/>
      <c r="AA5" s="30" t="s">
        <v>339</v>
      </c>
      <c r="AB5" s="30"/>
      <c r="AC5" s="30"/>
      <c r="AD5" s="30"/>
      <c r="AE5" s="30"/>
      <c r="AF5" s="30"/>
    </row>
    <row r="6" spans="2:32" s="31" customFormat="1" ht="61.5" customHeight="1" x14ac:dyDescent="0.25">
      <c r="B6" s="33">
        <v>2024</v>
      </c>
      <c r="C6" s="32" t="s">
        <v>333</v>
      </c>
      <c r="D6" s="33" t="s">
        <v>310</v>
      </c>
      <c r="E6" s="33" t="s">
        <v>80</v>
      </c>
      <c r="F6" s="32" t="s">
        <v>334</v>
      </c>
      <c r="G6" s="33" t="s">
        <v>155</v>
      </c>
      <c r="H6" s="32" t="s">
        <v>335</v>
      </c>
      <c r="I6" s="32" t="s">
        <v>10</v>
      </c>
      <c r="J6" s="23" t="s">
        <v>328</v>
      </c>
      <c r="K6" s="22">
        <v>45565</v>
      </c>
      <c r="L6" s="51">
        <v>12000000</v>
      </c>
      <c r="M6" s="52"/>
      <c r="N6" s="52"/>
      <c r="O6" s="52"/>
      <c r="P6" s="52"/>
      <c r="Q6" s="52">
        <f t="shared" si="0"/>
        <v>12000000</v>
      </c>
      <c r="R6" s="52"/>
      <c r="S6" s="52"/>
      <c r="T6" s="52"/>
      <c r="U6" s="22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spans="2:32" s="31" customFormat="1" ht="61.5" customHeight="1" x14ac:dyDescent="0.25">
      <c r="B7" s="33">
        <v>2022</v>
      </c>
      <c r="C7" s="32" t="s">
        <v>333</v>
      </c>
      <c r="D7" s="33" t="s">
        <v>310</v>
      </c>
      <c r="E7" s="33" t="s">
        <v>80</v>
      </c>
      <c r="F7" s="32" t="s">
        <v>334</v>
      </c>
      <c r="G7" s="33" t="s">
        <v>155</v>
      </c>
      <c r="H7" s="32" t="s">
        <v>335</v>
      </c>
      <c r="I7" s="32" t="s">
        <v>10</v>
      </c>
      <c r="J7" s="23" t="s">
        <v>328</v>
      </c>
      <c r="K7" s="22">
        <v>44921</v>
      </c>
      <c r="L7" s="51">
        <v>10559833</v>
      </c>
      <c r="M7" s="52">
        <v>0</v>
      </c>
      <c r="N7" s="52">
        <v>0</v>
      </c>
      <c r="O7" s="52">
        <v>0</v>
      </c>
      <c r="P7" s="52">
        <v>1498447</v>
      </c>
      <c r="Q7" s="52">
        <f t="shared" si="0"/>
        <v>12058280</v>
      </c>
      <c r="R7" s="52">
        <v>0</v>
      </c>
      <c r="S7" s="52">
        <v>527991</v>
      </c>
      <c r="T7" s="52">
        <v>12</v>
      </c>
      <c r="U7" s="22">
        <v>44921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spans="2:32" s="31" customFormat="1" ht="61.5" customHeight="1" x14ac:dyDescent="0.25">
      <c r="B8" s="33">
        <v>2022</v>
      </c>
      <c r="C8" s="32" t="s">
        <v>329</v>
      </c>
      <c r="D8" s="33" t="s">
        <v>267</v>
      </c>
      <c r="E8" s="33" t="s">
        <v>80</v>
      </c>
      <c r="F8" s="32" t="s">
        <v>330</v>
      </c>
      <c r="G8" s="33" t="s">
        <v>155</v>
      </c>
      <c r="H8" s="32" t="s">
        <v>332</v>
      </c>
      <c r="I8" s="32" t="s">
        <v>10</v>
      </c>
      <c r="J8" s="23" t="s">
        <v>331</v>
      </c>
      <c r="K8" s="22">
        <v>44805</v>
      </c>
      <c r="L8" s="51">
        <v>126000000</v>
      </c>
      <c r="M8" s="52">
        <v>0</v>
      </c>
      <c r="N8" s="52">
        <v>0</v>
      </c>
      <c r="O8" s="52">
        <v>0</v>
      </c>
      <c r="P8" s="52">
        <v>54427996</v>
      </c>
      <c r="Q8" s="52">
        <f t="shared" si="0"/>
        <v>180427996</v>
      </c>
      <c r="R8" s="52">
        <v>0</v>
      </c>
      <c r="S8" s="52">
        <v>17379000</v>
      </c>
      <c r="T8" s="52">
        <v>36</v>
      </c>
      <c r="U8" s="22">
        <v>44894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spans="2:32" s="31" customFormat="1" ht="61.5" customHeight="1" x14ac:dyDescent="0.25">
      <c r="B9" s="33">
        <v>2022</v>
      </c>
      <c r="C9" s="32" t="s">
        <v>326</v>
      </c>
      <c r="D9" s="29" t="s">
        <v>310</v>
      </c>
      <c r="E9" s="33" t="s">
        <v>80</v>
      </c>
      <c r="F9" s="32" t="s">
        <v>327</v>
      </c>
      <c r="G9" s="32" t="s">
        <v>312</v>
      </c>
      <c r="H9" s="32" t="s">
        <v>303</v>
      </c>
      <c r="I9" s="32" t="s">
        <v>10</v>
      </c>
      <c r="J9" s="23" t="s">
        <v>328</v>
      </c>
      <c r="K9" s="22">
        <v>44846</v>
      </c>
      <c r="L9" s="51">
        <v>21325500</v>
      </c>
      <c r="M9" s="52">
        <v>0</v>
      </c>
      <c r="N9" s="52">
        <v>0</v>
      </c>
      <c r="O9" s="52">
        <v>0</v>
      </c>
      <c r="P9" s="52">
        <v>7500000</v>
      </c>
      <c r="Q9" s="52">
        <f t="shared" si="0"/>
        <v>28825500</v>
      </c>
      <c r="R9" s="52">
        <v>1066275</v>
      </c>
      <c r="S9" s="52">
        <v>0</v>
      </c>
      <c r="T9" s="52">
        <v>15</v>
      </c>
      <c r="U9" s="22">
        <v>44846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2:32" s="31" customFormat="1" ht="61.5" customHeight="1" x14ac:dyDescent="0.25">
      <c r="B10" s="33">
        <v>2022</v>
      </c>
      <c r="C10" s="32" t="s">
        <v>225</v>
      </c>
      <c r="D10" s="29" t="s">
        <v>310</v>
      </c>
      <c r="E10" s="33" t="s">
        <v>80</v>
      </c>
      <c r="F10" s="32" t="s">
        <v>311</v>
      </c>
      <c r="G10" s="32" t="s">
        <v>312</v>
      </c>
      <c r="H10" s="32" t="s">
        <v>303</v>
      </c>
      <c r="I10" s="32" t="s">
        <v>10</v>
      </c>
      <c r="J10" s="23" t="s">
        <v>328</v>
      </c>
      <c r="K10" s="22">
        <v>44708</v>
      </c>
      <c r="L10" s="51">
        <v>3444000</v>
      </c>
      <c r="M10" s="52">
        <v>0</v>
      </c>
      <c r="N10" s="52">
        <v>0</v>
      </c>
      <c r="O10" s="52">
        <v>0</v>
      </c>
      <c r="P10" s="52">
        <v>10126994</v>
      </c>
      <c r="Q10" s="52">
        <f t="shared" si="0"/>
        <v>13570994</v>
      </c>
      <c r="R10" s="52">
        <v>172000</v>
      </c>
      <c r="S10" s="52">
        <v>0</v>
      </c>
      <c r="T10" s="52">
        <v>12</v>
      </c>
      <c r="U10" s="22">
        <v>44748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2:32" s="31" customFormat="1" ht="61.5" customHeight="1" x14ac:dyDescent="0.25">
      <c r="B11" s="33">
        <v>2021</v>
      </c>
      <c r="C11" s="33" t="s">
        <v>270</v>
      </c>
      <c r="D11" s="33" t="s">
        <v>267</v>
      </c>
      <c r="E11" s="33" t="s">
        <v>80</v>
      </c>
      <c r="F11" s="33" t="s">
        <v>273</v>
      </c>
      <c r="G11" s="33" t="s">
        <v>277</v>
      </c>
      <c r="H11" s="33" t="s">
        <v>165</v>
      </c>
      <c r="I11" s="33" t="s">
        <v>10</v>
      </c>
      <c r="J11" s="33" t="s">
        <v>272</v>
      </c>
      <c r="K11" s="23"/>
      <c r="L11" s="32"/>
      <c r="M11" s="30"/>
      <c r="N11" s="30"/>
      <c r="O11" s="30"/>
      <c r="P11" s="30"/>
      <c r="Q11" s="30"/>
      <c r="R11" s="30"/>
      <c r="S11" s="30"/>
      <c r="T11" s="30"/>
      <c r="U11" s="23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2:32" s="31" customFormat="1" ht="61.5" customHeight="1" x14ac:dyDescent="0.25">
      <c r="B12" s="33">
        <v>2021</v>
      </c>
      <c r="C12" s="33" t="s">
        <v>269</v>
      </c>
      <c r="D12" s="33" t="s">
        <v>267</v>
      </c>
      <c r="E12" s="33" t="s">
        <v>80</v>
      </c>
      <c r="F12" s="33" t="s">
        <v>274</v>
      </c>
      <c r="G12" s="33" t="s">
        <v>277</v>
      </c>
      <c r="H12" s="33" t="s">
        <v>139</v>
      </c>
      <c r="I12" s="33" t="s">
        <v>10</v>
      </c>
      <c r="J12" s="33" t="s">
        <v>272</v>
      </c>
      <c r="K12" s="23"/>
      <c r="L12" s="32"/>
      <c r="M12" s="30"/>
      <c r="N12" s="30"/>
      <c r="O12" s="30"/>
      <c r="P12" s="30"/>
      <c r="Q12" s="30"/>
      <c r="R12" s="30"/>
      <c r="S12" s="30"/>
      <c r="T12" s="30"/>
      <c r="U12" s="23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2:32" s="31" customFormat="1" ht="61.5" customHeight="1" x14ac:dyDescent="0.25">
      <c r="B13" s="33">
        <v>2021</v>
      </c>
      <c r="C13" s="33" t="s">
        <v>167</v>
      </c>
      <c r="D13" s="33" t="s">
        <v>267</v>
      </c>
      <c r="E13" s="33" t="s">
        <v>80</v>
      </c>
      <c r="F13" s="33" t="s">
        <v>199</v>
      </c>
      <c r="G13" s="33" t="s">
        <v>155</v>
      </c>
      <c r="H13" s="33" t="s">
        <v>105</v>
      </c>
      <c r="I13" s="33" t="s">
        <v>167</v>
      </c>
      <c r="J13" s="33" t="s">
        <v>289</v>
      </c>
      <c r="K13" s="23"/>
      <c r="L13" s="32"/>
      <c r="M13" s="30"/>
      <c r="N13" s="30"/>
      <c r="O13" s="30"/>
      <c r="P13" s="30"/>
      <c r="Q13" s="30"/>
      <c r="R13" s="30"/>
      <c r="S13" s="30"/>
      <c r="T13" s="30"/>
      <c r="U13" s="23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2:32" s="31" customFormat="1" ht="61.5" customHeight="1" x14ac:dyDescent="0.25">
      <c r="B14" s="33">
        <v>2021</v>
      </c>
      <c r="C14" s="33" t="s">
        <v>268</v>
      </c>
      <c r="D14" s="33" t="s">
        <v>267</v>
      </c>
      <c r="E14" s="33" t="s">
        <v>80</v>
      </c>
      <c r="F14" s="33" t="s">
        <v>276</v>
      </c>
      <c r="G14" s="33" t="s">
        <v>99</v>
      </c>
      <c r="H14" s="33" t="s">
        <v>100</v>
      </c>
      <c r="I14" s="33" t="s">
        <v>10</v>
      </c>
      <c r="J14" s="33" t="s">
        <v>50</v>
      </c>
      <c r="K14" s="23"/>
      <c r="L14" s="32"/>
      <c r="M14" s="30"/>
      <c r="N14" s="30"/>
      <c r="O14" s="30"/>
      <c r="P14" s="30"/>
      <c r="Q14" s="30"/>
      <c r="R14" s="30"/>
      <c r="S14" s="30"/>
      <c r="T14" s="30"/>
      <c r="U14" s="23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2:32" s="31" customFormat="1" ht="61.5" customHeight="1" x14ac:dyDescent="0.25">
      <c r="B15" s="33">
        <v>2021</v>
      </c>
      <c r="C15" s="33" t="s">
        <v>259</v>
      </c>
      <c r="D15" s="33" t="s">
        <v>267</v>
      </c>
      <c r="E15" s="33" t="s">
        <v>80</v>
      </c>
      <c r="F15" s="33" t="s">
        <v>258</v>
      </c>
      <c r="G15" s="33" t="s">
        <v>277</v>
      </c>
      <c r="H15" s="33" t="s">
        <v>139</v>
      </c>
      <c r="I15" s="33" t="s">
        <v>10</v>
      </c>
      <c r="J15" s="33" t="s">
        <v>50</v>
      </c>
      <c r="K15" s="23"/>
      <c r="L15" s="32"/>
      <c r="M15" s="30"/>
      <c r="N15" s="30"/>
      <c r="O15" s="30"/>
      <c r="P15" s="30"/>
      <c r="Q15" s="30"/>
      <c r="R15" s="30"/>
      <c r="S15" s="30"/>
      <c r="T15" s="30"/>
      <c r="U15" s="23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2:32" s="31" customFormat="1" ht="61.5" customHeight="1" x14ac:dyDescent="0.25">
      <c r="B16" s="33">
        <v>2020</v>
      </c>
      <c r="C16" s="33" t="s">
        <v>201</v>
      </c>
      <c r="D16" s="33" t="s">
        <v>267</v>
      </c>
      <c r="E16" s="33" t="s">
        <v>80</v>
      </c>
      <c r="F16" s="33" t="s">
        <v>200</v>
      </c>
      <c r="G16" s="33" t="s">
        <v>155</v>
      </c>
      <c r="H16" s="33" t="s">
        <v>105</v>
      </c>
      <c r="I16" s="33" t="s">
        <v>135</v>
      </c>
      <c r="J16" s="33" t="s">
        <v>144</v>
      </c>
      <c r="K16" s="23"/>
      <c r="L16" s="32"/>
      <c r="M16" s="30"/>
      <c r="N16" s="30"/>
      <c r="O16" s="30"/>
      <c r="P16" s="30"/>
      <c r="Q16" s="30"/>
      <c r="R16" s="30"/>
      <c r="S16" s="30"/>
      <c r="T16" s="30">
        <v>36</v>
      </c>
      <c r="U16" s="23" t="s">
        <v>210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2:32" s="37" customFormat="1" ht="41.25" customHeight="1" x14ac:dyDescent="0.2">
      <c r="B17" s="33">
        <v>2020</v>
      </c>
      <c r="C17" s="33" t="s">
        <v>271</v>
      </c>
      <c r="D17" s="33" t="s">
        <v>267</v>
      </c>
      <c r="E17" s="33" t="s">
        <v>80</v>
      </c>
      <c r="F17" s="33" t="s">
        <v>226</v>
      </c>
      <c r="G17" s="33" t="s">
        <v>275</v>
      </c>
      <c r="H17" s="33" t="s">
        <v>90</v>
      </c>
      <c r="I17" s="33" t="s">
        <v>10</v>
      </c>
      <c r="J17" s="33" t="s">
        <v>290</v>
      </c>
      <c r="K17" s="23"/>
      <c r="L17" s="45">
        <v>151575000</v>
      </c>
      <c r="M17" s="45">
        <v>42666667</v>
      </c>
      <c r="N17" s="29"/>
      <c r="O17" s="29"/>
      <c r="P17" s="29"/>
      <c r="Q17" s="9"/>
      <c r="R17" s="9"/>
      <c r="S17" s="9"/>
      <c r="T17" s="9"/>
      <c r="U17" s="9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2:32" ht="45" x14ac:dyDescent="0.2">
      <c r="B18" s="33">
        <v>2020</v>
      </c>
      <c r="C18" s="33" t="s">
        <v>225</v>
      </c>
      <c r="D18" s="33" t="s">
        <v>267</v>
      </c>
      <c r="E18" s="33" t="s">
        <v>80</v>
      </c>
      <c r="F18" s="33" t="s">
        <v>227</v>
      </c>
      <c r="G18" s="33"/>
      <c r="H18" s="33" t="s">
        <v>85</v>
      </c>
      <c r="I18" s="33" t="s">
        <v>10</v>
      </c>
      <c r="J18" s="33" t="s">
        <v>50</v>
      </c>
      <c r="K18" s="9"/>
      <c r="L18" s="29">
        <v>2120842</v>
      </c>
      <c r="M18" s="29"/>
      <c r="N18" s="29"/>
      <c r="O18" s="29"/>
      <c r="P18" s="29">
        <v>10920954</v>
      </c>
      <c r="Q18" s="9"/>
      <c r="R18" s="9"/>
      <c r="S18" s="9"/>
      <c r="T18" s="9"/>
      <c r="U18" s="9"/>
      <c r="V18" s="39"/>
      <c r="W18" s="39"/>
      <c r="X18" s="39"/>
      <c r="Y18" s="39"/>
      <c r="Z18" s="39"/>
      <c r="AA18" s="39"/>
      <c r="AB18" s="40">
        <v>2120790</v>
      </c>
      <c r="AC18" s="39"/>
      <c r="AD18" s="39"/>
      <c r="AE18" s="39"/>
      <c r="AF18" s="39"/>
    </row>
    <row r="19" spans="2:32" x14ac:dyDescent="0.2">
      <c r="B19" s="33"/>
      <c r="C19" s="33"/>
      <c r="D19" s="33"/>
      <c r="E19" s="33"/>
      <c r="F19" s="33"/>
      <c r="G19" s="33"/>
      <c r="H19" s="33"/>
      <c r="I19" s="33"/>
      <c r="J19" s="33"/>
    </row>
  </sheetData>
  <mergeCells count="4">
    <mergeCell ref="M1:N1"/>
    <mergeCell ref="O1:P1"/>
    <mergeCell ref="R1:S1"/>
    <mergeCell ref="AB1:AF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25"/>
  <sheetViews>
    <sheetView showGridLines="0" zoomScale="80" zoomScaleNormal="80" workbookViewId="0">
      <selection activeCell="F18" sqref="F18"/>
    </sheetView>
  </sheetViews>
  <sheetFormatPr baseColWidth="10" defaultRowHeight="15" x14ac:dyDescent="0.25"/>
  <cols>
    <col min="1" max="1" width="36.5703125" customWidth="1"/>
    <col min="2" max="2" width="24.140625" customWidth="1"/>
    <col min="3" max="3" width="25.5703125" customWidth="1"/>
    <col min="4" max="4" width="29.28515625" customWidth="1"/>
    <col min="5" max="5" width="29.5703125" customWidth="1"/>
    <col min="6" max="6" width="15.7109375" customWidth="1"/>
    <col min="7" max="7" width="11" customWidth="1"/>
    <col min="8" max="8" width="15.7109375" customWidth="1"/>
    <col min="9" max="9" width="25.5703125" customWidth="1"/>
    <col min="10" max="10" width="29.28515625" bestFit="1" customWidth="1"/>
    <col min="11" max="11" width="29.5703125" customWidth="1"/>
    <col min="12" max="12" width="29.28515625" bestFit="1" customWidth="1"/>
    <col min="13" max="13" width="29.5703125" customWidth="1"/>
    <col min="14" max="18" width="9" bestFit="1" customWidth="1"/>
    <col min="19" max="61" width="10" bestFit="1" customWidth="1"/>
    <col min="62" max="62" width="11" bestFit="1" customWidth="1"/>
    <col min="63" max="63" width="15.140625" bestFit="1" customWidth="1"/>
    <col min="64" max="64" width="11" bestFit="1" customWidth="1"/>
    <col min="65" max="65" width="12.5703125" bestFit="1" customWidth="1"/>
  </cols>
  <sheetData>
    <row r="3" spans="1:8" x14ac:dyDescent="0.25">
      <c r="A3" s="72" t="s">
        <v>504</v>
      </c>
      <c r="B3" t="s">
        <v>496</v>
      </c>
    </row>
    <row r="5" spans="1:8" x14ac:dyDescent="0.25">
      <c r="A5" s="72" t="s">
        <v>499</v>
      </c>
      <c r="B5" s="72" t="s">
        <v>477</v>
      </c>
    </row>
    <row r="6" spans="1:8" x14ac:dyDescent="0.25">
      <c r="A6" s="72" t="s">
        <v>473</v>
      </c>
      <c r="B6" s="74" t="s">
        <v>8</v>
      </c>
      <c r="C6" s="74" t="s">
        <v>478</v>
      </c>
      <c r="D6" s="74" t="s">
        <v>389</v>
      </c>
      <c r="E6" t="s">
        <v>91</v>
      </c>
      <c r="F6" s="74" t="s">
        <v>144</v>
      </c>
      <c r="G6" t="s">
        <v>524</v>
      </c>
      <c r="H6" s="74" t="s">
        <v>474</v>
      </c>
    </row>
    <row r="7" spans="1:8" x14ac:dyDescent="0.25">
      <c r="A7" s="73" t="s">
        <v>465</v>
      </c>
      <c r="B7" s="74">
        <v>767845544</v>
      </c>
      <c r="C7" s="74">
        <v>475886646</v>
      </c>
      <c r="D7" s="74">
        <v>282718815</v>
      </c>
      <c r="E7" s="71"/>
      <c r="F7" s="74">
        <v>411910000</v>
      </c>
      <c r="G7" s="71"/>
      <c r="H7" s="74">
        <v>1938361005</v>
      </c>
    </row>
    <row r="8" spans="1:8" x14ac:dyDescent="0.25">
      <c r="A8" s="110" t="s">
        <v>105</v>
      </c>
      <c r="B8" s="74"/>
      <c r="C8" s="74"/>
      <c r="D8" s="74">
        <v>127589000</v>
      </c>
      <c r="E8" s="71"/>
      <c r="F8" s="74"/>
      <c r="G8" s="71"/>
      <c r="H8" s="74">
        <v>127589000</v>
      </c>
    </row>
    <row r="9" spans="1:8" x14ac:dyDescent="0.25">
      <c r="A9" s="110" t="s">
        <v>421</v>
      </c>
      <c r="B9" s="74">
        <v>45574372</v>
      </c>
      <c r="C9" s="74">
        <v>475886646</v>
      </c>
      <c r="D9" s="74">
        <v>86243575</v>
      </c>
      <c r="E9" s="71"/>
      <c r="F9" s="74"/>
      <c r="G9" s="71"/>
      <c r="H9" s="74">
        <v>607704593</v>
      </c>
    </row>
    <row r="10" spans="1:8" x14ac:dyDescent="0.25">
      <c r="A10" s="110" t="s">
        <v>96</v>
      </c>
      <c r="B10" s="74">
        <v>722271172</v>
      </c>
      <c r="C10" s="74"/>
      <c r="D10" s="74">
        <v>68886240</v>
      </c>
      <c r="E10" s="71"/>
      <c r="F10" s="74">
        <v>411910000</v>
      </c>
      <c r="G10" s="71"/>
      <c r="H10" s="74">
        <v>1203067412</v>
      </c>
    </row>
    <row r="11" spans="1:8" x14ac:dyDescent="0.25">
      <c r="A11" s="73" t="s">
        <v>68</v>
      </c>
      <c r="B11" s="74">
        <v>170280300</v>
      </c>
      <c r="C11" s="74"/>
      <c r="D11" s="74"/>
      <c r="E11" s="71"/>
      <c r="F11" s="74">
        <v>66364000</v>
      </c>
      <c r="G11" s="71"/>
      <c r="H11" s="74">
        <v>236644300</v>
      </c>
    </row>
    <row r="12" spans="1:8" x14ac:dyDescent="0.25">
      <c r="A12" s="110" t="s">
        <v>105</v>
      </c>
      <c r="B12" s="74"/>
      <c r="C12" s="74"/>
      <c r="D12" s="74"/>
      <c r="E12" s="71"/>
      <c r="F12" s="74"/>
      <c r="G12" s="71"/>
      <c r="H12" s="74"/>
    </row>
    <row r="13" spans="1:8" x14ac:dyDescent="0.25">
      <c r="A13" s="110" t="s">
        <v>55</v>
      </c>
      <c r="B13" s="74"/>
      <c r="C13" s="74"/>
      <c r="D13" s="74"/>
      <c r="E13" s="71"/>
      <c r="F13" s="74">
        <v>28864000</v>
      </c>
      <c r="G13" s="71"/>
      <c r="H13" s="74">
        <v>28864000</v>
      </c>
    </row>
    <row r="14" spans="1:8" x14ac:dyDescent="0.25">
      <c r="A14" s="110" t="s">
        <v>96</v>
      </c>
      <c r="B14" s="74">
        <v>170280300</v>
      </c>
      <c r="C14" s="74"/>
      <c r="D14" s="74"/>
      <c r="E14" s="71"/>
      <c r="F14" s="74">
        <v>37500000</v>
      </c>
      <c r="G14" s="71"/>
      <c r="H14" s="74">
        <v>207780300</v>
      </c>
    </row>
    <row r="15" spans="1:8" x14ac:dyDescent="0.25">
      <c r="A15" s="73" t="s">
        <v>284</v>
      </c>
      <c r="B15" s="74"/>
      <c r="C15" s="74"/>
      <c r="D15" s="74">
        <v>49420266</v>
      </c>
      <c r="E15" s="71"/>
      <c r="F15" s="74">
        <v>0</v>
      </c>
      <c r="G15" s="71"/>
      <c r="H15" s="74">
        <v>49420266</v>
      </c>
    </row>
    <row r="16" spans="1:8" x14ac:dyDescent="0.25">
      <c r="A16" s="110" t="s">
        <v>355</v>
      </c>
      <c r="B16" s="74"/>
      <c r="C16" s="74"/>
      <c r="D16" s="74">
        <v>49420266</v>
      </c>
      <c r="E16" s="71"/>
      <c r="F16" s="74"/>
      <c r="G16" s="71"/>
      <c r="H16" s="74">
        <v>49420266</v>
      </c>
    </row>
    <row r="17" spans="1:8" x14ac:dyDescent="0.25">
      <c r="A17" s="110" t="s">
        <v>165</v>
      </c>
      <c r="B17" s="74"/>
      <c r="C17" s="74"/>
      <c r="D17" s="74"/>
      <c r="E17" s="71"/>
      <c r="F17" s="74">
        <v>0</v>
      </c>
      <c r="G17" s="71"/>
      <c r="H17" s="74">
        <v>0</v>
      </c>
    </row>
    <row r="18" spans="1:8" x14ac:dyDescent="0.25">
      <c r="A18" s="73" t="s">
        <v>466</v>
      </c>
      <c r="B18" s="74"/>
      <c r="C18" s="74"/>
      <c r="D18" s="74">
        <v>174090817</v>
      </c>
      <c r="E18" s="71"/>
      <c r="F18" s="74"/>
      <c r="G18" s="71"/>
      <c r="H18" s="74">
        <v>174090817</v>
      </c>
    </row>
    <row r="19" spans="1:8" x14ac:dyDescent="0.25">
      <c r="A19" s="110" t="s">
        <v>100</v>
      </c>
      <c r="B19" s="74"/>
      <c r="C19" s="74"/>
      <c r="D19" s="74">
        <v>174090817</v>
      </c>
      <c r="E19" s="71"/>
      <c r="F19" s="74"/>
      <c r="G19" s="71"/>
      <c r="H19" s="74">
        <v>174090817</v>
      </c>
    </row>
    <row r="20" spans="1:8" x14ac:dyDescent="0.25">
      <c r="A20" s="73" t="s">
        <v>118</v>
      </c>
      <c r="B20" s="74">
        <v>773678590</v>
      </c>
      <c r="C20" s="74">
        <v>1107730381</v>
      </c>
      <c r="D20" s="74">
        <v>859501208</v>
      </c>
      <c r="E20" s="71"/>
      <c r="F20" s="74">
        <v>191721024</v>
      </c>
      <c r="G20" s="71"/>
      <c r="H20" s="74">
        <v>2932631203</v>
      </c>
    </row>
    <row r="21" spans="1:8" x14ac:dyDescent="0.25">
      <c r="A21" s="110" t="s">
        <v>212</v>
      </c>
      <c r="B21" s="74">
        <v>159037123</v>
      </c>
      <c r="C21" s="74">
        <v>211136880</v>
      </c>
      <c r="D21" s="74"/>
      <c r="E21" s="71"/>
      <c r="F21" s="74"/>
      <c r="G21" s="71"/>
      <c r="H21" s="74">
        <v>370174003</v>
      </c>
    </row>
    <row r="22" spans="1:8" x14ac:dyDescent="0.25">
      <c r="A22" s="110" t="s">
        <v>441</v>
      </c>
      <c r="B22" s="74"/>
      <c r="C22" s="74"/>
      <c r="D22" s="74">
        <v>461067026</v>
      </c>
      <c r="E22" s="71"/>
      <c r="F22" s="74"/>
      <c r="G22" s="71"/>
      <c r="H22" s="74">
        <v>461067026</v>
      </c>
    </row>
    <row r="23" spans="1:8" x14ac:dyDescent="0.25">
      <c r="A23" s="110" t="s">
        <v>139</v>
      </c>
      <c r="B23" s="74">
        <v>289242004</v>
      </c>
      <c r="C23" s="74"/>
      <c r="D23" s="74"/>
      <c r="E23" s="71"/>
      <c r="F23" s="74"/>
      <c r="G23" s="71"/>
      <c r="H23" s="74">
        <v>289242004</v>
      </c>
    </row>
    <row r="24" spans="1:8" x14ac:dyDescent="0.25">
      <c r="A24" s="110" t="s">
        <v>355</v>
      </c>
      <c r="B24" s="74"/>
      <c r="C24" s="74"/>
      <c r="D24" s="74">
        <v>43219853</v>
      </c>
      <c r="E24" s="71"/>
      <c r="F24" s="74"/>
      <c r="G24" s="71"/>
      <c r="H24" s="74">
        <v>43219853</v>
      </c>
    </row>
    <row r="25" spans="1:8" x14ac:dyDescent="0.25">
      <c r="A25" s="110" t="s">
        <v>165</v>
      </c>
      <c r="B25" s="74">
        <v>141335807</v>
      </c>
      <c r="C25" s="74"/>
      <c r="D25" s="74"/>
      <c r="E25" s="71"/>
      <c r="F25" s="74"/>
      <c r="G25" s="71"/>
      <c r="H25" s="74">
        <v>141335807</v>
      </c>
    </row>
    <row r="26" spans="1:8" x14ac:dyDescent="0.25">
      <c r="A26" s="110" t="s">
        <v>421</v>
      </c>
      <c r="B26" s="74"/>
      <c r="C26" s="74">
        <v>188863161</v>
      </c>
      <c r="D26" s="74"/>
      <c r="E26" s="71"/>
      <c r="F26" s="74"/>
      <c r="G26" s="71"/>
      <c r="H26" s="74">
        <v>188863161</v>
      </c>
    </row>
    <row r="27" spans="1:8" x14ac:dyDescent="0.25">
      <c r="A27" s="110" t="s">
        <v>100</v>
      </c>
      <c r="B27" s="74">
        <v>184063656</v>
      </c>
      <c r="C27" s="74">
        <v>410701484</v>
      </c>
      <c r="D27" s="74">
        <v>197750395</v>
      </c>
      <c r="E27" s="71"/>
      <c r="F27" s="74"/>
      <c r="G27" s="71"/>
      <c r="H27" s="74">
        <v>792515535</v>
      </c>
    </row>
    <row r="28" spans="1:8" x14ac:dyDescent="0.25">
      <c r="A28" s="110" t="s">
        <v>405</v>
      </c>
      <c r="B28" s="74"/>
      <c r="C28" s="74"/>
      <c r="D28" s="74">
        <v>15000000</v>
      </c>
      <c r="E28" s="71"/>
      <c r="F28" s="74"/>
      <c r="G28" s="71"/>
      <c r="H28" s="74">
        <v>15000000</v>
      </c>
    </row>
    <row r="29" spans="1:8" x14ac:dyDescent="0.25">
      <c r="A29" s="110" t="s">
        <v>437</v>
      </c>
      <c r="B29" s="74"/>
      <c r="C29" s="74">
        <v>77243376</v>
      </c>
      <c r="D29" s="74"/>
      <c r="E29" s="71"/>
      <c r="F29" s="74"/>
      <c r="G29" s="71"/>
      <c r="H29" s="74">
        <v>77243376</v>
      </c>
    </row>
    <row r="30" spans="1:8" x14ac:dyDescent="0.25">
      <c r="A30" s="110" t="s">
        <v>96</v>
      </c>
      <c r="B30" s="74"/>
      <c r="C30" s="74"/>
      <c r="D30" s="74">
        <v>142463934</v>
      </c>
      <c r="E30" s="71"/>
      <c r="F30" s="74"/>
      <c r="G30" s="71"/>
      <c r="H30" s="74">
        <v>142463934</v>
      </c>
    </row>
    <row r="31" spans="1:8" x14ac:dyDescent="0.25">
      <c r="A31" s="110" t="s">
        <v>93</v>
      </c>
      <c r="B31" s="74"/>
      <c r="C31" s="74"/>
      <c r="D31" s="74"/>
      <c r="E31" s="71"/>
      <c r="F31" s="74">
        <v>191721024</v>
      </c>
      <c r="G31" s="71"/>
      <c r="H31" s="74">
        <v>191721024</v>
      </c>
    </row>
    <row r="32" spans="1:8" x14ac:dyDescent="0.25">
      <c r="A32" s="110" t="s">
        <v>413</v>
      </c>
      <c r="B32" s="74"/>
      <c r="C32" s="74">
        <v>219785480</v>
      </c>
      <c r="D32" s="74"/>
      <c r="E32" s="71"/>
      <c r="F32" s="74"/>
      <c r="G32" s="71"/>
      <c r="H32" s="74">
        <v>219785480</v>
      </c>
    </row>
    <row r="33" spans="1:8" x14ac:dyDescent="0.25">
      <c r="A33" s="73" t="s">
        <v>298</v>
      </c>
      <c r="B33" s="74">
        <v>1053487096</v>
      </c>
      <c r="C33" s="74"/>
      <c r="D33" s="74">
        <v>1148579329</v>
      </c>
      <c r="E33" s="71"/>
      <c r="F33" s="74"/>
      <c r="G33" s="71"/>
      <c r="H33" s="74">
        <v>2202066425</v>
      </c>
    </row>
    <row r="34" spans="1:8" x14ac:dyDescent="0.25">
      <c r="A34" s="110" t="s">
        <v>212</v>
      </c>
      <c r="B34" s="74">
        <v>187949539</v>
      </c>
      <c r="C34" s="74"/>
      <c r="D34" s="74"/>
      <c r="E34" s="71"/>
      <c r="F34" s="74"/>
      <c r="G34" s="71"/>
      <c r="H34" s="74">
        <v>187949539</v>
      </c>
    </row>
    <row r="35" spans="1:8" x14ac:dyDescent="0.25">
      <c r="A35" s="110" t="s">
        <v>441</v>
      </c>
      <c r="B35" s="74"/>
      <c r="C35" s="74"/>
      <c r="D35" s="74">
        <v>179899000</v>
      </c>
      <c r="E35" s="71"/>
      <c r="F35" s="74"/>
      <c r="G35" s="71"/>
      <c r="H35" s="74">
        <v>179899000</v>
      </c>
    </row>
    <row r="36" spans="1:8" x14ac:dyDescent="0.25">
      <c r="A36" s="110" t="s">
        <v>139</v>
      </c>
      <c r="B36" s="74"/>
      <c r="C36" s="74"/>
      <c r="D36" s="74">
        <v>233558000</v>
      </c>
      <c r="E36" s="71"/>
      <c r="F36" s="74"/>
      <c r="G36" s="71"/>
      <c r="H36" s="74">
        <v>233558000</v>
      </c>
    </row>
    <row r="37" spans="1:8" x14ac:dyDescent="0.25">
      <c r="A37" s="110" t="s">
        <v>165</v>
      </c>
      <c r="B37" s="74">
        <v>242000000</v>
      </c>
      <c r="C37" s="74"/>
      <c r="D37" s="74"/>
      <c r="E37" s="71"/>
      <c r="F37" s="74"/>
      <c r="G37" s="71"/>
      <c r="H37" s="74">
        <v>242000000</v>
      </c>
    </row>
    <row r="38" spans="1:8" x14ac:dyDescent="0.25">
      <c r="A38" s="110" t="s">
        <v>163</v>
      </c>
      <c r="B38" s="74">
        <v>239861000</v>
      </c>
      <c r="C38" s="74"/>
      <c r="D38" s="74"/>
      <c r="E38" s="71"/>
      <c r="F38" s="74"/>
      <c r="G38" s="71"/>
      <c r="H38" s="74">
        <v>239861000</v>
      </c>
    </row>
    <row r="39" spans="1:8" x14ac:dyDescent="0.25">
      <c r="A39" s="110" t="s">
        <v>100</v>
      </c>
      <c r="B39" s="74"/>
      <c r="C39" s="74"/>
      <c r="D39" s="74">
        <v>554591075</v>
      </c>
      <c r="E39" s="71"/>
      <c r="F39" s="74"/>
      <c r="G39" s="71"/>
      <c r="H39" s="74">
        <v>554591075</v>
      </c>
    </row>
    <row r="40" spans="1:8" x14ac:dyDescent="0.25">
      <c r="A40" s="110" t="s">
        <v>96</v>
      </c>
      <c r="B40" s="74">
        <v>207246845</v>
      </c>
      <c r="C40" s="74"/>
      <c r="D40" s="74"/>
      <c r="E40" s="71"/>
      <c r="F40" s="74"/>
      <c r="G40" s="71"/>
      <c r="H40" s="74">
        <v>207246845</v>
      </c>
    </row>
    <row r="41" spans="1:8" x14ac:dyDescent="0.25">
      <c r="A41" s="110" t="s">
        <v>93</v>
      </c>
      <c r="B41" s="74">
        <v>176429712</v>
      </c>
      <c r="C41" s="74"/>
      <c r="D41" s="74">
        <v>180531254</v>
      </c>
      <c r="E41" s="71"/>
      <c r="F41" s="74"/>
      <c r="G41" s="71"/>
      <c r="H41" s="74">
        <v>356960966</v>
      </c>
    </row>
    <row r="42" spans="1:8" x14ac:dyDescent="0.25">
      <c r="A42" s="73" t="s">
        <v>82</v>
      </c>
      <c r="B42" s="74">
        <v>1128650000</v>
      </c>
      <c r="C42" s="74"/>
      <c r="D42" s="74"/>
      <c r="E42" s="71"/>
      <c r="F42" s="74"/>
      <c r="G42" s="71"/>
      <c r="H42" s="74">
        <v>1128650000</v>
      </c>
    </row>
    <row r="43" spans="1:8" x14ac:dyDescent="0.25">
      <c r="A43" s="110" t="s">
        <v>93</v>
      </c>
      <c r="B43" s="74">
        <v>1128650000</v>
      </c>
      <c r="C43" s="74"/>
      <c r="D43" s="74"/>
      <c r="E43" s="71"/>
      <c r="F43" s="74"/>
      <c r="G43" s="71"/>
      <c r="H43" s="74">
        <v>1128650000</v>
      </c>
    </row>
    <row r="44" spans="1:8" x14ac:dyDescent="0.25">
      <c r="A44" s="73" t="s">
        <v>87</v>
      </c>
      <c r="B44" s="74"/>
      <c r="C44" s="74"/>
      <c r="D44" s="74"/>
      <c r="E44" s="71">
        <v>12285000</v>
      </c>
      <c r="F44" s="74"/>
      <c r="G44" s="71"/>
      <c r="H44" s="74">
        <v>12285000</v>
      </c>
    </row>
    <row r="45" spans="1:8" x14ac:dyDescent="0.25">
      <c r="A45" s="110" t="s">
        <v>90</v>
      </c>
      <c r="B45" s="74"/>
      <c r="C45" s="74"/>
      <c r="D45" s="74"/>
      <c r="E45" s="71">
        <v>12285000</v>
      </c>
      <c r="F45" s="74"/>
      <c r="G45" s="71"/>
      <c r="H45" s="74">
        <v>12285000</v>
      </c>
    </row>
    <row r="46" spans="1:8" x14ac:dyDescent="0.25">
      <c r="A46" s="73" t="s">
        <v>183</v>
      </c>
      <c r="B46" s="74"/>
      <c r="C46" s="74">
        <v>605721942</v>
      </c>
      <c r="D46" s="74">
        <v>973444353</v>
      </c>
      <c r="E46" s="71"/>
      <c r="F46" s="74"/>
      <c r="G46" s="71"/>
      <c r="H46" s="74">
        <v>1579166295</v>
      </c>
    </row>
    <row r="47" spans="1:8" x14ac:dyDescent="0.25">
      <c r="A47" s="110" t="s">
        <v>105</v>
      </c>
      <c r="B47" s="74"/>
      <c r="C47" s="74"/>
      <c r="D47" s="74"/>
      <c r="E47" s="71"/>
      <c r="F47" s="74"/>
      <c r="G47" s="71"/>
      <c r="H47" s="74"/>
    </row>
    <row r="48" spans="1:8" x14ac:dyDescent="0.25">
      <c r="A48" s="110" t="s">
        <v>55</v>
      </c>
      <c r="B48" s="74"/>
      <c r="C48" s="74"/>
      <c r="D48" s="74">
        <v>381927318</v>
      </c>
      <c r="E48" s="71"/>
      <c r="F48" s="74"/>
      <c r="G48" s="71"/>
      <c r="H48" s="74">
        <v>381927318</v>
      </c>
    </row>
    <row r="49" spans="1:8" x14ac:dyDescent="0.25">
      <c r="A49" s="110" t="s">
        <v>395</v>
      </c>
      <c r="B49" s="74"/>
      <c r="C49" s="74">
        <v>167467518</v>
      </c>
      <c r="D49" s="74">
        <v>111227528</v>
      </c>
      <c r="E49" s="71"/>
      <c r="F49" s="74"/>
      <c r="G49" s="71"/>
      <c r="H49" s="74">
        <v>278695046</v>
      </c>
    </row>
    <row r="50" spans="1:8" x14ac:dyDescent="0.25">
      <c r="A50" s="110" t="s">
        <v>355</v>
      </c>
      <c r="B50" s="74"/>
      <c r="C50" s="74"/>
      <c r="D50" s="74">
        <v>50349067</v>
      </c>
      <c r="E50" s="71"/>
      <c r="F50" s="74"/>
      <c r="G50" s="71"/>
      <c r="H50" s="74">
        <v>50349067</v>
      </c>
    </row>
    <row r="51" spans="1:8" x14ac:dyDescent="0.25">
      <c r="A51" s="110" t="s">
        <v>421</v>
      </c>
      <c r="B51" s="74"/>
      <c r="C51" s="74">
        <v>420163718</v>
      </c>
      <c r="D51" s="74">
        <v>429940440</v>
      </c>
      <c r="E51" s="71"/>
      <c r="F51" s="74"/>
      <c r="G51" s="71"/>
      <c r="H51" s="74">
        <v>850104158</v>
      </c>
    </row>
    <row r="52" spans="1:8" x14ac:dyDescent="0.25">
      <c r="A52" s="110" t="s">
        <v>96</v>
      </c>
      <c r="B52" s="74"/>
      <c r="C52" s="74"/>
      <c r="D52" s="74"/>
      <c r="E52" s="71"/>
      <c r="F52" s="74"/>
      <c r="G52" s="71"/>
      <c r="H52" s="74"/>
    </row>
    <row r="53" spans="1:8" x14ac:dyDescent="0.25">
      <c r="A53" s="110" t="s">
        <v>413</v>
      </c>
      <c r="B53" s="74"/>
      <c r="C53" s="74">
        <v>18090706</v>
      </c>
      <c r="D53" s="74"/>
      <c r="E53" s="71"/>
      <c r="F53" s="74"/>
      <c r="G53" s="71"/>
      <c r="H53" s="74">
        <v>18090706</v>
      </c>
    </row>
    <row r="54" spans="1:8" x14ac:dyDescent="0.25">
      <c r="A54" s="73" t="s">
        <v>76</v>
      </c>
      <c r="B54" s="74"/>
      <c r="C54" s="74">
        <v>419129265</v>
      </c>
      <c r="D54" s="74"/>
      <c r="E54" s="71"/>
      <c r="F54" s="74">
        <v>1061385000</v>
      </c>
      <c r="G54" s="71"/>
      <c r="H54" s="74">
        <v>1480514265</v>
      </c>
    </row>
    <row r="55" spans="1:8" x14ac:dyDescent="0.25">
      <c r="A55" s="110" t="s">
        <v>100</v>
      </c>
      <c r="B55" s="74"/>
      <c r="C55" s="74"/>
      <c r="D55" s="74"/>
      <c r="E55" s="71"/>
      <c r="F55" s="74">
        <v>287797000</v>
      </c>
      <c r="G55" s="71"/>
      <c r="H55" s="74">
        <v>287797000</v>
      </c>
    </row>
    <row r="56" spans="1:8" x14ac:dyDescent="0.25">
      <c r="A56" s="110" t="s">
        <v>96</v>
      </c>
      <c r="B56" s="74"/>
      <c r="C56" s="74">
        <v>419129265</v>
      </c>
      <c r="D56" s="74"/>
      <c r="E56" s="71"/>
      <c r="F56" s="74">
        <v>773588000</v>
      </c>
      <c r="G56" s="71"/>
      <c r="H56" s="74">
        <v>1192717265</v>
      </c>
    </row>
    <row r="57" spans="1:8" x14ac:dyDescent="0.25">
      <c r="A57" s="73" t="s">
        <v>131</v>
      </c>
      <c r="B57" s="74">
        <v>120627400</v>
      </c>
      <c r="C57" s="74"/>
      <c r="D57" s="74"/>
      <c r="E57" s="71"/>
      <c r="F57" s="74"/>
      <c r="G57" s="71"/>
      <c r="H57" s="74">
        <v>120627400</v>
      </c>
    </row>
    <row r="58" spans="1:8" x14ac:dyDescent="0.25">
      <c r="A58" s="110" t="s">
        <v>96</v>
      </c>
      <c r="B58" s="74">
        <v>120627400</v>
      </c>
      <c r="C58" s="74"/>
      <c r="D58" s="74"/>
      <c r="E58" s="71"/>
      <c r="F58" s="74"/>
      <c r="G58" s="71"/>
      <c r="H58" s="74">
        <v>120627400</v>
      </c>
    </row>
    <row r="59" spans="1:8" x14ac:dyDescent="0.25">
      <c r="A59" s="73" t="s">
        <v>475</v>
      </c>
      <c r="B59" s="74"/>
      <c r="C59" s="74">
        <v>1643525548</v>
      </c>
      <c r="D59" s="74"/>
      <c r="E59" s="71"/>
      <c r="F59" s="74"/>
      <c r="G59" s="71"/>
      <c r="H59" s="74">
        <v>1643525548</v>
      </c>
    </row>
    <row r="60" spans="1:8" x14ac:dyDescent="0.25">
      <c r="A60" s="110" t="s">
        <v>405</v>
      </c>
      <c r="B60" s="74"/>
      <c r="C60" s="74">
        <v>316085437</v>
      </c>
      <c r="D60" s="74"/>
      <c r="E60" s="71"/>
      <c r="F60" s="74"/>
      <c r="G60" s="71"/>
      <c r="H60" s="74">
        <v>316085437</v>
      </c>
    </row>
    <row r="61" spans="1:8" x14ac:dyDescent="0.25">
      <c r="A61" s="110" t="s">
        <v>437</v>
      </c>
      <c r="B61" s="74"/>
      <c r="C61" s="74">
        <v>224302390</v>
      </c>
      <c r="D61" s="74"/>
      <c r="E61" s="71"/>
      <c r="F61" s="74"/>
      <c r="G61" s="71"/>
      <c r="H61" s="74">
        <v>224302390</v>
      </c>
    </row>
    <row r="62" spans="1:8" x14ac:dyDescent="0.25">
      <c r="A62" s="110" t="s">
        <v>93</v>
      </c>
      <c r="B62" s="74"/>
      <c r="C62" s="74">
        <v>297896617</v>
      </c>
      <c r="D62" s="74"/>
      <c r="E62" s="71"/>
      <c r="F62" s="74"/>
      <c r="G62" s="71"/>
      <c r="H62" s="74">
        <v>297896617</v>
      </c>
    </row>
    <row r="63" spans="1:8" x14ac:dyDescent="0.25">
      <c r="A63" s="110" t="s">
        <v>489</v>
      </c>
      <c r="B63" s="74"/>
      <c r="C63" s="74">
        <v>372566598</v>
      </c>
      <c r="D63" s="74"/>
      <c r="E63" s="71"/>
      <c r="F63" s="74"/>
      <c r="G63" s="71"/>
      <c r="H63" s="74">
        <v>372566598</v>
      </c>
    </row>
    <row r="64" spans="1:8" x14ac:dyDescent="0.25">
      <c r="A64" s="110" t="s">
        <v>490</v>
      </c>
      <c r="B64" s="74"/>
      <c r="C64" s="74">
        <v>432674506</v>
      </c>
      <c r="D64" s="74"/>
      <c r="E64" s="71"/>
      <c r="F64" s="74"/>
      <c r="G64" s="71"/>
      <c r="H64" s="74">
        <v>432674506</v>
      </c>
    </row>
    <row r="65" spans="1:8" x14ac:dyDescent="0.25">
      <c r="A65" s="73" t="s">
        <v>69</v>
      </c>
      <c r="B65" s="74"/>
      <c r="C65" s="74"/>
      <c r="D65" s="74"/>
      <c r="E65" s="71"/>
      <c r="F65" s="74">
        <v>139047000</v>
      </c>
      <c r="G65" s="71"/>
      <c r="H65" s="74">
        <v>139047000</v>
      </c>
    </row>
    <row r="66" spans="1:8" x14ac:dyDescent="0.25">
      <c r="A66" s="110" t="s">
        <v>100</v>
      </c>
      <c r="B66" s="74"/>
      <c r="C66" s="74"/>
      <c r="D66" s="74"/>
      <c r="E66" s="71"/>
      <c r="F66" s="74">
        <v>139047000</v>
      </c>
      <c r="G66" s="71"/>
      <c r="H66" s="74">
        <v>139047000</v>
      </c>
    </row>
    <row r="67" spans="1:8" x14ac:dyDescent="0.25">
      <c r="A67" s="73" t="s">
        <v>279</v>
      </c>
      <c r="B67" s="74"/>
      <c r="C67" s="74"/>
      <c r="D67" s="74">
        <v>49420266</v>
      </c>
      <c r="E67" s="71"/>
      <c r="F67" s="74"/>
      <c r="G67" s="71"/>
      <c r="H67" s="74">
        <v>49420266</v>
      </c>
    </row>
    <row r="68" spans="1:8" x14ac:dyDescent="0.25">
      <c r="A68" s="110" t="s">
        <v>395</v>
      </c>
      <c r="B68" s="74"/>
      <c r="C68" s="74"/>
      <c r="D68" s="74">
        <v>49420266</v>
      </c>
      <c r="E68" s="71"/>
      <c r="F68" s="74"/>
      <c r="G68" s="71"/>
      <c r="H68" s="74">
        <v>49420266</v>
      </c>
    </row>
    <row r="69" spans="1:8" x14ac:dyDescent="0.25">
      <c r="A69" s="73" t="s">
        <v>524</v>
      </c>
      <c r="B69" s="74"/>
      <c r="C69" s="74"/>
      <c r="D69" s="74"/>
      <c r="E69" s="71"/>
      <c r="F69" s="74"/>
      <c r="G69" s="71"/>
      <c r="H69" s="74"/>
    </row>
    <row r="70" spans="1:8" x14ac:dyDescent="0.25">
      <c r="A70" s="110" t="s">
        <v>524</v>
      </c>
      <c r="B70" s="74"/>
      <c r="C70" s="74"/>
      <c r="D70" s="74"/>
      <c r="E70" s="71"/>
      <c r="F70" s="74"/>
      <c r="G70" s="71"/>
      <c r="H70" s="74"/>
    </row>
    <row r="71" spans="1:8" x14ac:dyDescent="0.25">
      <c r="A71" s="72" t="s">
        <v>503</v>
      </c>
      <c r="B71" t="s">
        <v>476</v>
      </c>
    </row>
    <row r="73" spans="1:8" ht="15.75" thickBot="1" x14ac:dyDescent="0.3">
      <c r="B73" s="72" t="s">
        <v>477</v>
      </c>
    </row>
    <row r="74" spans="1:8" ht="15.75" thickBot="1" x14ac:dyDescent="0.3">
      <c r="B74" s="201" t="s">
        <v>478</v>
      </c>
      <c r="C74" s="205"/>
      <c r="D74" s="111" t="s">
        <v>500</v>
      </c>
      <c r="E74" s="111" t="s">
        <v>502</v>
      </c>
    </row>
    <row r="75" spans="1:8" ht="15.75" thickBot="1" x14ac:dyDescent="0.3">
      <c r="A75" s="72" t="s">
        <v>473</v>
      </c>
      <c r="B75" s="201" t="s">
        <v>498</v>
      </c>
      <c r="C75" s="206" t="s">
        <v>501</v>
      </c>
      <c r="D75" s="210"/>
      <c r="E75" s="210"/>
    </row>
    <row r="76" spans="1:8" x14ac:dyDescent="0.25">
      <c r="A76" s="73" t="s">
        <v>465</v>
      </c>
      <c r="B76" s="199">
        <v>1</v>
      </c>
      <c r="C76" s="202">
        <v>227654080</v>
      </c>
      <c r="D76" s="207">
        <v>1</v>
      </c>
      <c r="E76" s="200">
        <v>227654080</v>
      </c>
    </row>
    <row r="77" spans="1:8" x14ac:dyDescent="0.25">
      <c r="A77" s="110" t="s">
        <v>421</v>
      </c>
      <c r="B77" s="113">
        <v>1</v>
      </c>
      <c r="C77" s="203">
        <v>227654080</v>
      </c>
      <c r="D77" s="208">
        <v>1</v>
      </c>
      <c r="E77" s="112">
        <v>227654080</v>
      </c>
    </row>
    <row r="78" spans="1:8" x14ac:dyDescent="0.25">
      <c r="A78" s="73" t="s">
        <v>118</v>
      </c>
      <c r="B78" s="113">
        <v>1</v>
      </c>
      <c r="C78" s="203">
        <v>119808000</v>
      </c>
      <c r="D78" s="208">
        <v>1</v>
      </c>
      <c r="E78" s="112">
        <v>119808000</v>
      </c>
    </row>
    <row r="79" spans="1:8" x14ac:dyDescent="0.25">
      <c r="A79" s="110" t="s">
        <v>100</v>
      </c>
      <c r="B79" s="113">
        <v>1</v>
      </c>
      <c r="C79" s="203">
        <v>119808000</v>
      </c>
      <c r="D79" s="208">
        <v>1</v>
      </c>
      <c r="E79" s="112">
        <v>119808000</v>
      </c>
    </row>
    <row r="80" spans="1:8" x14ac:dyDescent="0.25">
      <c r="A80" s="73" t="s">
        <v>183</v>
      </c>
      <c r="B80" s="113">
        <v>1</v>
      </c>
      <c r="C80" s="203">
        <v>104400000</v>
      </c>
      <c r="D80" s="208">
        <v>1</v>
      </c>
      <c r="E80" s="112">
        <v>104400000</v>
      </c>
    </row>
    <row r="81" spans="1:5" x14ac:dyDescent="0.25">
      <c r="A81" s="110" t="s">
        <v>395</v>
      </c>
      <c r="B81" s="113">
        <v>1</v>
      </c>
      <c r="C81" s="203">
        <v>104400000</v>
      </c>
      <c r="D81" s="208">
        <v>1</v>
      </c>
      <c r="E81" s="112">
        <v>104400000</v>
      </c>
    </row>
    <row r="82" spans="1:5" x14ac:dyDescent="0.25">
      <c r="A82" s="73" t="s">
        <v>76</v>
      </c>
      <c r="B82" s="113">
        <v>1</v>
      </c>
      <c r="C82" s="203">
        <v>237000000</v>
      </c>
      <c r="D82" s="208">
        <v>1</v>
      </c>
      <c r="E82" s="112">
        <v>237000000</v>
      </c>
    </row>
    <row r="83" spans="1:5" x14ac:dyDescent="0.25">
      <c r="A83" s="110" t="s">
        <v>96</v>
      </c>
      <c r="B83" s="113">
        <v>1</v>
      </c>
      <c r="C83" s="203">
        <v>237000000</v>
      </c>
      <c r="D83" s="208">
        <v>1</v>
      </c>
      <c r="E83" s="112">
        <v>237000000</v>
      </c>
    </row>
    <row r="84" spans="1:5" x14ac:dyDescent="0.25">
      <c r="A84" s="73" t="s">
        <v>475</v>
      </c>
      <c r="B84" s="113">
        <v>5</v>
      </c>
      <c r="C84" s="203">
        <v>1300452408</v>
      </c>
      <c r="D84" s="208">
        <v>5</v>
      </c>
      <c r="E84" s="112">
        <v>1300452408</v>
      </c>
    </row>
    <row r="85" spans="1:5" x14ac:dyDescent="0.25">
      <c r="A85" s="110" t="s">
        <v>489</v>
      </c>
      <c r="B85" s="113">
        <v>1</v>
      </c>
      <c r="C85" s="203">
        <v>280000000</v>
      </c>
      <c r="D85" s="208">
        <v>1</v>
      </c>
      <c r="E85" s="112">
        <v>280000000</v>
      </c>
    </row>
    <row r="86" spans="1:5" x14ac:dyDescent="0.25">
      <c r="A86" s="110" t="s">
        <v>405</v>
      </c>
      <c r="B86" s="113">
        <v>1</v>
      </c>
      <c r="C86" s="203">
        <v>280000000</v>
      </c>
      <c r="D86" s="208">
        <v>1</v>
      </c>
      <c r="E86" s="112">
        <v>280000000</v>
      </c>
    </row>
    <row r="87" spans="1:5" x14ac:dyDescent="0.25">
      <c r="A87" s="110" t="s">
        <v>490</v>
      </c>
      <c r="B87" s="113">
        <v>1</v>
      </c>
      <c r="C87" s="203">
        <v>280000000</v>
      </c>
      <c r="D87" s="208">
        <v>1</v>
      </c>
      <c r="E87" s="112">
        <v>280000000</v>
      </c>
    </row>
    <row r="88" spans="1:5" x14ac:dyDescent="0.25">
      <c r="A88" s="110" t="s">
        <v>437</v>
      </c>
      <c r="B88" s="113">
        <v>1</v>
      </c>
      <c r="C88" s="203">
        <v>203909000</v>
      </c>
      <c r="D88" s="208">
        <v>1</v>
      </c>
      <c r="E88" s="112">
        <v>203909000</v>
      </c>
    </row>
    <row r="89" spans="1:5" x14ac:dyDescent="0.25">
      <c r="A89" s="110" t="s">
        <v>93</v>
      </c>
      <c r="B89" s="113">
        <v>1</v>
      </c>
      <c r="C89" s="203">
        <v>256543408</v>
      </c>
      <c r="D89" s="208">
        <v>1</v>
      </c>
      <c r="E89" s="112">
        <v>256543408</v>
      </c>
    </row>
    <row r="90" spans="1:5" ht="15.75" thickBot="1" x14ac:dyDescent="0.3">
      <c r="A90" s="73" t="s">
        <v>474</v>
      </c>
      <c r="B90" s="114">
        <v>9</v>
      </c>
      <c r="C90" s="204">
        <v>1989314488</v>
      </c>
      <c r="D90" s="209">
        <v>9</v>
      </c>
      <c r="E90" s="115">
        <v>1989314488</v>
      </c>
    </row>
    <row r="92" spans="1:5" x14ac:dyDescent="0.25">
      <c r="A92" s="110"/>
      <c r="B92" s="71"/>
    </row>
    <row r="93" spans="1:5" x14ac:dyDescent="0.25">
      <c r="A93" s="110"/>
      <c r="B93" s="71"/>
    </row>
    <row r="94" spans="1:5" x14ac:dyDescent="0.25">
      <c r="A94" s="110"/>
      <c r="B94" s="71"/>
    </row>
    <row r="95" spans="1:5" x14ac:dyDescent="0.25">
      <c r="A95" s="110"/>
      <c r="B95" s="71"/>
    </row>
    <row r="96" spans="1:5" x14ac:dyDescent="0.25">
      <c r="A96" s="73"/>
      <c r="B96" s="71"/>
    </row>
    <row r="97" spans="1:2" x14ac:dyDescent="0.25">
      <c r="A97" s="110"/>
      <c r="B97" s="71"/>
    </row>
    <row r="98" spans="1:2" x14ac:dyDescent="0.25">
      <c r="A98" s="110"/>
      <c r="B98" s="71"/>
    </row>
    <row r="99" spans="1:2" x14ac:dyDescent="0.25">
      <c r="A99" s="110"/>
      <c r="B99" s="71"/>
    </row>
    <row r="100" spans="1:2" x14ac:dyDescent="0.25">
      <c r="A100" s="110"/>
      <c r="B100" s="71"/>
    </row>
    <row r="101" spans="1:2" x14ac:dyDescent="0.25">
      <c r="A101" s="110"/>
      <c r="B101" s="71"/>
    </row>
    <row r="102" spans="1:2" x14ac:dyDescent="0.25">
      <c r="A102" s="110"/>
      <c r="B102" s="71"/>
    </row>
    <row r="103" spans="1:2" x14ac:dyDescent="0.25">
      <c r="A103" s="110"/>
      <c r="B103" s="71"/>
    </row>
    <row r="104" spans="1:2" x14ac:dyDescent="0.25">
      <c r="A104" s="110"/>
      <c r="B104" s="71"/>
    </row>
    <row r="105" spans="1:2" x14ac:dyDescent="0.25">
      <c r="A105" s="110"/>
      <c r="B105" s="71"/>
    </row>
    <row r="106" spans="1:2" x14ac:dyDescent="0.25">
      <c r="A106" s="110"/>
      <c r="B106" s="71"/>
    </row>
    <row r="107" spans="1:2" x14ac:dyDescent="0.25">
      <c r="A107" s="110"/>
      <c r="B107" s="71"/>
    </row>
    <row r="108" spans="1:2" x14ac:dyDescent="0.25">
      <c r="A108" s="110"/>
      <c r="B108" s="71"/>
    </row>
    <row r="109" spans="1:2" x14ac:dyDescent="0.25">
      <c r="A109" s="110"/>
      <c r="B109" s="71"/>
    </row>
    <row r="110" spans="1:2" x14ac:dyDescent="0.25">
      <c r="A110" s="110"/>
      <c r="B110" s="71"/>
    </row>
    <row r="111" spans="1:2" x14ac:dyDescent="0.25">
      <c r="A111" s="110"/>
      <c r="B111" s="71"/>
    </row>
    <row r="112" spans="1:2" x14ac:dyDescent="0.25">
      <c r="A112" s="110"/>
      <c r="B112" s="71"/>
    </row>
    <row r="113" spans="1:2" x14ac:dyDescent="0.25">
      <c r="A113" s="110"/>
      <c r="B113" s="71"/>
    </row>
    <row r="114" spans="1:2" x14ac:dyDescent="0.25">
      <c r="A114" s="110"/>
      <c r="B114" s="71"/>
    </row>
    <row r="115" spans="1:2" x14ac:dyDescent="0.25">
      <c r="A115" s="110"/>
      <c r="B115" s="71"/>
    </row>
    <row r="116" spans="1:2" x14ac:dyDescent="0.25">
      <c r="A116" s="110"/>
      <c r="B116" s="71"/>
    </row>
    <row r="117" spans="1:2" x14ac:dyDescent="0.25">
      <c r="A117" s="110"/>
      <c r="B117" s="71"/>
    </row>
    <row r="118" spans="1:2" x14ac:dyDescent="0.25">
      <c r="A118" s="110"/>
      <c r="B118" s="71"/>
    </row>
    <row r="119" spans="1:2" x14ac:dyDescent="0.25">
      <c r="A119" s="110"/>
      <c r="B119" s="71"/>
    </row>
    <row r="120" spans="1:2" x14ac:dyDescent="0.25">
      <c r="A120" s="73"/>
      <c r="B120" s="71"/>
    </row>
    <row r="121" spans="1:2" x14ac:dyDescent="0.25">
      <c r="A121" s="110"/>
      <c r="B121" s="71"/>
    </row>
    <row r="122" spans="1:2" x14ac:dyDescent="0.25">
      <c r="A122" s="73"/>
      <c r="B122" s="71"/>
    </row>
    <row r="123" spans="1:2" x14ac:dyDescent="0.25">
      <c r="A123" s="110"/>
      <c r="B123" s="71"/>
    </row>
    <row r="124" spans="1:2" x14ac:dyDescent="0.25">
      <c r="A124" s="110"/>
      <c r="B124" s="71"/>
    </row>
    <row r="125" spans="1:2" x14ac:dyDescent="0.25">
      <c r="A125" s="73"/>
      <c r="B125" s="71"/>
    </row>
  </sheetData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opLeftCell="A4" zoomScale="80" zoomScaleNormal="80" workbookViewId="0">
      <selection activeCell="H18" sqref="H18"/>
    </sheetView>
  </sheetViews>
  <sheetFormatPr baseColWidth="10" defaultRowHeight="15" x14ac:dyDescent="0.25"/>
  <cols>
    <col min="1" max="1" width="35.28515625" customWidth="1"/>
    <col min="2" max="2" width="23.140625" bestFit="1" customWidth="1"/>
    <col min="3" max="3" width="14" customWidth="1"/>
    <col min="4" max="4" width="12.85546875" customWidth="1"/>
    <col min="5" max="5" width="9.85546875" customWidth="1"/>
    <col min="6" max="6" width="12.85546875" customWidth="1"/>
    <col min="7" max="7" width="12.5703125" customWidth="1"/>
    <col min="8" max="8" width="20.85546875" customWidth="1"/>
    <col min="9" max="9" width="18.140625" customWidth="1"/>
    <col min="10" max="10" width="9.85546875" customWidth="1"/>
    <col min="11" max="11" width="27.7109375" bestFit="1" customWidth="1"/>
    <col min="12" max="12" width="12.5703125" customWidth="1"/>
    <col min="13" max="13" width="20.85546875" bestFit="1" customWidth="1"/>
    <col min="14" max="14" width="18.140625" bestFit="1" customWidth="1"/>
    <col min="15" max="15" width="23.5703125" bestFit="1" customWidth="1"/>
    <col min="16" max="16" width="9.85546875" customWidth="1"/>
    <col min="17" max="17" width="10.42578125" customWidth="1"/>
    <col min="18" max="18" width="27.7109375" bestFit="1" customWidth="1"/>
    <col min="19" max="19" width="12.5703125" bestFit="1" customWidth="1"/>
  </cols>
  <sheetData>
    <row r="2" spans="1:6" x14ac:dyDescent="0.25">
      <c r="A2" s="72" t="s">
        <v>5</v>
      </c>
      <c r="B2" t="s">
        <v>476</v>
      </c>
    </row>
    <row r="3" spans="1:6" x14ac:dyDescent="0.25">
      <c r="A3" s="72" t="s">
        <v>464</v>
      </c>
      <c r="B3" t="s">
        <v>496</v>
      </c>
    </row>
    <row r="5" spans="1:6" x14ac:dyDescent="0.25">
      <c r="A5" s="72" t="s">
        <v>497</v>
      </c>
      <c r="B5" s="72" t="s">
        <v>477</v>
      </c>
    </row>
    <row r="6" spans="1:6" x14ac:dyDescent="0.25">
      <c r="A6" s="72" t="s">
        <v>473</v>
      </c>
      <c r="B6" s="75" t="s">
        <v>8</v>
      </c>
      <c r="C6" s="75" t="s">
        <v>392</v>
      </c>
      <c r="D6" t="s">
        <v>393</v>
      </c>
      <c r="E6" t="s">
        <v>426</v>
      </c>
      <c r="F6" s="75" t="s">
        <v>474</v>
      </c>
    </row>
    <row r="7" spans="1:6" x14ac:dyDescent="0.25">
      <c r="A7" s="73" t="s">
        <v>212</v>
      </c>
      <c r="B7" s="76"/>
      <c r="C7" s="76"/>
      <c r="D7" s="71">
        <v>1</v>
      </c>
      <c r="E7" s="71">
        <v>1</v>
      </c>
      <c r="F7" s="76">
        <v>2</v>
      </c>
    </row>
    <row r="8" spans="1:6" x14ac:dyDescent="0.25">
      <c r="A8" s="73" t="s">
        <v>484</v>
      </c>
      <c r="B8" s="76">
        <v>1</v>
      </c>
      <c r="C8" s="76"/>
      <c r="D8" s="71"/>
      <c r="E8" s="71"/>
      <c r="F8" s="76">
        <v>1</v>
      </c>
    </row>
    <row r="9" spans="1:6" x14ac:dyDescent="0.25">
      <c r="A9" s="73" t="s">
        <v>441</v>
      </c>
      <c r="B9" s="76"/>
      <c r="C9" s="76">
        <v>1</v>
      </c>
      <c r="D9" s="71"/>
      <c r="E9" s="71"/>
      <c r="F9" s="76">
        <v>1</v>
      </c>
    </row>
    <row r="10" spans="1:6" x14ac:dyDescent="0.25">
      <c r="A10" s="73" t="s">
        <v>413</v>
      </c>
      <c r="B10" s="76"/>
      <c r="C10" s="76">
        <v>2</v>
      </c>
      <c r="D10" s="71"/>
      <c r="E10" s="71">
        <v>2</v>
      </c>
      <c r="F10" s="76">
        <v>4</v>
      </c>
    </row>
    <row r="11" spans="1:6" x14ac:dyDescent="0.25">
      <c r="A11" s="73" t="s">
        <v>395</v>
      </c>
      <c r="B11" s="76"/>
      <c r="C11" s="76">
        <v>1</v>
      </c>
      <c r="D11" s="71"/>
      <c r="E11" s="71">
        <v>1</v>
      </c>
      <c r="F11" s="76">
        <v>2</v>
      </c>
    </row>
    <row r="12" spans="1:6" x14ac:dyDescent="0.25">
      <c r="A12" s="73" t="s">
        <v>421</v>
      </c>
      <c r="B12" s="76"/>
      <c r="C12" s="76">
        <v>1</v>
      </c>
      <c r="D12" s="71">
        <v>1</v>
      </c>
      <c r="E12" s="71">
        <v>3</v>
      </c>
      <c r="F12" s="76">
        <v>5</v>
      </c>
    </row>
    <row r="13" spans="1:6" x14ac:dyDescent="0.25">
      <c r="A13" s="73" t="s">
        <v>100</v>
      </c>
      <c r="B13" s="76">
        <v>1</v>
      </c>
      <c r="C13" s="76">
        <v>1</v>
      </c>
      <c r="D13" s="71"/>
      <c r="E13" s="71">
        <v>1</v>
      </c>
      <c r="F13" s="76">
        <v>3</v>
      </c>
    </row>
    <row r="14" spans="1:6" x14ac:dyDescent="0.25">
      <c r="A14" s="73" t="s">
        <v>405</v>
      </c>
      <c r="B14" s="76">
        <v>1</v>
      </c>
      <c r="C14" s="76">
        <v>1</v>
      </c>
      <c r="D14" s="71"/>
      <c r="E14" s="71"/>
      <c r="F14" s="76">
        <v>2</v>
      </c>
    </row>
    <row r="15" spans="1:6" x14ac:dyDescent="0.25">
      <c r="A15" s="73" t="s">
        <v>487</v>
      </c>
      <c r="B15" s="76">
        <v>1</v>
      </c>
      <c r="C15" s="76"/>
      <c r="D15" s="71"/>
      <c r="E15" s="71"/>
      <c r="F15" s="76">
        <v>1</v>
      </c>
    </row>
    <row r="16" spans="1:6" x14ac:dyDescent="0.25">
      <c r="A16" s="73" t="s">
        <v>437</v>
      </c>
      <c r="B16" s="76">
        <v>1</v>
      </c>
      <c r="C16" s="76"/>
      <c r="D16" s="71"/>
      <c r="E16" s="71">
        <v>1</v>
      </c>
      <c r="F16" s="76">
        <v>2</v>
      </c>
    </row>
    <row r="17" spans="1:6" x14ac:dyDescent="0.25">
      <c r="A17" s="73" t="s">
        <v>96</v>
      </c>
      <c r="B17" s="76"/>
      <c r="C17" s="76">
        <v>1</v>
      </c>
      <c r="D17" s="71"/>
      <c r="E17" s="71"/>
      <c r="F17" s="76">
        <v>1</v>
      </c>
    </row>
    <row r="18" spans="1:6" x14ac:dyDescent="0.25">
      <c r="A18" s="73" t="s">
        <v>93</v>
      </c>
      <c r="B18" s="76"/>
      <c r="C18" s="76">
        <v>1</v>
      </c>
      <c r="D18" s="71"/>
      <c r="E18" s="71"/>
      <c r="F18" s="76">
        <v>1</v>
      </c>
    </row>
    <row r="19" spans="1:6" x14ac:dyDescent="0.25">
      <c r="A19" s="73" t="s">
        <v>474</v>
      </c>
      <c r="B19" s="76">
        <v>5</v>
      </c>
      <c r="C19" s="76">
        <v>9</v>
      </c>
      <c r="D19" s="71">
        <v>2</v>
      </c>
      <c r="E19" s="71">
        <v>9</v>
      </c>
      <c r="F19" s="76">
        <v>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1"/>
  <sheetViews>
    <sheetView showGridLines="0" workbookViewId="0">
      <selection activeCell="C39" sqref="C39"/>
    </sheetView>
  </sheetViews>
  <sheetFormatPr baseColWidth="10" defaultRowHeight="15" x14ac:dyDescent="0.25"/>
  <cols>
    <col min="2" max="2" width="24.5703125" customWidth="1"/>
    <col min="3" max="3" width="41.140625" customWidth="1"/>
    <col min="4" max="4" width="17.42578125" bestFit="1" customWidth="1"/>
    <col min="5" max="5" width="13.140625" customWidth="1"/>
    <col min="6" max="6" width="11.7109375" customWidth="1"/>
    <col min="7" max="7" width="20.28515625" customWidth="1"/>
    <col min="8" max="8" width="17" bestFit="1" customWidth="1"/>
    <col min="9" max="9" width="14.5703125" bestFit="1" customWidth="1"/>
  </cols>
  <sheetData>
    <row r="2" spans="3:7" x14ac:dyDescent="0.25">
      <c r="C2" s="195" t="s">
        <v>505</v>
      </c>
      <c r="D2" s="195" t="s">
        <v>8</v>
      </c>
      <c r="E2" s="195" t="s">
        <v>392</v>
      </c>
      <c r="F2" s="195" t="s">
        <v>478</v>
      </c>
      <c r="G2" s="195" t="s">
        <v>474</v>
      </c>
    </row>
    <row r="3" spans="3:7" x14ac:dyDescent="0.25">
      <c r="C3" s="235" t="s">
        <v>212</v>
      </c>
      <c r="D3" s="196">
        <v>2</v>
      </c>
      <c r="E3" s="196"/>
      <c r="F3" s="196"/>
      <c r="G3" s="196">
        <f>+D3+E3+F3</f>
        <v>2</v>
      </c>
    </row>
    <row r="4" spans="3:7" x14ac:dyDescent="0.25">
      <c r="C4" s="235" t="s">
        <v>484</v>
      </c>
      <c r="D4" s="196"/>
      <c r="E4" s="196"/>
      <c r="F4" s="196">
        <v>1</v>
      </c>
      <c r="G4" s="196">
        <f t="shared" ref="G4:G15" si="0">+D4+E4+F4</f>
        <v>1</v>
      </c>
    </row>
    <row r="5" spans="3:7" x14ac:dyDescent="0.25">
      <c r="C5" s="235" t="s">
        <v>441</v>
      </c>
      <c r="D5" s="196"/>
      <c r="E5" s="196">
        <v>3</v>
      </c>
      <c r="F5" s="196"/>
      <c r="G5" s="196">
        <f t="shared" si="0"/>
        <v>3</v>
      </c>
    </row>
    <row r="6" spans="3:7" x14ac:dyDescent="0.25">
      <c r="C6" s="235" t="s">
        <v>139</v>
      </c>
      <c r="D6" s="196"/>
      <c r="E6" s="196">
        <v>1</v>
      </c>
      <c r="F6" s="196"/>
      <c r="G6" s="196">
        <f t="shared" si="0"/>
        <v>1</v>
      </c>
    </row>
    <row r="7" spans="3:7" x14ac:dyDescent="0.25">
      <c r="C7" s="235" t="s">
        <v>413</v>
      </c>
      <c r="D7" s="196"/>
      <c r="E7" s="196">
        <v>3</v>
      </c>
      <c r="F7" s="196"/>
      <c r="G7" s="196">
        <f t="shared" si="0"/>
        <v>3</v>
      </c>
    </row>
    <row r="8" spans="3:7" x14ac:dyDescent="0.25">
      <c r="C8" s="235" t="s">
        <v>395</v>
      </c>
      <c r="D8" s="196"/>
      <c r="E8" s="196">
        <v>5</v>
      </c>
      <c r="F8" s="196">
        <v>1</v>
      </c>
      <c r="G8" s="196">
        <f t="shared" si="0"/>
        <v>6</v>
      </c>
    </row>
    <row r="9" spans="3:7" x14ac:dyDescent="0.25">
      <c r="C9" s="235" t="s">
        <v>421</v>
      </c>
      <c r="D9" s="196">
        <v>1</v>
      </c>
      <c r="E9" s="196">
        <v>2</v>
      </c>
      <c r="F9" s="196">
        <v>1</v>
      </c>
      <c r="G9" s="196">
        <f t="shared" si="0"/>
        <v>4</v>
      </c>
    </row>
    <row r="10" spans="3:7" x14ac:dyDescent="0.25">
      <c r="C10" s="235" t="s">
        <v>100</v>
      </c>
      <c r="D10" s="196">
        <v>1</v>
      </c>
      <c r="E10" s="196">
        <v>1</v>
      </c>
      <c r="F10" s="196">
        <v>1</v>
      </c>
      <c r="G10" s="196">
        <f t="shared" si="0"/>
        <v>3</v>
      </c>
    </row>
    <row r="11" spans="3:7" x14ac:dyDescent="0.25">
      <c r="C11" s="235" t="s">
        <v>405</v>
      </c>
      <c r="D11" s="196"/>
      <c r="E11" s="196">
        <v>1</v>
      </c>
      <c r="F11" s="196">
        <v>1</v>
      </c>
      <c r="G11" s="196">
        <f t="shared" si="0"/>
        <v>2</v>
      </c>
    </row>
    <row r="12" spans="3:7" x14ac:dyDescent="0.25">
      <c r="C12" s="235" t="s">
        <v>487</v>
      </c>
      <c r="D12" s="196"/>
      <c r="E12" s="196"/>
      <c r="F12" s="196">
        <v>1</v>
      </c>
      <c r="G12" s="196">
        <f t="shared" si="0"/>
        <v>1</v>
      </c>
    </row>
    <row r="13" spans="3:7" x14ac:dyDescent="0.25">
      <c r="C13" s="235" t="s">
        <v>437</v>
      </c>
      <c r="D13" s="196"/>
      <c r="E13" s="196"/>
      <c r="F13" s="196">
        <v>1</v>
      </c>
      <c r="G13" s="196">
        <f t="shared" si="0"/>
        <v>1</v>
      </c>
    </row>
    <row r="14" spans="3:7" x14ac:dyDescent="0.25">
      <c r="C14" s="235" t="s">
        <v>96</v>
      </c>
      <c r="D14" s="196">
        <v>3</v>
      </c>
      <c r="E14" s="196"/>
      <c r="F14" s="196">
        <v>1</v>
      </c>
      <c r="G14" s="196">
        <f t="shared" si="0"/>
        <v>4</v>
      </c>
    </row>
    <row r="15" spans="3:7" x14ac:dyDescent="0.25">
      <c r="C15" s="235" t="s">
        <v>93</v>
      </c>
      <c r="D15" s="196">
        <v>1</v>
      </c>
      <c r="E15" s="196">
        <v>1</v>
      </c>
      <c r="F15" s="196">
        <v>1</v>
      </c>
      <c r="G15" s="196">
        <f t="shared" si="0"/>
        <v>3</v>
      </c>
    </row>
    <row r="16" spans="3:7" x14ac:dyDescent="0.25">
      <c r="C16" s="195" t="s">
        <v>474</v>
      </c>
      <c r="D16" s="197">
        <v>8</v>
      </c>
      <c r="E16" s="197">
        <v>17</v>
      </c>
      <c r="F16" s="197">
        <v>9</v>
      </c>
      <c r="G16" s="197">
        <f>SUM(G3:G15)</f>
        <v>34</v>
      </c>
    </row>
    <row r="34" spans="2:8" ht="15.75" thickBot="1" x14ac:dyDescent="0.3"/>
    <row r="35" spans="2:8" ht="15.75" thickBot="1" x14ac:dyDescent="0.3">
      <c r="B35" s="220"/>
      <c r="C35" s="281" t="s">
        <v>8</v>
      </c>
      <c r="D35" s="282"/>
      <c r="E35" s="281" t="s">
        <v>478</v>
      </c>
      <c r="F35" s="282"/>
      <c r="G35" s="281" t="s">
        <v>389</v>
      </c>
      <c r="H35" s="282"/>
    </row>
    <row r="36" spans="2:8" ht="15.75" thickBot="1" x14ac:dyDescent="0.3">
      <c r="B36" s="221" t="s">
        <v>509</v>
      </c>
      <c r="C36" s="212" t="s">
        <v>506</v>
      </c>
      <c r="D36" s="213" t="s">
        <v>507</v>
      </c>
      <c r="E36" s="212" t="s">
        <v>506</v>
      </c>
      <c r="F36" s="213" t="s">
        <v>20</v>
      </c>
      <c r="G36" s="212" t="s">
        <v>506</v>
      </c>
      <c r="H36" s="214" t="s">
        <v>20</v>
      </c>
    </row>
    <row r="37" spans="2:8" x14ac:dyDescent="0.25">
      <c r="B37" s="222" t="s">
        <v>202</v>
      </c>
      <c r="C37" s="217">
        <v>3</v>
      </c>
      <c r="D37" s="202">
        <v>523997942</v>
      </c>
      <c r="E37" s="217">
        <v>1</v>
      </c>
      <c r="F37" s="202">
        <v>227654080</v>
      </c>
      <c r="G37" s="217">
        <v>1</v>
      </c>
      <c r="H37" s="200">
        <v>86140000</v>
      </c>
    </row>
    <row r="38" spans="2:8" x14ac:dyDescent="0.25">
      <c r="B38" s="222" t="s">
        <v>508</v>
      </c>
      <c r="C38" s="218"/>
      <c r="D38" s="203"/>
      <c r="E38" s="218"/>
      <c r="F38" s="203"/>
      <c r="G38" s="218">
        <v>1</v>
      </c>
      <c r="H38" s="112">
        <v>15347285</v>
      </c>
    </row>
    <row r="39" spans="2:8" x14ac:dyDescent="0.25">
      <c r="B39" s="222" t="s">
        <v>466</v>
      </c>
      <c r="C39" s="218"/>
      <c r="D39" s="203"/>
      <c r="E39" s="218"/>
      <c r="F39" s="203"/>
      <c r="G39" s="218">
        <v>1</v>
      </c>
      <c r="H39" s="112">
        <v>103327093</v>
      </c>
    </row>
    <row r="40" spans="2:8" x14ac:dyDescent="0.25">
      <c r="B40" s="222" t="s">
        <v>118</v>
      </c>
      <c r="C40" s="218">
        <v>2</v>
      </c>
      <c r="D40" s="203">
        <v>232646890</v>
      </c>
      <c r="E40" s="218">
        <v>1</v>
      </c>
      <c r="F40" s="203">
        <v>119808000</v>
      </c>
      <c r="G40" s="218">
        <v>4</v>
      </c>
      <c r="H40" s="112">
        <v>329942915</v>
      </c>
    </row>
    <row r="41" spans="2:8" x14ac:dyDescent="0.25">
      <c r="B41" s="222" t="s">
        <v>298</v>
      </c>
      <c r="C41" s="218">
        <v>3</v>
      </c>
      <c r="D41" s="203">
        <v>498848365</v>
      </c>
      <c r="E41" s="218"/>
      <c r="F41" s="203"/>
      <c r="G41" s="218">
        <v>3</v>
      </c>
      <c r="H41" s="112">
        <v>520900000</v>
      </c>
    </row>
    <row r="42" spans="2:8" x14ac:dyDescent="0.25">
      <c r="B42" s="222" t="s">
        <v>183</v>
      </c>
      <c r="C42" s="218"/>
      <c r="D42" s="203"/>
      <c r="E42" s="218">
        <v>1</v>
      </c>
      <c r="F42" s="203">
        <v>104400000</v>
      </c>
      <c r="G42" s="218">
        <v>6</v>
      </c>
      <c r="H42" s="112">
        <v>644664533</v>
      </c>
    </row>
    <row r="43" spans="2:8" x14ac:dyDescent="0.25">
      <c r="B43" s="222" t="s">
        <v>76</v>
      </c>
      <c r="C43" s="218"/>
      <c r="D43" s="203"/>
      <c r="E43" s="218">
        <v>1</v>
      </c>
      <c r="F43" s="203">
        <v>237000000</v>
      </c>
      <c r="G43" s="218"/>
      <c r="H43" s="112"/>
    </row>
    <row r="44" spans="2:8" x14ac:dyDescent="0.25">
      <c r="B44" s="222" t="s">
        <v>279</v>
      </c>
      <c r="C44" s="218"/>
      <c r="D44" s="203"/>
      <c r="E44" s="218"/>
      <c r="F44" s="203"/>
      <c r="G44" s="218">
        <v>1</v>
      </c>
      <c r="H44" s="112">
        <v>15347285</v>
      </c>
    </row>
    <row r="45" spans="2:8" x14ac:dyDescent="0.25">
      <c r="B45" s="222" t="s">
        <v>475</v>
      </c>
      <c r="C45" s="218"/>
      <c r="D45" s="203"/>
      <c r="E45" s="218">
        <v>5</v>
      </c>
      <c r="F45" s="203">
        <v>1300452408</v>
      </c>
      <c r="G45" s="218"/>
      <c r="H45" s="112"/>
    </row>
    <row r="46" spans="2:8" ht="15.75" thickBot="1" x14ac:dyDescent="0.3">
      <c r="B46" s="223" t="s">
        <v>474</v>
      </c>
      <c r="C46" s="219">
        <v>8</v>
      </c>
      <c r="D46" s="215">
        <v>1255493197</v>
      </c>
      <c r="E46" s="219">
        <v>9</v>
      </c>
      <c r="F46" s="215">
        <v>1989314488</v>
      </c>
      <c r="G46" s="219">
        <v>17</v>
      </c>
      <c r="H46" s="216">
        <v>1715669111</v>
      </c>
    </row>
    <row r="55" spans="3:9" ht="15.75" thickBot="1" x14ac:dyDescent="0.3">
      <c r="C55" s="192" t="s">
        <v>473</v>
      </c>
      <c r="D55" s="192" t="s">
        <v>426</v>
      </c>
      <c r="E55" s="192" t="s">
        <v>474</v>
      </c>
    </row>
    <row r="56" spans="3:9" ht="15.75" thickBot="1" x14ac:dyDescent="0.3">
      <c r="C56" s="198" t="s">
        <v>444</v>
      </c>
      <c r="D56" s="211">
        <v>1</v>
      </c>
      <c r="E56" s="211">
        <v>1</v>
      </c>
      <c r="G56" s="226" t="s">
        <v>510</v>
      </c>
      <c r="H56" s="226" t="s">
        <v>511</v>
      </c>
      <c r="I56" s="224" t="s">
        <v>512</v>
      </c>
    </row>
    <row r="57" spans="3:9" x14ac:dyDescent="0.25">
      <c r="C57" s="110" t="s">
        <v>96</v>
      </c>
      <c r="D57" s="71">
        <v>1</v>
      </c>
      <c r="E57" s="71">
        <v>1</v>
      </c>
      <c r="G57" s="227" t="s">
        <v>202</v>
      </c>
      <c r="H57" s="231">
        <v>1</v>
      </c>
      <c r="I57" s="200">
        <v>227654080</v>
      </c>
    </row>
    <row r="58" spans="3:9" ht="15.75" thickBot="1" x14ac:dyDescent="0.3">
      <c r="C58" s="198" t="s">
        <v>439</v>
      </c>
      <c r="D58" s="211">
        <v>1</v>
      </c>
      <c r="E58" s="211">
        <v>1</v>
      </c>
      <c r="G58" s="228" t="s">
        <v>421</v>
      </c>
      <c r="H58" s="232">
        <v>1</v>
      </c>
      <c r="I58" s="115">
        <v>227654080</v>
      </c>
    </row>
    <row r="59" spans="3:9" x14ac:dyDescent="0.25">
      <c r="C59" s="110" t="s">
        <v>100</v>
      </c>
      <c r="D59" s="71">
        <v>1</v>
      </c>
      <c r="E59" s="71">
        <v>1</v>
      </c>
      <c r="G59" s="227" t="s">
        <v>118</v>
      </c>
      <c r="H59" s="231">
        <v>1</v>
      </c>
      <c r="I59" s="200">
        <v>119808000</v>
      </c>
    </row>
    <row r="60" spans="3:9" ht="15.75" thickBot="1" x14ac:dyDescent="0.3">
      <c r="C60" s="198" t="s">
        <v>468</v>
      </c>
      <c r="D60" s="211">
        <v>1</v>
      </c>
      <c r="E60" s="211">
        <v>1</v>
      </c>
      <c r="G60" s="228" t="s">
        <v>100</v>
      </c>
      <c r="H60" s="232">
        <v>1</v>
      </c>
      <c r="I60" s="115">
        <v>119808000</v>
      </c>
    </row>
    <row r="61" spans="3:9" x14ac:dyDescent="0.25">
      <c r="C61" s="110" t="s">
        <v>395</v>
      </c>
      <c r="D61" s="71">
        <v>1</v>
      </c>
      <c r="E61" s="71">
        <v>1</v>
      </c>
      <c r="G61" s="227" t="s">
        <v>183</v>
      </c>
      <c r="H61" s="231">
        <v>1</v>
      </c>
      <c r="I61" s="200">
        <v>104400000</v>
      </c>
    </row>
    <row r="62" spans="3:9" ht="15.75" thickBot="1" x14ac:dyDescent="0.3">
      <c r="C62" s="198" t="s">
        <v>432</v>
      </c>
      <c r="D62" s="211">
        <v>5</v>
      </c>
      <c r="E62" s="211">
        <v>5</v>
      </c>
      <c r="G62" s="228" t="s">
        <v>395</v>
      </c>
      <c r="H62" s="232">
        <v>1</v>
      </c>
      <c r="I62" s="115">
        <v>104400000</v>
      </c>
    </row>
    <row r="63" spans="3:9" x14ac:dyDescent="0.25">
      <c r="C63" s="110" t="s">
        <v>484</v>
      </c>
      <c r="D63" s="71">
        <v>1</v>
      </c>
      <c r="E63" s="71">
        <v>1</v>
      </c>
      <c r="G63" s="227" t="s">
        <v>76</v>
      </c>
      <c r="H63" s="231">
        <v>1</v>
      </c>
      <c r="I63" s="200">
        <v>237000000</v>
      </c>
    </row>
    <row r="64" spans="3:9" ht="15.75" thickBot="1" x14ac:dyDescent="0.3">
      <c r="C64" s="110" t="s">
        <v>405</v>
      </c>
      <c r="D64" s="71">
        <v>1</v>
      </c>
      <c r="E64" s="71">
        <v>1</v>
      </c>
      <c r="G64" s="228" t="s">
        <v>96</v>
      </c>
      <c r="H64" s="232">
        <v>1</v>
      </c>
      <c r="I64" s="115">
        <v>237000000</v>
      </c>
    </row>
    <row r="65" spans="3:9" x14ac:dyDescent="0.25">
      <c r="C65" s="110" t="s">
        <v>487</v>
      </c>
      <c r="D65" s="71">
        <v>1</v>
      </c>
      <c r="E65" s="71">
        <v>1</v>
      </c>
      <c r="G65" s="227" t="s">
        <v>475</v>
      </c>
      <c r="H65" s="231">
        <v>5</v>
      </c>
      <c r="I65" s="200">
        <v>1300452408</v>
      </c>
    </row>
    <row r="66" spans="3:9" x14ac:dyDescent="0.25">
      <c r="C66" s="110" t="s">
        <v>437</v>
      </c>
      <c r="D66" s="71">
        <v>1</v>
      </c>
      <c r="E66" s="71">
        <v>1</v>
      </c>
      <c r="G66" s="229" t="s">
        <v>489</v>
      </c>
      <c r="H66" s="233">
        <v>1</v>
      </c>
      <c r="I66" s="112">
        <v>280000000</v>
      </c>
    </row>
    <row r="67" spans="3:9" x14ac:dyDescent="0.25">
      <c r="C67" s="110" t="s">
        <v>93</v>
      </c>
      <c r="D67" s="71">
        <v>1</v>
      </c>
      <c r="E67" s="71">
        <v>1</v>
      </c>
      <c r="G67" s="229" t="s">
        <v>405</v>
      </c>
      <c r="H67" s="233">
        <v>1</v>
      </c>
      <c r="I67" s="112">
        <v>280000000</v>
      </c>
    </row>
    <row r="68" spans="3:9" x14ac:dyDescent="0.25">
      <c r="C68" s="198" t="s">
        <v>424</v>
      </c>
      <c r="D68" s="211">
        <v>1</v>
      </c>
      <c r="E68" s="211">
        <v>1</v>
      </c>
      <c r="G68" s="229" t="s">
        <v>490</v>
      </c>
      <c r="H68" s="233">
        <v>1</v>
      </c>
      <c r="I68" s="112">
        <v>280000000</v>
      </c>
    </row>
    <row r="69" spans="3:9" x14ac:dyDescent="0.25">
      <c r="C69" s="110" t="s">
        <v>421</v>
      </c>
      <c r="D69" s="71">
        <v>1</v>
      </c>
      <c r="E69" s="71">
        <v>1</v>
      </c>
      <c r="G69" s="229" t="s">
        <v>437</v>
      </c>
      <c r="H69" s="233">
        <v>1</v>
      </c>
      <c r="I69" s="112">
        <v>203909000</v>
      </c>
    </row>
    <row r="70" spans="3:9" ht="15.75" thickBot="1" x14ac:dyDescent="0.3">
      <c r="C70" s="193" t="s">
        <v>474</v>
      </c>
      <c r="D70" s="194">
        <v>9</v>
      </c>
      <c r="E70" s="194">
        <v>9</v>
      </c>
      <c r="G70" s="228" t="s">
        <v>93</v>
      </c>
      <c r="H70" s="232">
        <v>1</v>
      </c>
      <c r="I70" s="115">
        <v>256543408</v>
      </c>
    </row>
    <row r="71" spans="3:9" ht="15.75" thickBot="1" x14ac:dyDescent="0.3">
      <c r="G71" s="230" t="s">
        <v>474</v>
      </c>
      <c r="H71" s="234">
        <v>9</v>
      </c>
      <c r="I71" s="225">
        <v>1989314488</v>
      </c>
    </row>
  </sheetData>
  <mergeCells count="3">
    <mergeCell ref="E35:F35"/>
    <mergeCell ref="G35:H35"/>
    <mergeCell ref="C35:D3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workbookViewId="0">
      <selection activeCell="A6" sqref="A6"/>
    </sheetView>
  </sheetViews>
  <sheetFormatPr baseColWidth="10" defaultRowHeight="15" x14ac:dyDescent="0.25"/>
  <sheetData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36</v>
      </c>
    </row>
    <row r="5" spans="1:1" x14ac:dyDescent="0.25">
      <c r="A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0"/>
  <sheetViews>
    <sheetView zoomScale="7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x14ac:dyDescent="0.25"/>
  <cols>
    <col min="1" max="1" width="6.140625" style="1" customWidth="1"/>
    <col min="2" max="2" width="15.28515625" style="25" bestFit="1" customWidth="1"/>
    <col min="3" max="3" width="30.42578125" style="25" customWidth="1"/>
    <col min="4" max="4" width="14" style="25" customWidth="1"/>
    <col min="5" max="5" width="51.140625" style="25" customWidth="1"/>
    <col min="6" max="6" width="23.85546875" style="46" customWidth="1"/>
    <col min="7" max="7" width="34.7109375" style="24" customWidth="1"/>
    <col min="8" max="8" width="26.7109375" style="25" customWidth="1"/>
    <col min="9" max="9" width="17.7109375" style="25" customWidth="1"/>
    <col min="10" max="10" width="15.5703125" style="25" customWidth="1"/>
    <col min="11" max="11" width="16.28515625" style="25" customWidth="1"/>
    <col min="12" max="12" width="29" style="25" customWidth="1"/>
    <col min="13" max="16384" width="11.42578125" style="1"/>
  </cols>
  <sheetData>
    <row r="1" spans="2:12" ht="15.75" thickBot="1" x14ac:dyDescent="0.3">
      <c r="C1" s="26" t="s">
        <v>29</v>
      </c>
      <c r="D1" s="27">
        <v>45199</v>
      </c>
    </row>
    <row r="2" spans="2:12" x14ac:dyDescent="0.25">
      <c r="C2" s="28" t="s">
        <v>30</v>
      </c>
      <c r="D2" s="283" t="e">
        <f>'Pys Post.'!F10:G10</f>
        <v>#VALUE!</v>
      </c>
      <c r="E2" s="284"/>
    </row>
    <row r="3" spans="2:12" x14ac:dyDescent="0.25">
      <c r="B3" s="56" t="s">
        <v>5</v>
      </c>
      <c r="C3" s="57" t="s">
        <v>11</v>
      </c>
      <c r="D3" s="58" t="s">
        <v>0</v>
      </c>
      <c r="E3" s="59" t="s">
        <v>1</v>
      </c>
      <c r="F3" s="60" t="s">
        <v>2</v>
      </c>
      <c r="G3" s="61" t="s">
        <v>3</v>
      </c>
      <c r="H3" s="62" t="s">
        <v>4</v>
      </c>
      <c r="I3" s="62" t="s">
        <v>6</v>
      </c>
      <c r="J3" s="62" t="s">
        <v>7</v>
      </c>
      <c r="K3" s="62" t="s">
        <v>8</v>
      </c>
      <c r="L3" s="63" t="s">
        <v>9</v>
      </c>
    </row>
    <row r="4" spans="2:12" ht="75" hidden="1" x14ac:dyDescent="0.25">
      <c r="B4" s="54" t="s">
        <v>443</v>
      </c>
      <c r="C4" s="53" t="s">
        <v>444</v>
      </c>
      <c r="D4" s="49" t="s">
        <v>126</v>
      </c>
      <c r="E4" s="53" t="s">
        <v>445</v>
      </c>
      <c r="F4" s="50" t="s">
        <v>155</v>
      </c>
      <c r="G4" s="49" t="s">
        <v>96</v>
      </c>
      <c r="H4" s="53" t="s">
        <v>10</v>
      </c>
      <c r="I4" s="41" t="s">
        <v>426</v>
      </c>
      <c r="J4" s="53"/>
      <c r="K4" s="53"/>
      <c r="L4" s="55"/>
    </row>
    <row r="5" spans="2:12" ht="45" x14ac:dyDescent="0.25">
      <c r="B5" s="54">
        <v>45606</v>
      </c>
      <c r="C5" s="53" t="s">
        <v>439</v>
      </c>
      <c r="D5" s="49" t="s">
        <v>126</v>
      </c>
      <c r="E5" s="53" t="s">
        <v>442</v>
      </c>
      <c r="F5" s="50" t="s">
        <v>434</v>
      </c>
      <c r="G5" s="49" t="s">
        <v>441</v>
      </c>
      <c r="H5" s="53" t="s">
        <v>10</v>
      </c>
      <c r="I5" s="41" t="s">
        <v>392</v>
      </c>
      <c r="J5" s="53"/>
      <c r="K5" s="53"/>
      <c r="L5" s="55"/>
    </row>
    <row r="6" spans="2:12" ht="45" hidden="1" x14ac:dyDescent="0.25">
      <c r="B6" s="54">
        <v>45606</v>
      </c>
      <c r="C6" s="53" t="s">
        <v>439</v>
      </c>
      <c r="D6" s="49" t="s">
        <v>126</v>
      </c>
      <c r="E6" s="53" t="s">
        <v>440</v>
      </c>
      <c r="F6" s="50" t="s">
        <v>155</v>
      </c>
      <c r="G6" s="49" t="s">
        <v>100</v>
      </c>
      <c r="H6" s="53" t="s">
        <v>10</v>
      </c>
      <c r="I6" s="41" t="s">
        <v>426</v>
      </c>
      <c r="J6" s="53"/>
      <c r="K6" s="53"/>
      <c r="L6" s="55"/>
    </row>
    <row r="7" spans="2:12" ht="60" hidden="1" x14ac:dyDescent="0.25">
      <c r="B7" s="54">
        <v>45581</v>
      </c>
      <c r="C7" s="53" t="s">
        <v>432</v>
      </c>
      <c r="D7" s="49" t="s">
        <v>126</v>
      </c>
      <c r="E7" s="53" t="s">
        <v>438</v>
      </c>
      <c r="F7" s="50" t="s">
        <v>434</v>
      </c>
      <c r="G7" s="49" t="s">
        <v>437</v>
      </c>
      <c r="H7" s="53" t="s">
        <v>10</v>
      </c>
      <c r="I7" s="41" t="s">
        <v>426</v>
      </c>
      <c r="J7" s="53"/>
      <c r="K7" s="53"/>
      <c r="L7" s="55"/>
    </row>
    <row r="8" spans="2:12" ht="60" hidden="1" x14ac:dyDescent="0.25">
      <c r="B8" s="54">
        <v>45581</v>
      </c>
      <c r="C8" s="53" t="s">
        <v>432</v>
      </c>
      <c r="D8" s="49" t="s">
        <v>126</v>
      </c>
      <c r="E8" s="53" t="s">
        <v>436</v>
      </c>
      <c r="F8" s="50" t="s">
        <v>434</v>
      </c>
      <c r="G8" s="49" t="s">
        <v>212</v>
      </c>
      <c r="H8" s="53" t="s">
        <v>10</v>
      </c>
      <c r="I8" s="41" t="s">
        <v>393</v>
      </c>
      <c r="J8" s="53"/>
      <c r="K8" s="53"/>
      <c r="L8" s="55"/>
    </row>
    <row r="9" spans="2:12" ht="60" hidden="1" x14ac:dyDescent="0.25">
      <c r="B9" s="54">
        <v>45581</v>
      </c>
      <c r="C9" s="53" t="s">
        <v>432</v>
      </c>
      <c r="D9" s="49" t="s">
        <v>126</v>
      </c>
      <c r="E9" s="53" t="s">
        <v>435</v>
      </c>
      <c r="F9" s="50" t="s">
        <v>407</v>
      </c>
      <c r="G9" s="49" t="s">
        <v>405</v>
      </c>
      <c r="H9" s="53" t="s">
        <v>10</v>
      </c>
      <c r="I9" s="41" t="s">
        <v>426</v>
      </c>
      <c r="J9" s="53"/>
      <c r="K9" s="53"/>
      <c r="L9" s="55"/>
    </row>
    <row r="10" spans="2:12" ht="60" hidden="1" x14ac:dyDescent="0.25">
      <c r="B10" s="54">
        <v>45576</v>
      </c>
      <c r="C10" s="53" t="s">
        <v>432</v>
      </c>
      <c r="D10" s="49" t="s">
        <v>126</v>
      </c>
      <c r="E10" s="53" t="s">
        <v>433</v>
      </c>
      <c r="F10" s="50" t="s">
        <v>434</v>
      </c>
      <c r="G10" s="49" t="s">
        <v>93</v>
      </c>
      <c r="H10" s="53" t="s">
        <v>10</v>
      </c>
      <c r="I10" s="41" t="s">
        <v>426</v>
      </c>
      <c r="J10" s="53"/>
      <c r="K10" s="53"/>
      <c r="L10" s="55"/>
    </row>
    <row r="11" spans="2:12" ht="60" hidden="1" x14ac:dyDescent="0.25">
      <c r="B11" s="54" t="s">
        <v>427</v>
      </c>
      <c r="C11" s="53" t="s">
        <v>428</v>
      </c>
      <c r="D11" s="49" t="s">
        <v>126</v>
      </c>
      <c r="E11" s="53" t="s">
        <v>429</v>
      </c>
      <c r="F11" s="50" t="s">
        <v>155</v>
      </c>
      <c r="G11" s="49" t="s">
        <v>100</v>
      </c>
      <c r="H11" s="53" t="s">
        <v>430</v>
      </c>
      <c r="I11" s="41" t="s">
        <v>426</v>
      </c>
      <c r="J11" s="53"/>
      <c r="K11" s="53"/>
      <c r="L11" s="55" t="s">
        <v>431</v>
      </c>
    </row>
    <row r="12" spans="2:12" ht="75" hidden="1" x14ac:dyDescent="0.25">
      <c r="B12" s="54" t="s">
        <v>423</v>
      </c>
      <c r="C12" s="53" t="s">
        <v>424</v>
      </c>
      <c r="D12" s="49" t="s">
        <v>126</v>
      </c>
      <c r="E12" s="53" t="s">
        <v>425</v>
      </c>
      <c r="F12" s="50" t="s">
        <v>155</v>
      </c>
      <c r="G12" s="49" t="s">
        <v>421</v>
      </c>
      <c r="H12" s="53" t="s">
        <v>10</v>
      </c>
      <c r="I12" s="41" t="s">
        <v>426</v>
      </c>
      <c r="J12" s="53"/>
      <c r="K12" s="53"/>
      <c r="L12" s="55"/>
    </row>
    <row r="13" spans="2:12" ht="60" x14ac:dyDescent="0.25">
      <c r="B13" s="54" t="s">
        <v>420</v>
      </c>
      <c r="C13" s="53" t="s">
        <v>416</v>
      </c>
      <c r="D13" s="49" t="s">
        <v>126</v>
      </c>
      <c r="E13" s="53" t="s">
        <v>422</v>
      </c>
      <c r="F13" s="50" t="s">
        <v>155</v>
      </c>
      <c r="G13" s="49" t="s">
        <v>421</v>
      </c>
      <c r="H13" s="53" t="s">
        <v>10</v>
      </c>
      <c r="I13" s="41" t="s">
        <v>392</v>
      </c>
      <c r="J13" s="53"/>
      <c r="K13" s="53"/>
      <c r="L13" s="55"/>
    </row>
    <row r="14" spans="2:12" ht="60" x14ac:dyDescent="0.25">
      <c r="B14" s="54" t="s">
        <v>418</v>
      </c>
      <c r="C14" s="53" t="s">
        <v>416</v>
      </c>
      <c r="D14" s="49" t="s">
        <v>126</v>
      </c>
      <c r="E14" s="53" t="s">
        <v>419</v>
      </c>
      <c r="F14" s="50" t="s">
        <v>155</v>
      </c>
      <c r="G14" s="49" t="s">
        <v>413</v>
      </c>
      <c r="H14" s="53" t="s">
        <v>10</v>
      </c>
      <c r="I14" s="41" t="s">
        <v>392</v>
      </c>
      <c r="J14" s="53"/>
      <c r="K14" s="53"/>
      <c r="L14" s="55"/>
    </row>
    <row r="15" spans="2:12" ht="30" x14ac:dyDescent="0.25">
      <c r="B15" s="54" t="s">
        <v>415</v>
      </c>
      <c r="C15" s="53" t="s">
        <v>416</v>
      </c>
      <c r="D15" s="49" t="s">
        <v>126</v>
      </c>
      <c r="E15" s="53" t="s">
        <v>417</v>
      </c>
      <c r="F15" s="50" t="s">
        <v>155</v>
      </c>
      <c r="G15" s="49" t="s">
        <v>413</v>
      </c>
      <c r="H15" s="53" t="s">
        <v>10</v>
      </c>
      <c r="I15" s="41" t="s">
        <v>392</v>
      </c>
      <c r="J15" s="53"/>
      <c r="K15" s="53"/>
      <c r="L15" s="55"/>
    </row>
    <row r="16" spans="2:12" ht="60" hidden="1" x14ac:dyDescent="0.25">
      <c r="B16" s="54" t="s">
        <v>411</v>
      </c>
      <c r="C16" s="53" t="s">
        <v>412</v>
      </c>
      <c r="D16" s="49" t="s">
        <v>126</v>
      </c>
      <c r="E16" s="53" t="s">
        <v>414</v>
      </c>
      <c r="F16" s="50" t="s">
        <v>155</v>
      </c>
      <c r="G16" s="49" t="s">
        <v>413</v>
      </c>
      <c r="H16" s="53" t="s">
        <v>10</v>
      </c>
      <c r="I16" s="41" t="s">
        <v>402</v>
      </c>
      <c r="J16" s="53"/>
      <c r="K16" s="53"/>
      <c r="L16" s="55"/>
    </row>
    <row r="17" spans="2:12" ht="60" x14ac:dyDescent="0.25">
      <c r="B17" s="54" t="s">
        <v>408</v>
      </c>
      <c r="C17" s="53" t="s">
        <v>409</v>
      </c>
      <c r="D17" s="49" t="s">
        <v>126</v>
      </c>
      <c r="E17" s="53" t="s">
        <v>410</v>
      </c>
      <c r="F17" s="50" t="s">
        <v>155</v>
      </c>
      <c r="G17" s="49" t="s">
        <v>395</v>
      </c>
      <c r="H17" s="53" t="s">
        <v>10</v>
      </c>
      <c r="I17" s="41" t="s">
        <v>392</v>
      </c>
      <c r="J17" s="53"/>
      <c r="K17" s="53"/>
      <c r="L17" s="55"/>
    </row>
    <row r="18" spans="2:12" ht="45" x14ac:dyDescent="0.25">
      <c r="B18" s="54">
        <v>45366</v>
      </c>
      <c r="C18" s="53" t="s">
        <v>404</v>
      </c>
      <c r="D18" s="49" t="s">
        <v>126</v>
      </c>
      <c r="E18" s="53" t="s">
        <v>406</v>
      </c>
      <c r="F18" s="50" t="s">
        <v>407</v>
      </c>
      <c r="G18" s="49" t="s">
        <v>405</v>
      </c>
      <c r="H18" s="53" t="s">
        <v>10</v>
      </c>
      <c r="I18" s="41" t="s">
        <v>392</v>
      </c>
      <c r="J18" s="53"/>
      <c r="K18" s="53"/>
      <c r="L18" s="55"/>
    </row>
    <row r="19" spans="2:12" ht="45" hidden="1" x14ac:dyDescent="0.25">
      <c r="B19" s="54">
        <v>45272</v>
      </c>
      <c r="C19" s="53" t="s">
        <v>400</v>
      </c>
      <c r="D19" s="49" t="s">
        <v>126</v>
      </c>
      <c r="E19" s="53" t="s">
        <v>401</v>
      </c>
      <c r="F19" s="50" t="s">
        <v>155</v>
      </c>
      <c r="G19" s="49" t="s">
        <v>395</v>
      </c>
      <c r="H19" s="53" t="s">
        <v>403</v>
      </c>
      <c r="I19" s="41" t="s">
        <v>402</v>
      </c>
      <c r="J19" s="53"/>
      <c r="K19" s="53"/>
      <c r="L19" s="55"/>
    </row>
    <row r="20" spans="2:12" ht="30" x14ac:dyDescent="0.25">
      <c r="B20" s="54">
        <v>45231</v>
      </c>
      <c r="C20" s="53" t="s">
        <v>385</v>
      </c>
      <c r="D20" s="49" t="s">
        <v>126</v>
      </c>
      <c r="E20" s="53" t="s">
        <v>386</v>
      </c>
      <c r="F20" s="50" t="s">
        <v>155</v>
      </c>
      <c r="G20" s="53" t="s">
        <v>387</v>
      </c>
      <c r="H20" s="53" t="s">
        <v>388</v>
      </c>
      <c r="I20" s="41" t="s">
        <v>8</v>
      </c>
      <c r="J20" s="53" t="s">
        <v>301</v>
      </c>
      <c r="K20" s="53" t="s">
        <v>301</v>
      </c>
      <c r="L20" s="55"/>
    </row>
    <row r="21" spans="2:12" ht="60" x14ac:dyDescent="0.25">
      <c r="B21" s="54">
        <v>45200</v>
      </c>
      <c r="C21" s="53" t="s">
        <v>381</v>
      </c>
      <c r="D21" s="49" t="s">
        <v>126</v>
      </c>
      <c r="E21" s="53" t="s">
        <v>382</v>
      </c>
      <c r="F21" s="48" t="s">
        <v>277</v>
      </c>
      <c r="G21" s="53" t="s">
        <v>383</v>
      </c>
      <c r="H21" s="53" t="s">
        <v>10</v>
      </c>
      <c r="I21" s="41" t="s">
        <v>392</v>
      </c>
      <c r="J21" s="53" t="s">
        <v>301</v>
      </c>
      <c r="K21" s="53" t="s">
        <v>309</v>
      </c>
      <c r="L21" s="55" t="s">
        <v>384</v>
      </c>
    </row>
    <row r="22" spans="2:12" ht="45" x14ac:dyDescent="0.25">
      <c r="B22" s="54">
        <v>45108</v>
      </c>
      <c r="C22" s="53" t="s">
        <v>368</v>
      </c>
      <c r="D22" s="49" t="s">
        <v>126</v>
      </c>
      <c r="E22" s="53" t="s">
        <v>369</v>
      </c>
      <c r="F22" s="48" t="s">
        <v>155</v>
      </c>
      <c r="G22" s="53" t="s">
        <v>306</v>
      </c>
      <c r="H22" s="53" t="s">
        <v>10</v>
      </c>
      <c r="I22" s="41" t="s">
        <v>8</v>
      </c>
      <c r="J22" s="53" t="s">
        <v>301</v>
      </c>
      <c r="K22" s="53" t="s">
        <v>301</v>
      </c>
      <c r="L22" s="55" t="s">
        <v>380</v>
      </c>
    </row>
    <row r="23" spans="2:12" ht="30" x14ac:dyDescent="0.25">
      <c r="B23" s="54">
        <v>45108</v>
      </c>
      <c r="C23" s="53" t="s">
        <v>368</v>
      </c>
      <c r="D23" s="49" t="s">
        <v>126</v>
      </c>
      <c r="E23" s="53" t="s">
        <v>370</v>
      </c>
      <c r="F23" s="48" t="s">
        <v>155</v>
      </c>
      <c r="G23" s="53" t="s">
        <v>303</v>
      </c>
      <c r="H23" s="53" t="s">
        <v>10</v>
      </c>
      <c r="I23" s="41" t="s">
        <v>392</v>
      </c>
      <c r="J23" s="53" t="s">
        <v>301</v>
      </c>
      <c r="K23" s="53" t="s">
        <v>309</v>
      </c>
      <c r="L23" s="55"/>
    </row>
    <row r="24" spans="2:12" ht="75" x14ac:dyDescent="0.25">
      <c r="B24" s="54">
        <v>45108</v>
      </c>
      <c r="C24" s="53" t="s">
        <v>368</v>
      </c>
      <c r="D24" s="49" t="s">
        <v>126</v>
      </c>
      <c r="E24" s="53" t="s">
        <v>371</v>
      </c>
      <c r="F24" s="48" t="s">
        <v>277</v>
      </c>
      <c r="G24" s="53" t="s">
        <v>308</v>
      </c>
      <c r="H24" s="53" t="s">
        <v>10</v>
      </c>
      <c r="I24" s="41" t="s">
        <v>389</v>
      </c>
      <c r="J24" s="53" t="s">
        <v>301</v>
      </c>
      <c r="K24" s="53" t="s">
        <v>309</v>
      </c>
      <c r="L24" s="55" t="s">
        <v>379</v>
      </c>
    </row>
    <row r="25" spans="2:12" ht="45" x14ac:dyDescent="0.25">
      <c r="B25" s="54">
        <v>45108</v>
      </c>
      <c r="C25" s="53" t="s">
        <v>368</v>
      </c>
      <c r="D25" s="49" t="s">
        <v>126</v>
      </c>
      <c r="E25" s="53" t="s">
        <v>372</v>
      </c>
      <c r="F25" s="48" t="s">
        <v>277</v>
      </c>
      <c r="G25" s="53" t="s">
        <v>373</v>
      </c>
      <c r="H25" s="53" t="s">
        <v>10</v>
      </c>
      <c r="I25" s="41" t="s">
        <v>392</v>
      </c>
      <c r="J25" s="53" t="s">
        <v>301</v>
      </c>
      <c r="K25" s="53" t="s">
        <v>309</v>
      </c>
      <c r="L25" s="55" t="s">
        <v>379</v>
      </c>
    </row>
    <row r="26" spans="2:12" ht="30" x14ac:dyDescent="0.25">
      <c r="B26" s="54">
        <v>45108</v>
      </c>
      <c r="C26" s="53" t="s">
        <v>366</v>
      </c>
      <c r="D26" s="49" t="s">
        <v>126</v>
      </c>
      <c r="E26" s="53" t="s">
        <v>365</v>
      </c>
      <c r="F26" s="48" t="s">
        <v>155</v>
      </c>
      <c r="G26" s="53" t="s">
        <v>355</v>
      </c>
      <c r="H26" s="53" t="s">
        <v>367</v>
      </c>
      <c r="I26" s="41" t="s">
        <v>392</v>
      </c>
      <c r="J26" s="53" t="s">
        <v>301</v>
      </c>
      <c r="K26" s="53"/>
      <c r="L26" s="55"/>
    </row>
    <row r="27" spans="2:12" ht="30" x14ac:dyDescent="0.25">
      <c r="B27" s="54">
        <v>45108</v>
      </c>
      <c r="C27" s="53" t="s">
        <v>118</v>
      </c>
      <c r="D27" s="49" t="s">
        <v>126</v>
      </c>
      <c r="E27" s="53" t="s">
        <v>356</v>
      </c>
      <c r="F27" s="48" t="s">
        <v>155</v>
      </c>
      <c r="G27" s="53" t="s">
        <v>355</v>
      </c>
      <c r="H27" s="53" t="s">
        <v>357</v>
      </c>
      <c r="I27" s="41" t="s">
        <v>392</v>
      </c>
      <c r="J27" s="53" t="s">
        <v>301</v>
      </c>
      <c r="K27" s="53"/>
      <c r="L27" s="55"/>
    </row>
    <row r="28" spans="2:12" ht="45" x14ac:dyDescent="0.25">
      <c r="B28" s="54">
        <v>45078</v>
      </c>
      <c r="C28" s="53" t="s">
        <v>353</v>
      </c>
      <c r="D28" s="49" t="s">
        <v>126</v>
      </c>
      <c r="E28" s="53" t="s">
        <v>359</v>
      </c>
      <c r="F28" s="48" t="s">
        <v>155</v>
      </c>
      <c r="G28" s="53" t="s">
        <v>360</v>
      </c>
      <c r="H28" s="53" t="s">
        <v>361</v>
      </c>
      <c r="I28" s="41" t="s">
        <v>392</v>
      </c>
      <c r="J28" s="53" t="s">
        <v>301</v>
      </c>
      <c r="K28" s="53"/>
      <c r="L28" s="55"/>
    </row>
    <row r="29" spans="2:12" ht="45" x14ac:dyDescent="0.25">
      <c r="B29" s="54">
        <v>45047</v>
      </c>
      <c r="C29" s="53" t="s">
        <v>363</v>
      </c>
      <c r="D29" s="49" t="s">
        <v>126</v>
      </c>
      <c r="E29" s="53" t="s">
        <v>364</v>
      </c>
      <c r="F29" s="48" t="s">
        <v>155</v>
      </c>
      <c r="G29" s="53" t="s">
        <v>374</v>
      </c>
      <c r="H29" s="53" t="s">
        <v>361</v>
      </c>
      <c r="I29" s="41" t="s">
        <v>392</v>
      </c>
      <c r="J29" s="53" t="s">
        <v>301</v>
      </c>
      <c r="K29" s="53" t="s">
        <v>309</v>
      </c>
      <c r="L29" s="55"/>
    </row>
    <row r="30" spans="2:12" ht="45" hidden="1" x14ac:dyDescent="0.25">
      <c r="B30" s="54">
        <v>44987</v>
      </c>
      <c r="C30" s="53" t="s">
        <v>397</v>
      </c>
      <c r="D30" s="49" t="s">
        <v>126</v>
      </c>
      <c r="E30" s="53" t="s">
        <v>398</v>
      </c>
      <c r="F30" s="48" t="s">
        <v>155</v>
      </c>
      <c r="G30" s="53" t="s">
        <v>360</v>
      </c>
      <c r="H30" s="53" t="s">
        <v>399</v>
      </c>
      <c r="I30" s="41" t="s">
        <v>402</v>
      </c>
      <c r="J30" s="53" t="s">
        <v>65</v>
      </c>
      <c r="K30" s="53" t="s">
        <v>65</v>
      </c>
      <c r="L30" s="55"/>
    </row>
    <row r="31" spans="2:12" ht="60" x14ac:dyDescent="0.25">
      <c r="B31" s="54">
        <v>45017</v>
      </c>
      <c r="C31" s="53" t="s">
        <v>358</v>
      </c>
      <c r="D31" s="49" t="s">
        <v>126</v>
      </c>
      <c r="E31" s="53" t="s">
        <v>354</v>
      </c>
      <c r="F31" s="48" t="s">
        <v>155</v>
      </c>
      <c r="G31" s="53" t="s">
        <v>355</v>
      </c>
      <c r="H31" s="53" t="s">
        <v>10</v>
      </c>
      <c r="I31" s="41" t="s">
        <v>392</v>
      </c>
      <c r="J31" s="53" t="s">
        <v>301</v>
      </c>
      <c r="K31" s="53"/>
      <c r="L31" s="55"/>
    </row>
    <row r="32" spans="2:12" s="10" customFormat="1" ht="57.6" hidden="1" customHeight="1" x14ac:dyDescent="0.25">
      <c r="B32" s="54">
        <v>44835</v>
      </c>
      <c r="C32" s="53" t="s">
        <v>317</v>
      </c>
      <c r="D32" s="49" t="s">
        <v>126</v>
      </c>
      <c r="E32" s="53" t="s">
        <v>318</v>
      </c>
      <c r="F32" s="48" t="s">
        <v>277</v>
      </c>
      <c r="G32" s="53" t="s">
        <v>308</v>
      </c>
      <c r="H32" s="53" t="s">
        <v>10</v>
      </c>
      <c r="I32" s="41" t="s">
        <v>97</v>
      </c>
      <c r="J32" s="53" t="s">
        <v>309</v>
      </c>
      <c r="K32" s="53"/>
      <c r="L32" s="55"/>
    </row>
    <row r="33" spans="1:12" s="10" customFormat="1" ht="57.6" hidden="1" customHeight="1" x14ac:dyDescent="0.25">
      <c r="B33" s="54">
        <v>44835</v>
      </c>
      <c r="C33" s="53" t="s">
        <v>317</v>
      </c>
      <c r="D33" s="49" t="s">
        <v>126</v>
      </c>
      <c r="E33" s="53" t="s">
        <v>319</v>
      </c>
      <c r="F33" s="48" t="s">
        <v>320</v>
      </c>
      <c r="G33" s="53" t="s">
        <v>321</v>
      </c>
      <c r="H33" s="53" t="s">
        <v>10</v>
      </c>
      <c r="I33" s="41" t="s">
        <v>97</v>
      </c>
      <c r="J33" s="53" t="s">
        <v>309</v>
      </c>
      <c r="K33" s="53"/>
      <c r="L33" s="55"/>
    </row>
    <row r="34" spans="1:12" s="10" customFormat="1" ht="57.6" customHeight="1" x14ac:dyDescent="0.25">
      <c r="B34" s="54">
        <v>44835</v>
      </c>
      <c r="C34" s="53" t="s">
        <v>317</v>
      </c>
      <c r="D34" s="49" t="s">
        <v>126</v>
      </c>
      <c r="E34" s="53" t="s">
        <v>322</v>
      </c>
      <c r="F34" s="48" t="s">
        <v>277</v>
      </c>
      <c r="G34" s="53" t="s">
        <v>300</v>
      </c>
      <c r="H34" s="53" t="s">
        <v>10</v>
      </c>
      <c r="I34" s="41" t="s">
        <v>8</v>
      </c>
      <c r="J34" s="53" t="s">
        <v>301</v>
      </c>
      <c r="K34" s="53" t="s">
        <v>301</v>
      </c>
      <c r="L34" s="55" t="s">
        <v>336</v>
      </c>
    </row>
    <row r="35" spans="1:12" s="10" customFormat="1" ht="57.6" hidden="1" customHeight="1" x14ac:dyDescent="0.25">
      <c r="B35" s="54">
        <v>44835</v>
      </c>
      <c r="C35" s="53" t="s">
        <v>317</v>
      </c>
      <c r="D35" s="49" t="s">
        <v>126</v>
      </c>
      <c r="E35" s="53" t="s">
        <v>323</v>
      </c>
      <c r="F35" s="48" t="s">
        <v>155</v>
      </c>
      <c r="G35" s="53" t="s">
        <v>324</v>
      </c>
      <c r="H35" s="53" t="s">
        <v>10</v>
      </c>
      <c r="I35" s="41" t="s">
        <v>94</v>
      </c>
      <c r="J35" s="53" t="s">
        <v>301</v>
      </c>
      <c r="K35" s="53" t="s">
        <v>301</v>
      </c>
      <c r="L35" s="55" t="s">
        <v>336</v>
      </c>
    </row>
    <row r="36" spans="1:12" s="10" customFormat="1" ht="57.6" customHeight="1" x14ac:dyDescent="0.25">
      <c r="B36" s="54">
        <v>44774</v>
      </c>
      <c r="C36" s="53" t="s">
        <v>298</v>
      </c>
      <c r="D36" s="49" t="s">
        <v>126</v>
      </c>
      <c r="E36" s="53" t="s">
        <v>299</v>
      </c>
      <c r="F36" s="48" t="s">
        <v>155</v>
      </c>
      <c r="G36" s="53" t="s">
        <v>300</v>
      </c>
      <c r="H36" s="53" t="s">
        <v>10</v>
      </c>
      <c r="I36" s="41" t="s">
        <v>8</v>
      </c>
      <c r="J36" s="53" t="s">
        <v>301</v>
      </c>
      <c r="K36" s="53" t="s">
        <v>301</v>
      </c>
      <c r="L36" s="55" t="s">
        <v>336</v>
      </c>
    </row>
    <row r="37" spans="1:12" s="10" customFormat="1" ht="34.5" customHeight="1" x14ac:dyDescent="0.25">
      <c r="B37" s="54">
        <v>44774</v>
      </c>
      <c r="C37" s="53" t="s">
        <v>298</v>
      </c>
      <c r="D37" s="49" t="s">
        <v>126</v>
      </c>
      <c r="E37" s="53" t="s">
        <v>302</v>
      </c>
      <c r="F37" s="48" t="s">
        <v>277</v>
      </c>
      <c r="G37" s="53" t="s">
        <v>303</v>
      </c>
      <c r="H37" s="53" t="s">
        <v>10</v>
      </c>
      <c r="I37" s="41" t="s">
        <v>8</v>
      </c>
      <c r="J37" s="53" t="s">
        <v>301</v>
      </c>
      <c r="K37" s="53" t="s">
        <v>301</v>
      </c>
      <c r="L37" s="55" t="s">
        <v>336</v>
      </c>
    </row>
    <row r="38" spans="1:12" s="10" customFormat="1" ht="61.15" hidden="1" customHeight="1" x14ac:dyDescent="0.25">
      <c r="B38" s="54">
        <v>44774</v>
      </c>
      <c r="C38" s="53" t="s">
        <v>298</v>
      </c>
      <c r="D38" s="49" t="s">
        <v>126</v>
      </c>
      <c r="E38" s="53" t="s">
        <v>307</v>
      </c>
      <c r="F38" s="48" t="s">
        <v>277</v>
      </c>
      <c r="G38" s="53" t="s">
        <v>308</v>
      </c>
      <c r="H38" s="53" t="s">
        <v>10</v>
      </c>
      <c r="I38" s="41" t="s">
        <v>396</v>
      </c>
      <c r="J38" s="53" t="s">
        <v>309</v>
      </c>
      <c r="K38" s="53"/>
      <c r="L38" s="55" t="s">
        <v>316</v>
      </c>
    </row>
    <row r="39" spans="1:12" s="10" customFormat="1" ht="55.9" customHeight="1" x14ac:dyDescent="0.25">
      <c r="B39" s="54">
        <v>44743</v>
      </c>
      <c r="C39" s="53" t="s">
        <v>304</v>
      </c>
      <c r="D39" s="49" t="s">
        <v>126</v>
      </c>
      <c r="E39" s="53" t="s">
        <v>305</v>
      </c>
      <c r="F39" s="48" t="s">
        <v>155</v>
      </c>
      <c r="G39" s="53" t="s">
        <v>306</v>
      </c>
      <c r="H39" s="53" t="s">
        <v>10</v>
      </c>
      <c r="I39" s="41" t="s">
        <v>8</v>
      </c>
      <c r="J39" s="53" t="s">
        <v>301</v>
      </c>
      <c r="K39" s="53" t="s">
        <v>50</v>
      </c>
      <c r="L39" s="55"/>
    </row>
    <row r="40" spans="1:12" s="10" customFormat="1" ht="55.9" customHeight="1" x14ac:dyDescent="0.25">
      <c r="B40" s="54">
        <v>44599</v>
      </c>
      <c r="C40" s="53" t="s">
        <v>358</v>
      </c>
      <c r="D40" s="49" t="s">
        <v>126</v>
      </c>
      <c r="E40" s="53" t="s">
        <v>394</v>
      </c>
      <c r="F40" s="48" t="s">
        <v>155</v>
      </c>
      <c r="G40" s="53" t="s">
        <v>395</v>
      </c>
      <c r="H40" s="53" t="s">
        <v>10</v>
      </c>
      <c r="I40" s="41" t="s">
        <v>392</v>
      </c>
      <c r="J40" s="53" t="s">
        <v>301</v>
      </c>
      <c r="K40" s="53" t="s">
        <v>144</v>
      </c>
      <c r="L40" s="55"/>
    </row>
    <row r="41" spans="1:12" s="10" customFormat="1" ht="57" customHeight="1" x14ac:dyDescent="0.25">
      <c r="B41" s="54">
        <v>44652</v>
      </c>
      <c r="C41" s="53" t="s">
        <v>313</v>
      </c>
      <c r="D41" s="49" t="s">
        <v>126</v>
      </c>
      <c r="E41" s="53" t="s">
        <v>314</v>
      </c>
      <c r="F41" s="48" t="s">
        <v>155</v>
      </c>
      <c r="G41" s="53" t="s">
        <v>306</v>
      </c>
      <c r="H41" s="53" t="s">
        <v>10</v>
      </c>
      <c r="I41" s="41" t="s">
        <v>8</v>
      </c>
      <c r="J41" s="53" t="s">
        <v>301</v>
      </c>
      <c r="K41" s="53" t="s">
        <v>50</v>
      </c>
      <c r="L41" s="55"/>
    </row>
    <row r="42" spans="1:12" s="10" customFormat="1" ht="57" customHeight="1" x14ac:dyDescent="0.25">
      <c r="A42" s="10">
        <v>1</v>
      </c>
      <c r="B42" s="54">
        <v>44496</v>
      </c>
      <c r="C42" s="53" t="s">
        <v>280</v>
      </c>
      <c r="D42" s="49" t="s">
        <v>80</v>
      </c>
      <c r="E42" s="53" t="s">
        <v>287</v>
      </c>
      <c r="F42" s="48" t="s">
        <v>277</v>
      </c>
      <c r="G42" s="53" t="s">
        <v>165</v>
      </c>
      <c r="H42" s="53" t="s">
        <v>10</v>
      </c>
      <c r="I42" s="41" t="s">
        <v>8</v>
      </c>
      <c r="J42" s="53" t="s">
        <v>51</v>
      </c>
      <c r="K42" s="53" t="s">
        <v>50</v>
      </c>
      <c r="L42" s="55"/>
    </row>
    <row r="43" spans="1:12" s="10" customFormat="1" ht="73.5" customHeight="1" x14ac:dyDescent="0.25">
      <c r="A43" s="10">
        <v>2</v>
      </c>
      <c r="B43" s="54">
        <v>44428</v>
      </c>
      <c r="C43" s="53" t="s">
        <v>280</v>
      </c>
      <c r="D43" s="49" t="s">
        <v>80</v>
      </c>
      <c r="E43" s="53" t="s">
        <v>283</v>
      </c>
      <c r="F43" s="48" t="s">
        <v>277</v>
      </c>
      <c r="G43" s="53" t="s">
        <v>139</v>
      </c>
      <c r="H43" s="53" t="s">
        <v>10</v>
      </c>
      <c r="I43" s="41" t="s">
        <v>8</v>
      </c>
      <c r="J43" s="53" t="s">
        <v>51</v>
      </c>
      <c r="K43" s="53" t="s">
        <v>50</v>
      </c>
      <c r="L43" s="55"/>
    </row>
    <row r="44" spans="1:12" s="10" customFormat="1" ht="34.5" customHeight="1" x14ac:dyDescent="0.25">
      <c r="A44" s="10">
        <v>3</v>
      </c>
      <c r="B44" s="54">
        <v>44414</v>
      </c>
      <c r="C44" s="53" t="s">
        <v>279</v>
      </c>
      <c r="D44" s="49" t="s">
        <v>80</v>
      </c>
      <c r="E44" s="53" t="s">
        <v>281</v>
      </c>
      <c r="F44" s="48" t="s">
        <v>277</v>
      </c>
      <c r="G44" s="53" t="s">
        <v>165</v>
      </c>
      <c r="H44" s="53" t="s">
        <v>282</v>
      </c>
      <c r="I44" s="41" t="s">
        <v>66</v>
      </c>
      <c r="J44" s="53" t="s">
        <v>51</v>
      </c>
      <c r="K44" s="53" t="s">
        <v>144</v>
      </c>
      <c r="L44" s="55"/>
    </row>
    <row r="45" spans="1:12" s="10" customFormat="1" ht="65.25" customHeight="1" x14ac:dyDescent="0.25">
      <c r="A45" s="10">
        <v>4</v>
      </c>
      <c r="B45" s="54">
        <v>44377</v>
      </c>
      <c r="C45" s="53" t="s">
        <v>263</v>
      </c>
      <c r="D45" s="49" t="s">
        <v>80</v>
      </c>
      <c r="E45" s="53" t="s">
        <v>265</v>
      </c>
      <c r="F45" s="48" t="s">
        <v>155</v>
      </c>
      <c r="G45" s="53" t="s">
        <v>96</v>
      </c>
      <c r="H45" s="53" t="s">
        <v>10</v>
      </c>
      <c r="I45" s="41" t="s">
        <v>392</v>
      </c>
      <c r="J45" s="53" t="s">
        <v>51</v>
      </c>
      <c r="K45" s="53" t="s">
        <v>144</v>
      </c>
      <c r="L45" s="55"/>
    </row>
    <row r="46" spans="1:12" s="10" customFormat="1" ht="57.75" customHeight="1" x14ac:dyDescent="0.25">
      <c r="A46" s="10">
        <v>5</v>
      </c>
      <c r="B46" s="54">
        <v>44377</v>
      </c>
      <c r="C46" s="53" t="s">
        <v>263</v>
      </c>
      <c r="D46" s="49" t="s">
        <v>80</v>
      </c>
      <c r="E46" s="53" t="s">
        <v>264</v>
      </c>
      <c r="F46" s="48" t="s">
        <v>155</v>
      </c>
      <c r="G46" s="53" t="s">
        <v>96</v>
      </c>
      <c r="H46" s="53" t="s">
        <v>266</v>
      </c>
      <c r="I46" s="41" t="s">
        <v>392</v>
      </c>
      <c r="J46" s="53" t="s">
        <v>51</v>
      </c>
      <c r="K46" s="53" t="s">
        <v>144</v>
      </c>
      <c r="L46" s="55"/>
    </row>
    <row r="47" spans="1:12" s="10" customFormat="1" ht="69" hidden="1" customHeight="1" x14ac:dyDescent="0.25">
      <c r="A47" s="10">
        <v>6</v>
      </c>
      <c r="B47" s="54">
        <v>44277</v>
      </c>
      <c r="C47" s="53" t="s">
        <v>257</v>
      </c>
      <c r="D47" s="49" t="s">
        <v>80</v>
      </c>
      <c r="E47" s="53" t="s">
        <v>260</v>
      </c>
      <c r="F47" s="48" t="s">
        <v>277</v>
      </c>
      <c r="G47" s="53" t="s">
        <v>139</v>
      </c>
      <c r="H47" s="53" t="s">
        <v>10</v>
      </c>
      <c r="I47" s="41" t="s">
        <v>393</v>
      </c>
      <c r="J47" s="53" t="s">
        <v>65</v>
      </c>
      <c r="K47" s="53" t="s">
        <v>216</v>
      </c>
      <c r="L47" s="55" t="s">
        <v>262</v>
      </c>
    </row>
    <row r="48" spans="1:12" s="10" customFormat="1" ht="53.25" customHeight="1" x14ac:dyDescent="0.25">
      <c r="A48" s="10">
        <v>7</v>
      </c>
      <c r="B48" s="54">
        <v>44277</v>
      </c>
      <c r="C48" s="53" t="s">
        <v>257</v>
      </c>
      <c r="D48" s="49" t="s">
        <v>80</v>
      </c>
      <c r="E48" s="53" t="s">
        <v>261</v>
      </c>
      <c r="F48" s="48" t="s">
        <v>278</v>
      </c>
      <c r="G48" s="53" t="s">
        <v>212</v>
      </c>
      <c r="H48" s="53" t="s">
        <v>10</v>
      </c>
      <c r="I48" s="41" t="s">
        <v>392</v>
      </c>
      <c r="J48" s="53" t="s">
        <v>51</v>
      </c>
      <c r="K48" s="53" t="s">
        <v>144</v>
      </c>
      <c r="L48" s="55"/>
    </row>
    <row r="49" spans="1:15" s="44" customFormat="1" ht="52.5" customHeight="1" x14ac:dyDescent="0.25">
      <c r="A49" s="10">
        <v>8</v>
      </c>
      <c r="B49" s="54">
        <v>44256</v>
      </c>
      <c r="C49" s="53" t="s">
        <v>252</v>
      </c>
      <c r="D49" s="49" t="s">
        <v>166</v>
      </c>
      <c r="E49" s="53" t="s">
        <v>255</v>
      </c>
      <c r="F49" s="48" t="s">
        <v>155</v>
      </c>
      <c r="G49" s="53" t="s">
        <v>96</v>
      </c>
      <c r="H49" s="53" t="s">
        <v>256</v>
      </c>
      <c r="I49" s="41" t="s">
        <v>392</v>
      </c>
      <c r="J49" s="53" t="s">
        <v>51</v>
      </c>
      <c r="K49" s="53" t="s">
        <v>144</v>
      </c>
      <c r="L49" s="55"/>
    </row>
    <row r="50" spans="1:15" s="10" customFormat="1" ht="69" hidden="1" customHeight="1" x14ac:dyDescent="0.25">
      <c r="A50" s="10">
        <v>9</v>
      </c>
      <c r="B50" s="54">
        <v>44251</v>
      </c>
      <c r="C50" s="53" t="s">
        <v>252</v>
      </c>
      <c r="D50" s="49" t="s">
        <v>166</v>
      </c>
      <c r="E50" s="53" t="s">
        <v>253</v>
      </c>
      <c r="F50" s="48" t="s">
        <v>155</v>
      </c>
      <c r="G50" s="53" t="s">
        <v>96</v>
      </c>
      <c r="H50" s="53" t="s">
        <v>10</v>
      </c>
      <c r="I50" s="41" t="s">
        <v>97</v>
      </c>
      <c r="J50" s="53" t="s">
        <v>65</v>
      </c>
      <c r="K50" s="53" t="s">
        <v>144</v>
      </c>
      <c r="L50" s="55"/>
    </row>
    <row r="51" spans="1:15" s="10" customFormat="1" ht="45.75" hidden="1" customHeight="1" thickBot="1" x14ac:dyDescent="0.3">
      <c r="A51" s="47">
        <v>10</v>
      </c>
      <c r="B51" s="54">
        <v>44245</v>
      </c>
      <c r="C51" s="53" t="s">
        <v>250</v>
      </c>
      <c r="D51" s="49" t="s">
        <v>80</v>
      </c>
      <c r="E51" s="53" t="s">
        <v>251</v>
      </c>
      <c r="F51" s="48" t="s">
        <v>155</v>
      </c>
      <c r="G51" s="53" t="s">
        <v>96</v>
      </c>
      <c r="H51" s="53" t="s">
        <v>254</v>
      </c>
      <c r="I51" s="41" t="s">
        <v>97</v>
      </c>
      <c r="J51" s="53" t="s">
        <v>65</v>
      </c>
      <c r="K51" s="53" t="s">
        <v>144</v>
      </c>
      <c r="L51" s="55"/>
      <c r="M51" s="47"/>
      <c r="N51" s="47"/>
      <c r="O51" s="47"/>
    </row>
    <row r="52" spans="1:15" s="10" customFormat="1" ht="45" x14ac:dyDescent="0.25">
      <c r="A52" s="10">
        <v>1</v>
      </c>
      <c r="B52" s="54">
        <v>44111</v>
      </c>
      <c r="C52" s="53" t="s">
        <v>228</v>
      </c>
      <c r="D52" s="49" t="s">
        <v>166</v>
      </c>
      <c r="E52" s="53" t="s">
        <v>229</v>
      </c>
      <c r="F52" s="48" t="s">
        <v>155</v>
      </c>
      <c r="G52" s="53" t="s">
        <v>96</v>
      </c>
      <c r="H52" s="53" t="s">
        <v>230</v>
      </c>
      <c r="I52" s="41" t="s">
        <v>392</v>
      </c>
      <c r="J52" s="53" t="s">
        <v>51</v>
      </c>
      <c r="K52" s="53" t="s">
        <v>144</v>
      </c>
      <c r="L52" s="55"/>
    </row>
    <row r="53" spans="1:15" s="10" customFormat="1" ht="52.5" customHeight="1" x14ac:dyDescent="0.25">
      <c r="A53" s="10">
        <v>2</v>
      </c>
      <c r="B53" s="54">
        <v>44083</v>
      </c>
      <c r="C53" s="53" t="s">
        <v>218</v>
      </c>
      <c r="D53" s="49" t="s">
        <v>166</v>
      </c>
      <c r="E53" s="53" t="s">
        <v>221</v>
      </c>
      <c r="F53" s="48" t="s">
        <v>155</v>
      </c>
      <c r="G53" s="53" t="s">
        <v>105</v>
      </c>
      <c r="H53" s="53" t="s">
        <v>220</v>
      </c>
      <c r="I53" s="41" t="s">
        <v>36</v>
      </c>
      <c r="J53" s="53" t="s">
        <v>65</v>
      </c>
      <c r="K53" s="53" t="s">
        <v>216</v>
      </c>
      <c r="L53" s="55"/>
    </row>
    <row r="54" spans="1:15" s="10" customFormat="1" ht="43.5" hidden="1" customHeight="1" x14ac:dyDescent="0.25">
      <c r="A54" s="10">
        <v>3</v>
      </c>
      <c r="B54" s="54">
        <v>44083</v>
      </c>
      <c r="C54" s="53" t="s">
        <v>218</v>
      </c>
      <c r="D54" s="49" t="s">
        <v>80</v>
      </c>
      <c r="E54" s="53" t="s">
        <v>222</v>
      </c>
      <c r="F54" s="48" t="s">
        <v>278</v>
      </c>
      <c r="G54" s="53" t="s">
        <v>212</v>
      </c>
      <c r="H54" s="53" t="s">
        <v>10</v>
      </c>
      <c r="I54" s="41" t="s">
        <v>97</v>
      </c>
      <c r="J54" s="53" t="s">
        <v>65</v>
      </c>
      <c r="K54" s="53" t="s">
        <v>216</v>
      </c>
      <c r="L54" s="55"/>
    </row>
    <row r="55" spans="1:15" s="10" customFormat="1" ht="45.75" hidden="1" customHeight="1" x14ac:dyDescent="0.25">
      <c r="A55" s="10">
        <v>4</v>
      </c>
      <c r="B55" s="54">
        <v>44083</v>
      </c>
      <c r="C55" s="53" t="s">
        <v>218</v>
      </c>
      <c r="D55" s="49" t="s">
        <v>80</v>
      </c>
      <c r="E55" s="53" t="s">
        <v>223</v>
      </c>
      <c r="F55" s="48" t="s">
        <v>277</v>
      </c>
      <c r="G55" s="53" t="s">
        <v>219</v>
      </c>
      <c r="H55" s="53" t="s">
        <v>10</v>
      </c>
      <c r="I55" s="41" t="s">
        <v>97</v>
      </c>
      <c r="J55" s="53" t="s">
        <v>65</v>
      </c>
      <c r="K55" s="53" t="s">
        <v>216</v>
      </c>
      <c r="L55" s="55"/>
    </row>
    <row r="56" spans="1:15" s="10" customFormat="1" ht="51" customHeight="1" x14ac:dyDescent="0.25">
      <c r="A56" s="10">
        <v>5</v>
      </c>
      <c r="B56" s="54">
        <v>44083</v>
      </c>
      <c r="C56" s="53" t="s">
        <v>218</v>
      </c>
      <c r="D56" s="49" t="s">
        <v>80</v>
      </c>
      <c r="E56" s="53" t="s">
        <v>224</v>
      </c>
      <c r="F56" s="48" t="s">
        <v>278</v>
      </c>
      <c r="G56" s="53" t="s">
        <v>100</v>
      </c>
      <c r="H56" s="53" t="s">
        <v>10</v>
      </c>
      <c r="I56" s="41" t="s">
        <v>392</v>
      </c>
      <c r="J56" s="53" t="s">
        <v>51</v>
      </c>
      <c r="K56" s="53" t="s">
        <v>144</v>
      </c>
      <c r="L56" s="55" t="s">
        <v>244</v>
      </c>
    </row>
    <row r="57" spans="1:15" s="10" customFormat="1" ht="52.5" customHeight="1" x14ac:dyDescent="0.25">
      <c r="A57" s="10">
        <v>6</v>
      </c>
      <c r="B57" s="54">
        <v>44074</v>
      </c>
      <c r="C57" s="53" t="s">
        <v>207</v>
      </c>
      <c r="D57" s="49" t="s">
        <v>80</v>
      </c>
      <c r="E57" s="53" t="s">
        <v>206</v>
      </c>
      <c r="F57" s="48" t="s">
        <v>278</v>
      </c>
      <c r="G57" s="53" t="s">
        <v>105</v>
      </c>
      <c r="H57" s="53" t="s">
        <v>10</v>
      </c>
      <c r="I57" s="41" t="s">
        <v>392</v>
      </c>
      <c r="J57" s="53" t="s">
        <v>51</v>
      </c>
      <c r="K57" s="53" t="s">
        <v>144</v>
      </c>
      <c r="L57" s="55"/>
    </row>
    <row r="58" spans="1:15" s="10" customFormat="1" ht="52.5" hidden="1" customHeight="1" x14ac:dyDescent="0.25">
      <c r="A58" s="10">
        <v>7</v>
      </c>
      <c r="B58" s="54">
        <v>44048</v>
      </c>
      <c r="C58" s="53" t="s">
        <v>209</v>
      </c>
      <c r="D58" s="49" t="s">
        <v>214</v>
      </c>
      <c r="E58" s="53" t="s">
        <v>213</v>
      </c>
      <c r="F58" s="48" t="s">
        <v>278</v>
      </c>
      <c r="G58" s="53" t="s">
        <v>212</v>
      </c>
      <c r="H58" s="53" t="s">
        <v>10</v>
      </c>
      <c r="I58" s="41" t="s">
        <v>215</v>
      </c>
      <c r="J58" s="53" t="s">
        <v>65</v>
      </c>
      <c r="K58" s="53" t="s">
        <v>216</v>
      </c>
      <c r="L58" s="55" t="s">
        <v>217</v>
      </c>
    </row>
    <row r="59" spans="1:15" s="10" customFormat="1" ht="51.75" customHeight="1" x14ac:dyDescent="0.25">
      <c r="A59" s="10">
        <v>8</v>
      </c>
      <c r="B59" s="54">
        <v>44048</v>
      </c>
      <c r="C59" s="53" t="s">
        <v>209</v>
      </c>
      <c r="D59" s="49" t="s">
        <v>166</v>
      </c>
      <c r="E59" s="53" t="s">
        <v>208</v>
      </c>
      <c r="F59" s="48" t="s">
        <v>278</v>
      </c>
      <c r="G59" s="53" t="s">
        <v>100</v>
      </c>
      <c r="H59" s="53" t="s">
        <v>10</v>
      </c>
      <c r="I59" s="41" t="s">
        <v>392</v>
      </c>
      <c r="J59" s="53" t="s">
        <v>51</v>
      </c>
      <c r="K59" s="53" t="s">
        <v>144</v>
      </c>
      <c r="L59" s="55"/>
    </row>
    <row r="60" spans="1:15" s="4" customFormat="1" ht="45.75" customHeight="1" x14ac:dyDescent="0.25">
      <c r="A60" s="10">
        <v>9</v>
      </c>
      <c r="B60" s="54">
        <v>43998</v>
      </c>
      <c r="C60" s="53" t="s">
        <v>160</v>
      </c>
      <c r="D60" s="49" t="s">
        <v>80</v>
      </c>
      <c r="E60" s="53" t="s">
        <v>164</v>
      </c>
      <c r="F60" s="48" t="s">
        <v>277</v>
      </c>
      <c r="G60" s="53" t="s">
        <v>165</v>
      </c>
      <c r="H60" s="53" t="s">
        <v>10</v>
      </c>
      <c r="I60" s="41" t="s">
        <v>8</v>
      </c>
      <c r="J60" s="53" t="s">
        <v>51</v>
      </c>
      <c r="K60" s="53" t="s">
        <v>50</v>
      </c>
      <c r="L60" s="55"/>
    </row>
    <row r="61" spans="1:15" s="4" customFormat="1" ht="48" customHeight="1" x14ac:dyDescent="0.25">
      <c r="A61" s="10">
        <v>10</v>
      </c>
      <c r="B61" s="54">
        <v>43992</v>
      </c>
      <c r="C61" s="53" t="s">
        <v>160</v>
      </c>
      <c r="D61" s="49" t="s">
        <v>80</v>
      </c>
      <c r="E61" s="53" t="s">
        <v>162</v>
      </c>
      <c r="F61" s="48" t="s">
        <v>278</v>
      </c>
      <c r="G61" s="53" t="s">
        <v>163</v>
      </c>
      <c r="H61" s="53" t="s">
        <v>10</v>
      </c>
      <c r="I61" s="41" t="s">
        <v>8</v>
      </c>
      <c r="J61" s="53" t="s">
        <v>51</v>
      </c>
      <c r="K61" s="53" t="s">
        <v>50</v>
      </c>
      <c r="L61" s="55"/>
    </row>
    <row r="62" spans="1:15" s="4" customFormat="1" ht="48.75" customHeight="1" x14ac:dyDescent="0.25">
      <c r="A62" s="10">
        <v>11</v>
      </c>
      <c r="B62" s="54">
        <v>43991</v>
      </c>
      <c r="C62" s="53" t="s">
        <v>160</v>
      </c>
      <c r="D62" s="49" t="s">
        <v>80</v>
      </c>
      <c r="E62" s="53" t="s">
        <v>161</v>
      </c>
      <c r="F62" s="48" t="s">
        <v>278</v>
      </c>
      <c r="G62" s="53" t="s">
        <v>100</v>
      </c>
      <c r="H62" s="53" t="s">
        <v>10</v>
      </c>
      <c r="I62" s="41" t="s">
        <v>392</v>
      </c>
      <c r="J62" s="53" t="s">
        <v>51</v>
      </c>
      <c r="K62" s="53" t="s">
        <v>144</v>
      </c>
      <c r="L62" s="55"/>
    </row>
    <row r="63" spans="1:15" s="4" customFormat="1" ht="52.5" customHeight="1" x14ac:dyDescent="0.25">
      <c r="A63" s="10">
        <v>12</v>
      </c>
      <c r="B63" s="54">
        <v>43983</v>
      </c>
      <c r="C63" s="53" t="s">
        <v>153</v>
      </c>
      <c r="D63" s="49" t="s">
        <v>80</v>
      </c>
      <c r="E63" s="53" t="s">
        <v>158</v>
      </c>
      <c r="F63" s="48" t="s">
        <v>155</v>
      </c>
      <c r="G63" s="53" t="s">
        <v>96</v>
      </c>
      <c r="H63" s="53" t="s">
        <v>159</v>
      </c>
      <c r="I63" s="41" t="s">
        <v>392</v>
      </c>
      <c r="J63" s="53" t="s">
        <v>51</v>
      </c>
      <c r="K63" s="53" t="s">
        <v>144</v>
      </c>
      <c r="L63" s="55"/>
    </row>
    <row r="64" spans="1:15" s="4" customFormat="1" ht="61.5" customHeight="1" x14ac:dyDescent="0.25">
      <c r="A64" s="10">
        <v>13</v>
      </c>
      <c r="B64" s="54">
        <v>43981</v>
      </c>
      <c r="C64" s="53" t="s">
        <v>153</v>
      </c>
      <c r="D64" s="49" t="s">
        <v>80</v>
      </c>
      <c r="E64" s="53" t="s">
        <v>157</v>
      </c>
      <c r="F64" s="48" t="s">
        <v>155</v>
      </c>
      <c r="G64" s="53" t="s">
        <v>96</v>
      </c>
      <c r="H64" s="53" t="s">
        <v>10</v>
      </c>
      <c r="I64" s="41" t="s">
        <v>392</v>
      </c>
      <c r="J64" s="53" t="s">
        <v>51</v>
      </c>
      <c r="K64" s="53" t="s">
        <v>144</v>
      </c>
      <c r="L64" s="55"/>
    </row>
    <row r="65" spans="1:12" s="4" customFormat="1" ht="61.5" customHeight="1" x14ac:dyDescent="0.25">
      <c r="A65" s="10">
        <v>14</v>
      </c>
      <c r="B65" s="54">
        <v>43980</v>
      </c>
      <c r="C65" s="53" t="s">
        <v>153</v>
      </c>
      <c r="D65" s="49" t="s">
        <v>80</v>
      </c>
      <c r="E65" s="53" t="s">
        <v>154</v>
      </c>
      <c r="F65" s="48" t="s">
        <v>155</v>
      </c>
      <c r="G65" s="53" t="s">
        <v>105</v>
      </c>
      <c r="H65" s="53" t="s">
        <v>156</v>
      </c>
      <c r="I65" s="41" t="s">
        <v>392</v>
      </c>
      <c r="J65" s="53" t="s">
        <v>51</v>
      </c>
      <c r="K65" s="53" t="s">
        <v>144</v>
      </c>
      <c r="L65" s="55"/>
    </row>
    <row r="66" spans="1:12" s="4" customFormat="1" ht="61.5" hidden="1" customHeight="1" thickBot="1" x14ac:dyDescent="0.3">
      <c r="A66" s="10">
        <v>15</v>
      </c>
      <c r="B66" s="54">
        <v>43924</v>
      </c>
      <c r="C66" s="53" t="s">
        <v>147</v>
      </c>
      <c r="D66" s="49" t="s">
        <v>80</v>
      </c>
      <c r="E66" s="53" t="s">
        <v>148</v>
      </c>
      <c r="F66" s="48" t="s">
        <v>278</v>
      </c>
      <c r="G66" s="53" t="s">
        <v>100</v>
      </c>
      <c r="H66" s="53" t="s">
        <v>10</v>
      </c>
      <c r="I66" s="41" t="s">
        <v>94</v>
      </c>
      <c r="J66" s="53" t="s">
        <v>65</v>
      </c>
      <c r="K66" s="53" t="s">
        <v>216</v>
      </c>
      <c r="L66" s="55" t="s">
        <v>149</v>
      </c>
    </row>
    <row r="67" spans="1:12" ht="80.25" hidden="1" customHeight="1" x14ac:dyDescent="0.25">
      <c r="A67" s="5">
        <v>1</v>
      </c>
      <c r="B67" s="54">
        <v>43776</v>
      </c>
      <c r="C67" s="53" t="s">
        <v>211</v>
      </c>
      <c r="D67" s="49" t="s">
        <v>141</v>
      </c>
      <c r="E67" s="53" t="s">
        <v>142</v>
      </c>
      <c r="F67" s="48" t="s">
        <v>278</v>
      </c>
      <c r="G67" s="53" t="s">
        <v>96</v>
      </c>
      <c r="H67" s="53" t="s">
        <v>135</v>
      </c>
      <c r="I67" s="41" t="s">
        <v>94</v>
      </c>
      <c r="J67" s="53" t="s">
        <v>51</v>
      </c>
      <c r="K67" s="53" t="s">
        <v>50</v>
      </c>
      <c r="L67" s="55"/>
    </row>
    <row r="68" spans="1:12" ht="80.25" hidden="1" customHeight="1" x14ac:dyDescent="0.25">
      <c r="A68" s="6">
        <v>2</v>
      </c>
      <c r="B68" s="54">
        <v>43776</v>
      </c>
      <c r="C68" s="53" t="s">
        <v>150</v>
      </c>
      <c r="D68" s="49" t="s">
        <v>141</v>
      </c>
      <c r="E68" s="53" t="s">
        <v>140</v>
      </c>
      <c r="F68" s="48" t="s">
        <v>278</v>
      </c>
      <c r="G68" s="53" t="s">
        <v>96</v>
      </c>
      <c r="H68" s="53" t="s">
        <v>10</v>
      </c>
      <c r="I68" s="41" t="s">
        <v>97</v>
      </c>
      <c r="J68" s="53" t="s">
        <v>51</v>
      </c>
      <c r="K68" s="53" t="s">
        <v>50</v>
      </c>
      <c r="L68" s="55"/>
    </row>
    <row r="69" spans="1:12" ht="80.25" hidden="1" customHeight="1" x14ac:dyDescent="0.25">
      <c r="A69" s="6">
        <v>3</v>
      </c>
      <c r="B69" s="54">
        <v>43775</v>
      </c>
      <c r="C69" s="53" t="s">
        <v>137</v>
      </c>
      <c r="D69" s="49" t="s">
        <v>80</v>
      </c>
      <c r="E69" s="53" t="s">
        <v>138</v>
      </c>
      <c r="F69" s="48" t="s">
        <v>277</v>
      </c>
      <c r="G69" s="53" t="s">
        <v>139</v>
      </c>
      <c r="H69" s="53" t="s">
        <v>10</v>
      </c>
      <c r="I69" s="41" t="s">
        <v>109</v>
      </c>
      <c r="J69" s="53" t="s">
        <v>65</v>
      </c>
      <c r="K69" s="53" t="s">
        <v>216</v>
      </c>
      <c r="L69" s="55"/>
    </row>
    <row r="70" spans="1:12" ht="66.75" hidden="1" customHeight="1" x14ac:dyDescent="0.25">
      <c r="A70" s="6">
        <v>4</v>
      </c>
      <c r="B70" s="54">
        <v>43731</v>
      </c>
      <c r="C70" s="53" t="s">
        <v>112</v>
      </c>
      <c r="D70" s="49" t="s">
        <v>111</v>
      </c>
      <c r="E70" s="53" t="s">
        <v>92</v>
      </c>
      <c r="F70" s="48" t="s">
        <v>277</v>
      </c>
      <c r="G70" s="53" t="s">
        <v>93</v>
      </c>
      <c r="H70" s="53" t="s">
        <v>10</v>
      </c>
      <c r="I70" s="41" t="s">
        <v>94</v>
      </c>
      <c r="J70" s="53" t="s">
        <v>51</v>
      </c>
      <c r="K70" s="53" t="s">
        <v>144</v>
      </c>
      <c r="L70" s="55" t="s">
        <v>143</v>
      </c>
    </row>
    <row r="71" spans="1:12" ht="90" hidden="1" customHeight="1" x14ac:dyDescent="0.25">
      <c r="A71" s="6">
        <v>5</v>
      </c>
      <c r="B71" s="54">
        <v>43731</v>
      </c>
      <c r="C71" s="53" t="s">
        <v>112</v>
      </c>
      <c r="D71" s="49" t="s">
        <v>78</v>
      </c>
      <c r="E71" s="53" t="s">
        <v>95</v>
      </c>
      <c r="F71" s="48" t="s">
        <v>278</v>
      </c>
      <c r="G71" s="53" t="s">
        <v>96</v>
      </c>
      <c r="H71" s="53" t="s">
        <v>10</v>
      </c>
      <c r="I71" s="41" t="s">
        <v>97</v>
      </c>
      <c r="J71" s="53" t="s">
        <v>65</v>
      </c>
      <c r="K71" s="53" t="s">
        <v>216</v>
      </c>
      <c r="L71" s="55"/>
    </row>
    <row r="72" spans="1:12" ht="53.25" hidden="1" customHeight="1" x14ac:dyDescent="0.25">
      <c r="A72" s="6">
        <v>6</v>
      </c>
      <c r="B72" s="54">
        <v>43724</v>
      </c>
      <c r="C72" s="53" t="s">
        <v>112</v>
      </c>
      <c r="D72" s="49" t="s">
        <v>80</v>
      </c>
      <c r="E72" s="53" t="s">
        <v>98</v>
      </c>
      <c r="F72" s="48" t="s">
        <v>278</v>
      </c>
      <c r="G72" s="53" t="s">
        <v>100</v>
      </c>
      <c r="H72" s="53" t="s">
        <v>10</v>
      </c>
      <c r="I72" s="41" t="s">
        <v>97</v>
      </c>
      <c r="J72" s="53" t="s">
        <v>65</v>
      </c>
      <c r="K72" s="53" t="s">
        <v>216</v>
      </c>
      <c r="L72" s="55"/>
    </row>
    <row r="73" spans="1:12" ht="45" hidden="1" x14ac:dyDescent="0.25">
      <c r="A73" s="6">
        <v>7</v>
      </c>
      <c r="B73" s="54">
        <v>43711</v>
      </c>
      <c r="C73" s="53" t="s">
        <v>102</v>
      </c>
      <c r="D73" s="49" t="s">
        <v>113</v>
      </c>
      <c r="E73" s="53" t="s">
        <v>101</v>
      </c>
      <c r="F73" s="48" t="s">
        <v>278</v>
      </c>
      <c r="G73" s="53" t="s">
        <v>100</v>
      </c>
      <c r="H73" s="53" t="s">
        <v>10</v>
      </c>
      <c r="I73" s="41" t="s">
        <v>94</v>
      </c>
      <c r="J73" s="53" t="s">
        <v>51</v>
      </c>
      <c r="K73" s="53" t="s">
        <v>144</v>
      </c>
      <c r="L73" s="55"/>
    </row>
    <row r="74" spans="1:12" ht="60" hidden="1" customHeight="1" x14ac:dyDescent="0.25">
      <c r="A74" s="6">
        <v>8</v>
      </c>
      <c r="B74" s="54">
        <v>43711</v>
      </c>
      <c r="C74" s="53" t="s">
        <v>102</v>
      </c>
      <c r="D74" s="49" t="s">
        <v>78</v>
      </c>
      <c r="E74" s="53" t="s">
        <v>103</v>
      </c>
      <c r="F74" s="48" t="s">
        <v>278</v>
      </c>
      <c r="G74" s="53" t="s">
        <v>96</v>
      </c>
      <c r="H74" s="53" t="s">
        <v>10</v>
      </c>
      <c r="I74" s="41" t="s">
        <v>94</v>
      </c>
      <c r="J74" s="53" t="s">
        <v>51</v>
      </c>
      <c r="K74" s="53" t="s">
        <v>144</v>
      </c>
      <c r="L74" s="55"/>
    </row>
    <row r="75" spans="1:12" ht="60" hidden="1" customHeight="1" x14ac:dyDescent="0.25">
      <c r="A75" s="6">
        <v>9</v>
      </c>
      <c r="B75" s="54">
        <v>43711</v>
      </c>
      <c r="C75" s="53" t="s">
        <v>106</v>
      </c>
      <c r="D75" s="49" t="s">
        <v>74</v>
      </c>
      <c r="E75" s="53" t="s">
        <v>104</v>
      </c>
      <c r="F75" s="48" t="s">
        <v>278</v>
      </c>
      <c r="G75" s="53" t="s">
        <v>105</v>
      </c>
      <c r="H75" s="53" t="s">
        <v>10</v>
      </c>
      <c r="I75" s="41" t="s">
        <v>94</v>
      </c>
      <c r="J75" s="53" t="s">
        <v>51</v>
      </c>
      <c r="K75" s="53" t="s">
        <v>50</v>
      </c>
      <c r="L75" s="55"/>
    </row>
    <row r="76" spans="1:12" ht="50.25" hidden="1" customHeight="1" x14ac:dyDescent="0.25">
      <c r="A76" s="6">
        <v>10</v>
      </c>
      <c r="B76" s="54">
        <v>43685</v>
      </c>
      <c r="C76" s="53" t="s">
        <v>107</v>
      </c>
      <c r="D76" s="49" t="s">
        <v>80</v>
      </c>
      <c r="E76" s="53" t="s">
        <v>72</v>
      </c>
      <c r="F76" s="48" t="s">
        <v>278</v>
      </c>
      <c r="G76" s="53" t="s">
        <v>100</v>
      </c>
      <c r="H76" s="53" t="s">
        <v>10</v>
      </c>
      <c r="I76" s="41" t="s">
        <v>94</v>
      </c>
      <c r="J76" s="53" t="s">
        <v>51</v>
      </c>
      <c r="K76" s="53" t="s">
        <v>144</v>
      </c>
      <c r="L76" s="55" t="s">
        <v>115</v>
      </c>
    </row>
    <row r="77" spans="1:12" ht="45" hidden="1" x14ac:dyDescent="0.25">
      <c r="A77" s="6">
        <v>11</v>
      </c>
      <c r="B77" s="54">
        <v>43681</v>
      </c>
      <c r="C77" s="53" t="s">
        <v>107</v>
      </c>
      <c r="D77" s="49" t="s">
        <v>80</v>
      </c>
      <c r="E77" s="53" t="s">
        <v>108</v>
      </c>
      <c r="F77" s="48" t="s">
        <v>278</v>
      </c>
      <c r="G77" s="53" t="s">
        <v>100</v>
      </c>
      <c r="H77" s="53" t="s">
        <v>10</v>
      </c>
      <c r="I77" s="41" t="s">
        <v>109</v>
      </c>
      <c r="J77" s="53" t="s">
        <v>65</v>
      </c>
      <c r="K77" s="53" t="s">
        <v>216</v>
      </c>
      <c r="L77" s="55"/>
    </row>
    <row r="78" spans="1:12" ht="45" hidden="1" x14ac:dyDescent="0.25">
      <c r="A78" s="6">
        <v>12</v>
      </c>
      <c r="B78" s="54">
        <v>43677</v>
      </c>
      <c r="C78" s="53" t="s">
        <v>107</v>
      </c>
      <c r="D78" s="49" t="s">
        <v>80</v>
      </c>
      <c r="E78" s="53" t="s">
        <v>110</v>
      </c>
      <c r="F78" s="48" t="s">
        <v>278</v>
      </c>
      <c r="G78" s="53" t="s">
        <v>100</v>
      </c>
      <c r="H78" s="53" t="s">
        <v>10</v>
      </c>
      <c r="I78" s="41" t="s">
        <v>109</v>
      </c>
      <c r="J78" s="53" t="s">
        <v>65</v>
      </c>
      <c r="K78" s="53" t="s">
        <v>216</v>
      </c>
      <c r="L78" s="55"/>
    </row>
    <row r="79" spans="1:12" ht="109.5" hidden="1" customHeight="1" x14ac:dyDescent="0.25">
      <c r="A79" s="6">
        <v>13</v>
      </c>
      <c r="B79" s="54">
        <v>43642</v>
      </c>
      <c r="C79" s="53" t="s">
        <v>59</v>
      </c>
      <c r="D79" s="49" t="s">
        <v>60</v>
      </c>
      <c r="E79" s="53" t="s">
        <v>61</v>
      </c>
      <c r="F79" s="48" t="s">
        <v>278</v>
      </c>
      <c r="G79" s="53" t="s">
        <v>49</v>
      </c>
      <c r="H79" s="53" t="s">
        <v>10</v>
      </c>
      <c r="I79" s="41" t="s">
        <v>50</v>
      </c>
      <c r="J79" s="53" t="s">
        <v>51</v>
      </c>
      <c r="K79" s="53" t="s">
        <v>144</v>
      </c>
      <c r="L79" s="55" t="s">
        <v>146</v>
      </c>
    </row>
    <row r="80" spans="1:12" ht="90" hidden="1" customHeight="1" x14ac:dyDescent="0.25">
      <c r="A80" s="6">
        <v>14</v>
      </c>
      <c r="B80" s="54">
        <v>43628</v>
      </c>
      <c r="C80" s="53" t="s">
        <v>62</v>
      </c>
      <c r="D80" s="49" t="s">
        <v>63</v>
      </c>
      <c r="E80" s="53" t="s">
        <v>64</v>
      </c>
      <c r="F80" s="48" t="s">
        <v>278</v>
      </c>
      <c r="G80" s="53" t="s">
        <v>49</v>
      </c>
      <c r="H80" s="53" t="s">
        <v>10</v>
      </c>
      <c r="I80" s="41" t="s">
        <v>50</v>
      </c>
      <c r="J80" s="53" t="s">
        <v>65</v>
      </c>
      <c r="K80" s="53" t="s">
        <v>216</v>
      </c>
      <c r="L80" s="55" t="s">
        <v>67</v>
      </c>
    </row>
    <row r="81" spans="1:12" ht="75" hidden="1" customHeight="1" x14ac:dyDescent="0.25">
      <c r="A81" s="6">
        <v>15</v>
      </c>
      <c r="B81" s="54">
        <v>43620</v>
      </c>
      <c r="C81" s="53" t="s">
        <v>56</v>
      </c>
      <c r="D81" s="49" t="s">
        <v>57</v>
      </c>
      <c r="E81" s="53" t="s">
        <v>58</v>
      </c>
      <c r="F81" s="48" t="s">
        <v>278</v>
      </c>
      <c r="G81" s="53" t="s">
        <v>55</v>
      </c>
      <c r="H81" s="53" t="s">
        <v>114</v>
      </c>
      <c r="I81" s="41" t="s">
        <v>50</v>
      </c>
      <c r="J81" s="53" t="s">
        <v>51</v>
      </c>
      <c r="K81" s="53" t="s">
        <v>50</v>
      </c>
      <c r="L81" s="55"/>
    </row>
    <row r="82" spans="1:12" ht="90" hidden="1" customHeight="1" x14ac:dyDescent="0.25">
      <c r="A82" s="6">
        <v>16</v>
      </c>
      <c r="B82" s="54">
        <v>43616</v>
      </c>
      <c r="C82" s="53" t="s">
        <v>52</v>
      </c>
      <c r="D82" s="49" t="s">
        <v>53</v>
      </c>
      <c r="E82" s="53" t="s">
        <v>54</v>
      </c>
      <c r="F82" s="48" t="s">
        <v>278</v>
      </c>
      <c r="G82" s="53" t="s">
        <v>55</v>
      </c>
      <c r="H82" s="53" t="s">
        <v>10</v>
      </c>
      <c r="I82" s="41" t="s">
        <v>50</v>
      </c>
      <c r="J82" s="53" t="s">
        <v>51</v>
      </c>
      <c r="K82" s="53" t="s">
        <v>144</v>
      </c>
      <c r="L82" s="55"/>
    </row>
    <row r="83" spans="1:12" ht="76.5" hidden="1" customHeight="1" thickBot="1" x14ac:dyDescent="0.3">
      <c r="A83" s="7">
        <v>17</v>
      </c>
      <c r="B83" s="54">
        <v>43493</v>
      </c>
      <c r="C83" s="53" t="s">
        <v>46</v>
      </c>
      <c r="D83" s="49" t="s">
        <v>47</v>
      </c>
      <c r="E83" s="53" t="s">
        <v>48</v>
      </c>
      <c r="F83" s="48" t="s">
        <v>278</v>
      </c>
      <c r="G83" s="53" t="s">
        <v>49</v>
      </c>
      <c r="H83" s="53" t="s">
        <v>10</v>
      </c>
      <c r="I83" s="41" t="s">
        <v>50</v>
      </c>
      <c r="J83" s="53" t="s">
        <v>51</v>
      </c>
      <c r="K83" s="53" t="s">
        <v>144</v>
      </c>
      <c r="L83" s="55"/>
    </row>
    <row r="84" spans="1:12" customFormat="1" ht="65.25" hidden="1" customHeight="1" x14ac:dyDescent="0.25">
      <c r="A84" s="5">
        <v>1</v>
      </c>
      <c r="B84" s="54">
        <v>2018</v>
      </c>
      <c r="C84" s="53" t="s">
        <v>168</v>
      </c>
      <c r="D84" s="49" t="s">
        <v>169</v>
      </c>
      <c r="E84" s="53" t="s">
        <v>170</v>
      </c>
      <c r="F84" s="48" t="s">
        <v>278</v>
      </c>
      <c r="G84" s="53" t="s">
        <v>171</v>
      </c>
      <c r="H84" s="53" t="s">
        <v>10</v>
      </c>
      <c r="I84" s="41" t="s">
        <v>94</v>
      </c>
      <c r="J84" s="53" t="s">
        <v>51</v>
      </c>
      <c r="K84" s="53" t="s">
        <v>144</v>
      </c>
      <c r="L84" s="55"/>
    </row>
    <row r="85" spans="1:12" customFormat="1" ht="78" hidden="1" customHeight="1" x14ac:dyDescent="0.25">
      <c r="A85" s="6">
        <v>2</v>
      </c>
      <c r="B85" s="54">
        <v>2018</v>
      </c>
      <c r="C85" s="53" t="s">
        <v>172</v>
      </c>
      <c r="D85" s="49" t="s">
        <v>169</v>
      </c>
      <c r="E85" s="53" t="s">
        <v>173</v>
      </c>
      <c r="F85" s="48" t="s">
        <v>278</v>
      </c>
      <c r="G85" s="53" t="s">
        <v>171</v>
      </c>
      <c r="H85" s="53" t="s">
        <v>10</v>
      </c>
      <c r="I85" s="41" t="s">
        <v>94</v>
      </c>
      <c r="J85" s="53" t="s">
        <v>65</v>
      </c>
      <c r="K85" s="53" t="s">
        <v>216</v>
      </c>
      <c r="L85" s="55"/>
    </row>
    <row r="86" spans="1:12" customFormat="1" ht="46.5" hidden="1" customHeight="1" x14ac:dyDescent="0.25">
      <c r="A86" s="6">
        <v>3</v>
      </c>
      <c r="B86" s="54">
        <v>2018</v>
      </c>
      <c r="C86" s="53" t="s">
        <v>174</v>
      </c>
      <c r="D86" s="49" t="s">
        <v>169</v>
      </c>
      <c r="E86" s="53" t="s">
        <v>48</v>
      </c>
      <c r="F86" s="48" t="s">
        <v>278</v>
      </c>
      <c r="G86" s="53" t="s">
        <v>49</v>
      </c>
      <c r="H86" s="53" t="s">
        <v>10</v>
      </c>
      <c r="I86" s="41" t="s">
        <v>94</v>
      </c>
      <c r="J86" s="53" t="s">
        <v>65</v>
      </c>
      <c r="K86" s="53" t="s">
        <v>216</v>
      </c>
      <c r="L86" s="55" t="s">
        <v>175</v>
      </c>
    </row>
    <row r="87" spans="1:12" customFormat="1" ht="54.75" hidden="1" customHeight="1" x14ac:dyDescent="0.25">
      <c r="A87" s="6">
        <v>4</v>
      </c>
      <c r="B87" s="54">
        <v>2018</v>
      </c>
      <c r="C87" s="53" t="s">
        <v>176</v>
      </c>
      <c r="D87" s="49" t="s">
        <v>169</v>
      </c>
      <c r="E87" s="53" t="s">
        <v>177</v>
      </c>
      <c r="F87" s="48" t="s">
        <v>278</v>
      </c>
      <c r="G87" s="53" t="s">
        <v>49</v>
      </c>
      <c r="H87" s="53" t="s">
        <v>10</v>
      </c>
      <c r="I87" s="41" t="s">
        <v>109</v>
      </c>
      <c r="J87" s="53" t="s">
        <v>51</v>
      </c>
      <c r="K87" s="53" t="s">
        <v>144</v>
      </c>
      <c r="L87" s="55"/>
    </row>
    <row r="88" spans="1:12" customFormat="1" ht="40.5" hidden="1" customHeight="1" x14ac:dyDescent="0.25">
      <c r="A88" s="6">
        <v>5</v>
      </c>
      <c r="B88" s="54">
        <v>2018</v>
      </c>
      <c r="C88" s="53" t="s">
        <v>176</v>
      </c>
      <c r="D88" s="49" t="s">
        <v>169</v>
      </c>
      <c r="E88" s="53" t="s">
        <v>48</v>
      </c>
      <c r="F88" s="48" t="s">
        <v>278</v>
      </c>
      <c r="G88" s="53" t="s">
        <v>49</v>
      </c>
      <c r="H88" s="53" t="s">
        <v>10</v>
      </c>
      <c r="I88" s="41" t="s">
        <v>109</v>
      </c>
      <c r="J88" s="53" t="s">
        <v>65</v>
      </c>
      <c r="K88" s="53" t="s">
        <v>216</v>
      </c>
      <c r="L88" s="55" t="s">
        <v>175</v>
      </c>
    </row>
    <row r="89" spans="1:12" customFormat="1" ht="45" hidden="1" x14ac:dyDescent="0.25">
      <c r="A89" s="6">
        <v>6</v>
      </c>
      <c r="B89" s="54">
        <v>2018</v>
      </c>
      <c r="C89" s="53" t="s">
        <v>178</v>
      </c>
      <c r="D89" s="49" t="s">
        <v>169</v>
      </c>
      <c r="E89" s="53" t="s">
        <v>179</v>
      </c>
      <c r="F89" s="48" t="s">
        <v>277</v>
      </c>
      <c r="G89" s="53" t="s">
        <v>180</v>
      </c>
      <c r="H89" s="53" t="s">
        <v>10</v>
      </c>
      <c r="I89" s="41" t="s">
        <v>94</v>
      </c>
      <c r="J89" s="53" t="s">
        <v>51</v>
      </c>
      <c r="K89" s="53" t="s">
        <v>144</v>
      </c>
      <c r="L89" s="55"/>
    </row>
    <row r="90" spans="1:12" customFormat="1" ht="60.75" hidden="1" thickBot="1" x14ac:dyDescent="0.3">
      <c r="A90" s="7">
        <v>7</v>
      </c>
      <c r="B90" s="64">
        <v>2018</v>
      </c>
      <c r="C90" s="65" t="s">
        <v>176</v>
      </c>
      <c r="D90" s="66" t="s">
        <v>169</v>
      </c>
      <c r="E90" s="65" t="s">
        <v>181</v>
      </c>
      <c r="F90" s="67" t="s">
        <v>277</v>
      </c>
      <c r="G90" s="65" t="s">
        <v>180</v>
      </c>
      <c r="H90" s="65" t="s">
        <v>10</v>
      </c>
      <c r="I90" s="68" t="s">
        <v>182</v>
      </c>
      <c r="J90" s="65" t="s">
        <v>51</v>
      </c>
      <c r="K90" s="65" t="s">
        <v>144</v>
      </c>
      <c r="L90" s="69"/>
    </row>
  </sheetData>
  <mergeCells count="1">
    <mergeCell ref="D2:E2"/>
  </mergeCells>
  <hyperlinks>
    <hyperlink ref="C46" r:id="rId1" display="https://inia.a0-raptor.app/issues/CONCURSO-50"/>
    <hyperlink ref="C45" r:id="rId2" display="https://inia.a0-raptor.app/issues/CONCURSO-50"/>
    <hyperlink ref="G46" r:id="rId3" display="https://inia.a0-raptor.app/issues/USUARIO-53"/>
    <hyperlink ref="G45" r:id="rId4" display="https://inia.a0-raptor.app/issues/USUARIO-53"/>
  </hyperlinks>
  <pageMargins left="0.7" right="0.7" top="0.75" bottom="0.75" header="0.3" footer="0.3"/>
  <pageSetup paperSize="281" scale="62" fitToHeight="0" orientation="landscape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Perfiles </vt:lpstr>
      <vt:lpstr>Pys Post.</vt:lpstr>
      <vt:lpstr>Pys Privados-12 y ADirecta Publ</vt:lpstr>
      <vt:lpstr>Analisis pymay25</vt:lpstr>
      <vt:lpstr>Analisis perfiles may 25</vt:lpstr>
      <vt:lpstr>JC PErfiles</vt:lpstr>
      <vt:lpstr>Datos</vt:lpstr>
      <vt:lpstr>Perfiles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upse02</dc:creator>
  <cp:lastModifiedBy>Inves_Rayentue</cp:lastModifiedBy>
  <cp:lastPrinted>2020-01-07T20:24:18Z</cp:lastPrinted>
  <dcterms:created xsi:type="dcterms:W3CDTF">2019-02-06T15:17:46Z</dcterms:created>
  <dcterms:modified xsi:type="dcterms:W3CDTF">2026-04-30T18:51:19Z</dcterms:modified>
</cp:coreProperties>
</file>