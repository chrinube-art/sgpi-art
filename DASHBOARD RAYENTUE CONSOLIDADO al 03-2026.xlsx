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otebook UPSE01\Documents\Rayentué\UPSE- Rayentue\"/>
    </mc:Choice>
  </mc:AlternateContent>
  <bookViews>
    <workbookView xWindow="0" yWindow="0" windowWidth="20400" windowHeight="7365"/>
  </bookViews>
  <sheets>
    <sheet name="BBDD" sheetId="1" r:id="rId1"/>
    <sheet name="Hoja4" sheetId="15" r:id="rId2"/>
    <sheet name="KPIS" sheetId="2" r:id="rId3"/>
    <sheet name="DASHBOARD" sheetId="5" r:id="rId4"/>
    <sheet name="Resumen" sheetId="14" r:id="rId5"/>
    <sheet name="Hoja1" sheetId="6" state="hidden" r:id="rId6"/>
    <sheet name="Hoja3" sheetId="8" state="hidden" r:id="rId7"/>
    <sheet name="Hoja2" sheetId="7" state="hidden" r:id="rId8"/>
  </sheets>
  <definedNames>
    <definedName name="_xlnm.Print_Area" localSheetId="3">DASHBOARD!$B$147</definedName>
    <definedName name="SegmentaciónDeDatos_Dependencia">#N/A</definedName>
    <definedName name="SegmentaciónDeDatos_Estado_Proyecto">#N/A</definedName>
    <definedName name="SegmentaciónDeDatos_Jefe_Proyecto">#N/A</definedName>
    <definedName name="SegmentaciónDeDatos_Nombre_FF">#N/A</definedName>
  </definedNames>
  <calcPr calcId="152511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U3" i="1" l="1"/>
  <c r="U4" i="1"/>
  <c r="U11" i="1"/>
  <c r="U9" i="1" l="1"/>
  <c r="U5" i="1"/>
  <c r="N21" i="8" l="1"/>
  <c r="N20" i="8"/>
  <c r="N19" i="8"/>
  <c r="U6" i="1" l="1"/>
  <c r="U25" i="1" l="1"/>
  <c r="U36" i="1"/>
  <c r="P59" i="1" l="1"/>
  <c r="P64" i="1"/>
  <c r="Q63" i="1"/>
  <c r="U63" i="1" s="1"/>
  <c r="U70" i="1"/>
  <c r="U68" i="1"/>
  <c r="U69" i="1"/>
  <c r="U67" i="1"/>
  <c r="U66" i="1"/>
  <c r="U65" i="1"/>
  <c r="U64" i="1"/>
  <c r="U62" i="1"/>
  <c r="U61" i="1"/>
  <c r="U60" i="1"/>
  <c r="U59" i="1"/>
  <c r="U58" i="1"/>
  <c r="U56" i="1"/>
  <c r="U55" i="1"/>
  <c r="U54" i="1"/>
  <c r="U57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39" i="1"/>
  <c r="U40" i="1"/>
  <c r="U38" i="1"/>
  <c r="U37" i="1"/>
  <c r="U35" i="1"/>
  <c r="U34" i="1"/>
  <c r="U33" i="1"/>
  <c r="U32" i="1"/>
  <c r="U31" i="1"/>
  <c r="U30" i="1"/>
  <c r="U28" i="1"/>
  <c r="U29" i="1"/>
  <c r="U27" i="1"/>
  <c r="U26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0" i="1"/>
  <c r="U7" i="1"/>
  <c r="U8" i="1"/>
</calcChain>
</file>

<file path=xl/sharedStrings.xml><?xml version="1.0" encoding="utf-8"?>
<sst xmlns="http://schemas.openxmlformats.org/spreadsheetml/2006/main" count="1795" uniqueCount="294">
  <si>
    <t>Dependencia</t>
  </si>
  <si>
    <t>Código</t>
  </si>
  <si>
    <t>FF</t>
  </si>
  <si>
    <t>Otras FF</t>
  </si>
  <si>
    <t>Estado Código</t>
  </si>
  <si>
    <t>Estado Formulario</t>
  </si>
  <si>
    <t>Estado Acta Inicio</t>
  </si>
  <si>
    <t>Estado Contrato</t>
  </si>
  <si>
    <t>Título Proyecto</t>
  </si>
  <si>
    <t>Jefe Proyecto</t>
  </si>
  <si>
    <t>Estado Proyecto</t>
  </si>
  <si>
    <t>Desde</t>
  </si>
  <si>
    <t>Hasta</t>
  </si>
  <si>
    <t>Código Externo</t>
  </si>
  <si>
    <t>16 - Rayentue/Rayentue</t>
  </si>
  <si>
    <t>Activado</t>
  </si>
  <si>
    <t>Aprobado</t>
  </si>
  <si>
    <t>CARRASCO JIMENEZ, JORGE</t>
  </si>
  <si>
    <t>En Planificación</t>
  </si>
  <si>
    <t>2025-12-31</t>
  </si>
  <si>
    <t>Aprobada</t>
  </si>
  <si>
    <t>Totalmente Tramitado</t>
  </si>
  <si>
    <t>Convenio Manejo de Frutales</t>
  </si>
  <si>
    <t>OTAROLA ALIAGA, JAIME IGNACIO</t>
  </si>
  <si>
    <t>En Ejecución</t>
  </si>
  <si>
    <t>2016-06-01</t>
  </si>
  <si>
    <t>2025-11-28</t>
  </si>
  <si>
    <t>N/A</t>
  </si>
  <si>
    <t>Modificado</t>
  </si>
  <si>
    <t>Transferencia, prospección y manejo de hongos de la madera presentes en frutales de carozo</t>
  </si>
  <si>
    <t>Terminado</t>
  </si>
  <si>
    <t>2021-09-01</t>
  </si>
  <si>
    <t>2025-02-28</t>
  </si>
  <si>
    <t>DI 40027313-0</t>
  </si>
  <si>
    <t>Transferencia Ag Tech Invest Lab Innovation</t>
  </si>
  <si>
    <t>AGUIRRE AGUILERA, CRISTIAN</t>
  </si>
  <si>
    <t>2020-12-11</t>
  </si>
  <si>
    <t>2023-12-31</t>
  </si>
  <si>
    <t>IDI 40027315-0</t>
  </si>
  <si>
    <t>Contrato de prestación de servicios entre instituto de investigaciones agropecuarias (INIA) y Bioamerica S.A.</t>
  </si>
  <si>
    <t>2021-08-01</t>
  </si>
  <si>
    <t>2022-02-28</t>
  </si>
  <si>
    <t>DONOSO CONTRERAS, JOSE MANUEL</t>
  </si>
  <si>
    <t>Optimización sostenible de estrategias de fertilización y riego de quínoa en la región occidental de Sudamérica (Ecuador a Chile)</t>
  </si>
  <si>
    <t>ESTRADA BRAVO, FELIX RODOLFO</t>
  </si>
  <si>
    <t>2024-03-05</t>
  </si>
  <si>
    <t>2028-03-05</t>
  </si>
  <si>
    <t>GTT-ET PRODUCTORES SUSTENTABLES DE PICHIDEGUA</t>
  </si>
  <si>
    <t>VEGA CANDIA, BARBARA CHANTAL</t>
  </si>
  <si>
    <t>2020-03-01</t>
  </si>
  <si>
    <t>GTT en ajo</t>
  </si>
  <si>
    <t>2021-05-01</t>
  </si>
  <si>
    <t>2023-09-01</t>
  </si>
  <si>
    <t>GCA AGROECOLÓGICO EXTENSIONISTAS</t>
  </si>
  <si>
    <t>2023-11-21</t>
  </si>
  <si>
    <t>2020-04-01</t>
  </si>
  <si>
    <t>Fitomejoramiento de Frutales</t>
  </si>
  <si>
    <t>2010-10-01</t>
  </si>
  <si>
    <t>Fitomejoramiento de Quínoa</t>
  </si>
  <si>
    <t>2015-04-01</t>
  </si>
  <si>
    <t>Red Agrometeorológica Nacional</t>
  </si>
  <si>
    <t>JAÑA RAMIREZ, PABLO</t>
  </si>
  <si>
    <t>2003-01-01</t>
  </si>
  <si>
    <t>2009-01-01</t>
  </si>
  <si>
    <t>68
70</t>
  </si>
  <si>
    <t>Programa de innovación en el uso eficiente del recurso hídrico para la pequeña agricultura de la región de O’Higgins</t>
  </si>
  <si>
    <t>2021-12-15</t>
  </si>
  <si>
    <t>2024-05-31</t>
  </si>
  <si>
    <t>PYT-2021-0661</t>
  </si>
  <si>
    <t>Desarrollo de soluciones técnicas de manejo sustentable de suelos, agua y cultivos, para enfrentar los efectos del cambio climático en la pequeña agricultura del área de secano de la región de O`Higgins</t>
  </si>
  <si>
    <t>2021-12-01</t>
  </si>
  <si>
    <t>2025-03-31</t>
  </si>
  <si>
    <t>PYT-2021-0639</t>
  </si>
  <si>
    <t>Contrato de Prestación de Servicio de realización de Actividades de investigación y desarrollo para la USACH</t>
  </si>
  <si>
    <t>2022-04-01</t>
  </si>
  <si>
    <t>2024-02-29</t>
  </si>
  <si>
    <t>564162-321-SE22</t>
  </si>
  <si>
    <t>15
70</t>
  </si>
  <si>
    <t>Convenio de co-ejecución del proyecto  “Fortalecimiento de líneas primarias e intermedias de cerezos”   entre Biofrutales e INIA</t>
  </si>
  <si>
    <t>2022-01-01</t>
  </si>
  <si>
    <t>16PTECFN-66646-P8</t>
  </si>
  <si>
    <t>Contrato de prestación de servicios entre Instituto de Investigaciones Agropecuarias (INIA) e IN-PACTA SpA</t>
  </si>
  <si>
    <t>2022-01-03</t>
  </si>
  <si>
    <t>2022-04-30</t>
  </si>
  <si>
    <t>Seminarios, cursos, talleres y publicaciones</t>
  </si>
  <si>
    <t>2016-01-01</t>
  </si>
  <si>
    <t>46
70</t>
  </si>
  <si>
    <t>Paquete Tecnológico de portainjertos de Nogal</t>
  </si>
  <si>
    <t>LOBOS LOBOS, GIOVANNI ANDRES</t>
  </si>
  <si>
    <t>2017-01-02</t>
  </si>
  <si>
    <t>2024-03-31</t>
  </si>
  <si>
    <t>16PTECFN 66646 P2</t>
  </si>
  <si>
    <t>Reforzamiento del PMG Cerezos: líneas genéticas adaptadas a condiciones de baja oferta de frío invernal para la zona Norte</t>
  </si>
  <si>
    <t>2025-07-12</t>
  </si>
  <si>
    <t>16PTECFN 66646 P1</t>
  </si>
  <si>
    <t>Proyecto: Mejoramiento de la resiliencia al cambio climático de la pequeña agricultura en la región de O'Higgins, Chile</t>
  </si>
  <si>
    <t>FELMER ECHEVERRIA, SOFIA</t>
  </si>
  <si>
    <t>2017-12-26</t>
  </si>
  <si>
    <t>2022-08-31</t>
  </si>
  <si>
    <t>Transferencia control Mostaza Negra- El Loa</t>
  </si>
  <si>
    <t>2020-05-26</t>
  </si>
  <si>
    <t>2023-09-30</t>
  </si>
  <si>
    <t>BIP 40002794-0</t>
  </si>
  <si>
    <t>DISENTANGLING THE EPIGENETIC INFLUENCE ON FRUIT DEVELOPMENT AND RIPENING IN THREE STONE FRUITS (PRUNUS SPECIES).</t>
  </si>
  <si>
    <t>2023-03-31</t>
  </si>
  <si>
    <t>SAGREDO DIAZ, BORIS</t>
  </si>
  <si>
    <t>Deep insight in the cherry plant defense responses to bacterial canker disease in a scenario of water restriction</t>
  </si>
  <si>
    <t>2021-01-01</t>
  </si>
  <si>
    <t>ACTO190001</t>
  </si>
  <si>
    <t>Convenio de trabajo conjunto entre INIA e INNOVAK GLOBAL</t>
  </si>
  <si>
    <t>2021-04-12</t>
  </si>
  <si>
    <t>Continuidad Proyecto: Mejoramiento de la resiliencia al cambio climático de la pequeña agricultura en la región de O'Higgins, Chile</t>
  </si>
  <si>
    <t>ABARCA REYES, LUIS PATRICIO</t>
  </si>
  <si>
    <t>2022-02-01</t>
  </si>
  <si>
    <t>Convenio Investigación 2021-2022 entre INIA y Leonora Sepúlveda Micheas Spa</t>
  </si>
  <si>
    <t>2022-01-04</t>
  </si>
  <si>
    <t>2022-12-31</t>
  </si>
  <si>
    <t>Programa GET Agroecológico de producción de hortalizas con inclusión de capacidades diferentes</t>
  </si>
  <si>
    <t>2022-05-27</t>
  </si>
  <si>
    <t>2023-05-31</t>
  </si>
  <si>
    <t>2023-06-01</t>
  </si>
  <si>
    <t xml:space="preserve">Herramientas para determinar las características de la población del agente causal del cáncer bacterial en cerezos: Generando información clave para el desarrollo de estrategias sustentables de control </t>
  </si>
  <si>
    <t>2022-10-24</t>
  </si>
  <si>
    <t>2024-10-24</t>
  </si>
  <si>
    <t>ID22I10318</t>
  </si>
  <si>
    <t>Convenio de Asistencia Técnica y Transferencia Tecnológica INIA - San Vicente de Tagua Tagua</t>
  </si>
  <si>
    <t>2022-08-30</t>
  </si>
  <si>
    <t>2024-06-30</t>
  </si>
  <si>
    <t>Convenio de Colaboración INIA y Municipalidad de San Pedro Difusión de tecnologías de cultivos de trigo y triticale</t>
  </si>
  <si>
    <t>2022-12-26</t>
  </si>
  <si>
    <t>Caracterización e identificación de los factores genéticos de la resistencia al cáncer bacterial en cerezos (Prunus avium L.) presentes en cv Santina</t>
  </si>
  <si>
    <t>2023-04-01</t>
  </si>
  <si>
    <t>2027-04-01</t>
  </si>
  <si>
    <t>Aprovechamiento de la biodiversidad para mejorar el cultivo del tomate: desarrollo de portainjertos resistentes al estrés abiótico</t>
  </si>
  <si>
    <t>MARTINEZ CASTILLO, JUAN PABLO</t>
  </si>
  <si>
    <t>Transferencia bioinmunizador endófito para el control de plagas y enfermedades en cucurbitáceas.</t>
  </si>
  <si>
    <t>2023-04-28</t>
  </si>
  <si>
    <t>2026-04-30</t>
  </si>
  <si>
    <t>Optimización de la aplicación de biocontroladores de origen microbiano a través de diferentes técnicas de pulverización en cultivos agrícolas de importancia para la Región de O'Higgins</t>
  </si>
  <si>
    <t>2026-06-30</t>
  </si>
  <si>
    <t>Effect of Bacillus amyloliquefaciens on salt-tolerant INIA clonal rootstocks in "Old Limachino Tomato" grafted plants under saline stress.</t>
  </si>
  <si>
    <t>Plataforma interactiva para el desarrollo de mejoras en el control de plagas en cultivo de cítricos a través de la pulverización hidroneumática</t>
  </si>
  <si>
    <t>2023-08-01</t>
  </si>
  <si>
    <t>2026-07-31</t>
  </si>
  <si>
    <t>PYT-2023-0219</t>
  </si>
  <si>
    <t>Sin Código</t>
  </si>
  <si>
    <t>Programa de Transición a la Agricultura Sostenible - TAS</t>
  </si>
  <si>
    <t>2023-07-01</t>
  </si>
  <si>
    <t>2025-07-31</t>
  </si>
  <si>
    <t>Convenio de Colaboración Técnica y Transferencia Tecnológica INIA - Municipalidad de Pichidegua</t>
  </si>
  <si>
    <t>2023-07-03</t>
  </si>
  <si>
    <t>2024-12-31</t>
  </si>
  <si>
    <t>GET Manejo agronómico de frutales de carozos</t>
  </si>
  <si>
    <t>Investigación en análisis de las propiedades físicas y químicas de los suelos agrícolas afectados por anegamiento</t>
  </si>
  <si>
    <t>Nuevas estrategias de riego para el cultivo del nogal injertado sobre portainjertos clonales</t>
  </si>
  <si>
    <t>PYT-2023-0259</t>
  </si>
  <si>
    <t>70
13</t>
  </si>
  <si>
    <t>Transferencia tecnológica y revalorización de vides criollas y productos derivados con tradición patrimonial campesina para la Región de O'Higgins</t>
  </si>
  <si>
    <t>2024-06-01</t>
  </si>
  <si>
    <t>2026-05-31</t>
  </si>
  <si>
    <t>IDI 40059068-0</t>
  </si>
  <si>
    <t>2024-03-01</t>
  </si>
  <si>
    <t>Pendiente</t>
  </si>
  <si>
    <t>Cereales para el cambio climático en secano</t>
  </si>
  <si>
    <t>RUBILAR TORRES, FELIPE ANDRES</t>
  </si>
  <si>
    <t>Transferencia con biofiltros domiciliarios para la utilización de aguas grises con riego tecnificado</t>
  </si>
  <si>
    <t>CACERES CELEDON, EMILIO JOSE</t>
  </si>
  <si>
    <t>Transferencia soluciones técnicas para la recuperación de suelos en terrenos inundados</t>
  </si>
  <si>
    <t>IDI40059079-0</t>
  </si>
  <si>
    <t>Desarrollo de un sensor portátil (Optiriego) que optimiza el manejo de riego en tomates y uva vinífera</t>
  </si>
  <si>
    <t>2024-08-09</t>
  </si>
  <si>
    <t>2025-08-09</t>
  </si>
  <si>
    <t>SUC240189</t>
  </si>
  <si>
    <t xml:space="preserve">CONVENIO DE CO-EJECUCIÓN DEL SUBPROYECTO  NÚCLEO VARIETAL DE CEREZOS – SUBPROYECTO INIA  ENTRE BIOFRUTALES  E  INIA </t>
  </si>
  <si>
    <t>Validación de herramientas y tecnologías en frutales</t>
  </si>
  <si>
    <t>2025-02-01</t>
  </si>
  <si>
    <t>Empaquetamiento técnico y comercial de la primera variedad de cereza chilena para un mercado de alta exigencia en calidad</t>
  </si>
  <si>
    <t>2025-08-01</t>
  </si>
  <si>
    <t>2028-07-31</t>
  </si>
  <si>
    <t>PYT-2025-0172</t>
  </si>
  <si>
    <t>CONVENIO DE COLABORACIÓN TÉCNICA Y TRANSFERENCIA TECNOLÓGICA ENTRE ILUSTRE MUNICIPALIDAD DE PICHIDEGUA  Y EL INSTITUTO DE INVESTIGACIONES AGROPECUARIAS</t>
  </si>
  <si>
    <t>2025-07-22</t>
  </si>
  <si>
    <t>Desarrollo de la agricultura urbana y periurbana como alternativa de desarrollo sostenible para la producción de alimentos en la Región de O`Higgins.</t>
  </si>
  <si>
    <t>Sistema de detección y alerta en tiempo real  para el control preventivo y oportuno de las principales enfermedades de madera que afectan a los frutales de carozo</t>
  </si>
  <si>
    <t>ALTIMIRA PASSALACQUA, FABIOLA</t>
  </si>
  <si>
    <t>15
46
70</t>
  </si>
  <si>
    <t>CONVENIO DE SUBCONTRATACIÓN SUBPROYECTO NÚCLEO VARIETAL DE CEREZOS  ENTRE BIOFRUTALES E INIA</t>
  </si>
  <si>
    <t>2025-09-12</t>
  </si>
  <si>
    <t>2028-04-12</t>
  </si>
  <si>
    <t>23CTEC-250093-P2</t>
  </si>
  <si>
    <t>Programa de Transición a la Agricultura Sostenible - TAS año 3 - O'higgins</t>
  </si>
  <si>
    <t>2025-10-08</t>
  </si>
  <si>
    <t>2027-10-31</t>
  </si>
  <si>
    <t/>
  </si>
  <si>
    <t>15 - Rayentue/Hidango</t>
  </si>
  <si>
    <t>GCA Zona Sur - Transferencia de Tecnologías y Alternativas forrajeras para zonas de secano y adaptadas al cambio climático.</t>
  </si>
  <si>
    <t>2020-08-01</t>
  </si>
  <si>
    <t>GCA zona Norte -Transferencia de Tecnologías y Alternativas forrajeras para zonas de secano y adaptadas al cambio climático.</t>
  </si>
  <si>
    <t>Fitomejoramiento de trigo</t>
  </si>
  <si>
    <t>Determinación de las bases fisiológicas de la adaptación de genotipos de trigo candeal de INIA a condiciones de sequía en el secano mediterráneo de Chile</t>
  </si>
  <si>
    <t>ALFARO JARA, CHRISTIAN EUGENIO</t>
  </si>
  <si>
    <t>2020-03-12</t>
  </si>
  <si>
    <t>2023-04-15</t>
  </si>
  <si>
    <t>Desarrollo genético y productivo de la raza ovina Hidango</t>
  </si>
  <si>
    <t>QUEZADA JARA, MARCELO</t>
  </si>
  <si>
    <t>Programa de Encuentros Tecnológicos (PET) Hidango</t>
  </si>
  <si>
    <t>2023-12-26</t>
  </si>
  <si>
    <t>GET Ovinos del secano</t>
  </si>
  <si>
    <t>GET Cultivos Secano La Estrella</t>
  </si>
  <si>
    <t>Transferencia de un paquete tecnológico para el control de ataques de depredadores en ovinos del secano costero de O’Higgins.</t>
  </si>
  <si>
    <t>PECUNIO ASOCIADO</t>
  </si>
  <si>
    <t>NO PECUNIO ASOCIADO</t>
  </si>
  <si>
    <t>PECUNIO INIA</t>
  </si>
  <si>
    <t>NO PECUNIO INIA</t>
  </si>
  <si>
    <t>TOTAL PROYECTO</t>
  </si>
  <si>
    <t>MONTO FF</t>
  </si>
  <si>
    <t>Etiquetas de fila</t>
  </si>
  <si>
    <t>Total general</t>
  </si>
  <si>
    <t>Nombre FF</t>
  </si>
  <si>
    <t>Subsecretaria</t>
  </si>
  <si>
    <t>FIA</t>
  </si>
  <si>
    <t>Convenio Privado</t>
  </si>
  <si>
    <t>Innova</t>
  </si>
  <si>
    <t>Convenio Municipal</t>
  </si>
  <si>
    <t>Gobierno Regional</t>
  </si>
  <si>
    <t>MinCiencias</t>
  </si>
  <si>
    <t>Cuenta de Nombre FF</t>
  </si>
  <si>
    <t>Suma de MONTO FF</t>
  </si>
  <si>
    <t>Suma de PECUNIO ASOCIADO</t>
  </si>
  <si>
    <t>Cuenta de Estado Proyecto</t>
  </si>
  <si>
    <t>Cursos y Seminarios</t>
  </si>
  <si>
    <t>Fondef</t>
  </si>
  <si>
    <t>Indap</t>
  </si>
  <si>
    <t>FNDR</t>
  </si>
  <si>
    <t>Fondecyt</t>
  </si>
  <si>
    <t>Contratos Internacionales</t>
  </si>
  <si>
    <t>Prestación de Servicio con Públicos</t>
  </si>
  <si>
    <t>Conicyt</t>
  </si>
  <si>
    <t>Consorcio Biofrutales</t>
  </si>
  <si>
    <t>RIQUELME TOLEDO, DANAE</t>
  </si>
  <si>
    <t>Transferencia del diagnóstico y manejo integrado de enfermedades del almendro: estrategias innovadoras para aumentar la competitividad del cultivo en la región de ohiggins</t>
  </si>
  <si>
    <t>Proyectos por CRI</t>
  </si>
  <si>
    <t>Proyectos por FF</t>
  </si>
  <si>
    <t>Proyectos por IR</t>
  </si>
  <si>
    <t>$ Capturada por FF</t>
  </si>
  <si>
    <t>Cant. Proyectos por FF x IR</t>
  </si>
  <si>
    <t>$ Capturado por IR en PY</t>
  </si>
  <si>
    <t>Cant. PY por Estado</t>
  </si>
  <si>
    <t>$ por Estado PY</t>
  </si>
  <si>
    <t xml:space="preserve">ado </t>
  </si>
  <si>
    <t>Título de Proyecto</t>
  </si>
  <si>
    <t>Jefe/a de Proyecto</t>
  </si>
  <si>
    <t>Fuente de Financiamiento</t>
  </si>
  <si>
    <t>Fecha de postulación</t>
  </si>
  <si>
    <t>Fecha estimada de resultados</t>
  </si>
  <si>
    <t>Observación/ Comentarios</t>
  </si>
  <si>
    <t>Viraliza Agro Tech O’Higgins (Viraliza Eventos 2025)</t>
  </si>
  <si>
    <t>Innova- Corfo</t>
  </si>
  <si>
    <t>Optiriego Plus: Aceleramiento del desarrollo tecnológico y comercial del sensor Optiriego para optimizar el manejo del riego en uva vinífera (Startup Ciencia 2026)</t>
  </si>
  <si>
    <t>ANID</t>
  </si>
  <si>
    <t>Ejecutor Principal Empresa  Yummy Tech Ltda</t>
  </si>
  <si>
    <t>Desarrollo y validación de modelos de predicción genómica en cerezo para una selección anticipada y precisa de nuevas variedades</t>
  </si>
  <si>
    <t>UCHILE - Universidad de Chile</t>
  </si>
  <si>
    <t>Herramienta digital para la inspección de pulverizadores hidroneumáticos utilizados en huertos frutales</t>
  </si>
  <si>
    <t>Estrategias para mitigar el daño por piel de lagarto en cerezas de exportación</t>
  </si>
  <si>
    <t>Validación de un modelo de alerta preventiva contra los principales hongos de madera que afectan al cultivo del cerezo para mantener los estándares de calidad y competitividad en el mercado</t>
  </si>
  <si>
    <t>Disentangling the epigenetic influence on differentiation of fruit development between early and late varieties in sweet cherry (Prunus avium)</t>
  </si>
  <si>
    <t>Improving salinity tolerance in ‘Old Limachino Tomato’ through grafting onto two clonal rootstocks derived from reciprocal interspecific crosses between cultivated and wild tomato genotypes</t>
  </si>
  <si>
    <t>FONDECYT</t>
  </si>
  <si>
    <t>Identification of stable and heritable physiological traits for the selection of drought-tolerant quinoa (Chenopodium quinoa Willd.) genotypes under drought environments</t>
  </si>
  <si>
    <t>Gestión eficiente del agua de riego de Convento Viejo 2: diagnóstico de suelos, riego y cultivos en las comunas de Lolol, Pumanque y Marchigue</t>
  </si>
  <si>
    <t>Etapa de Negociación</t>
  </si>
  <si>
    <t>En Concurso</t>
  </si>
  <si>
    <t>Ejecutor Principal UOH, en etapa de negociación</t>
  </si>
  <si>
    <t>Proyectos en etapa de evaluación en el Gobierno Regional u otras FF externas, en concurso o negociación</t>
  </si>
  <si>
    <t>Proyectos Ejecutados</t>
  </si>
  <si>
    <t xml:space="preserve">Título Proyecto </t>
  </si>
  <si>
    <t>Jefe de Proyecto</t>
  </si>
  <si>
    <t>Fecha inicio (dd/mm/aa)</t>
  </si>
  <si>
    <t>Fecha término (dd/mm/aa)</t>
  </si>
  <si>
    <t>Observación/</t>
  </si>
  <si>
    <r>
      <t>a)</t>
    </r>
    <r>
      <rPr>
        <b/>
        <sz val="7"/>
        <rFont val="Times New Roman"/>
        <family val="1"/>
      </rPr>
      <t xml:space="preserve">                  </t>
    </r>
    <r>
      <rPr>
        <b/>
        <sz val="11"/>
        <rFont val="Calibri"/>
        <family val="2"/>
      </rPr>
      <t>Proyectos ejecutados en el periodo 2022-2025.</t>
    </r>
  </si>
  <si>
    <t>CQ MASSO GROUP CHILE SPA</t>
  </si>
  <si>
    <t>Titulo Contrato</t>
  </si>
  <si>
    <t>Empresa contratante</t>
  </si>
  <si>
    <t>Observación/ Comentario</t>
  </si>
  <si>
    <t>Planificación</t>
  </si>
  <si>
    <t>COC-2025-0308</t>
  </si>
  <si>
    <t>$ Total FF</t>
  </si>
  <si>
    <t>IR</t>
  </si>
  <si>
    <t>Fuente F.</t>
  </si>
  <si>
    <t>N° de Proyectos</t>
  </si>
  <si>
    <t>$Total FF</t>
  </si>
  <si>
    <t>Total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</si>
</sst>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42" formatCode="_ &quot;$&quot;* #,##0_ ;_ &quot;$&quot;* \-#,##0_ ;_ &quot;$&quot;* &quot;-&quot;_ ;_ @_ "/>
  </numFmts>
  <fonts count="14" x14ac:knownFonts="1">
    <font>
      <sz val="11"/>
      <name val="Arial"/>
      <family val="1"/>
    </font>
    <font>
      <sz val="11"/>
      <name val="Arial"/>
      <family val="1"/>
    </font>
    <font>
      <b/>
      <sz val="1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b/>
      <sz val="7"/>
      <name val="Times New Roman"/>
      <family val="1"/>
    </font>
    <font>
      <b/>
      <sz val="8"/>
      <name val="Arial"/>
      <family val="1"/>
    </font>
    <font>
      <sz val="8"/>
      <name val="Arial"/>
      <family val="1"/>
    </font>
    <font>
      <sz val="8"/>
      <name val="Arial"/>
      <family val="2"/>
    </font>
    <font>
      <sz val="11"/>
      <color rgb="FF333333"/>
      <name val="Helvetica"/>
      <family val="2"/>
    </font>
    <font>
      <b/>
      <sz val="11"/>
      <color theme="0"/>
      <name val="Arial"/>
      <family val="1"/>
    </font>
    <font>
      <sz val="11"/>
      <color theme="0"/>
      <name val="Arial"/>
      <family val="1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9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wrapText="1"/>
    </xf>
    <xf numFmtId="42" fontId="0" fillId="0" borderId="4" xfId="1" applyFont="1" applyBorder="1" applyAlignment="1">
      <alignment horizontal="left" vertical="top" wrapText="1"/>
    </xf>
    <xf numFmtId="42" fontId="0" fillId="0" borderId="0" xfId="1" applyFont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2" fontId="0" fillId="0" borderId="0" xfId="0" applyNumberFormat="1"/>
    <xf numFmtId="0" fontId="0" fillId="5" borderId="0" xfId="0" applyFill="1"/>
    <xf numFmtId="0" fontId="2" fillId="0" borderId="0" xfId="0" applyNumberFormat="1" applyFont="1"/>
    <xf numFmtId="0" fontId="2" fillId="0" borderId="0" xfId="0" applyFont="1"/>
    <xf numFmtId="42" fontId="2" fillId="0" borderId="0" xfId="1" applyFont="1"/>
    <xf numFmtId="42" fontId="2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4" fontId="5" fillId="6" borderId="8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4" fillId="0" borderId="0" xfId="0" applyFont="1"/>
    <xf numFmtId="0" fontId="4" fillId="0" borderId="9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14" fontId="0" fillId="0" borderId="0" xfId="0" applyNumberFormat="1"/>
    <xf numFmtId="14" fontId="0" fillId="0" borderId="0" xfId="1" applyNumberFormat="1" applyFont="1"/>
    <xf numFmtId="0" fontId="4" fillId="0" borderId="0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top" wrapText="1"/>
    </xf>
    <xf numFmtId="14" fontId="0" fillId="0" borderId="8" xfId="0" applyNumberForma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justify" vertical="center" wrapText="1"/>
    </xf>
    <xf numFmtId="0" fontId="0" fillId="0" borderId="16" xfId="0" applyBorder="1"/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14" fontId="0" fillId="0" borderId="19" xfId="0" applyNumberFormat="1" applyBorder="1" applyAlignment="1">
      <alignment horizontal="left" vertical="top" wrapText="1"/>
    </xf>
    <xf numFmtId="0" fontId="0" fillId="0" borderId="20" xfId="0" applyBorder="1"/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/>
    <xf numFmtId="14" fontId="3" fillId="0" borderId="8" xfId="0" applyNumberFormat="1" applyFont="1" applyBorder="1" applyAlignment="1">
      <alignment horizontal="left" vertical="top" wrapText="1"/>
    </xf>
    <xf numFmtId="0" fontId="7" fillId="2" borderId="5" xfId="0" applyFont="1" applyFill="1" applyBorder="1" applyAlignment="1">
      <alignment wrapText="1"/>
    </xf>
    <xf numFmtId="0" fontId="7" fillId="2" borderId="6" xfId="0" applyFont="1" applyFill="1" applyBorder="1" applyAlignment="1">
      <alignment wrapText="1"/>
    </xf>
    <xf numFmtId="14" fontId="7" fillId="2" borderId="6" xfId="0" applyNumberFormat="1" applyFont="1" applyFill="1" applyBorder="1" applyAlignment="1">
      <alignment wrapText="1"/>
    </xf>
    <xf numFmtId="42" fontId="7" fillId="3" borderId="7" xfId="1" applyFont="1" applyFill="1" applyBorder="1" applyAlignment="1">
      <alignment wrapText="1"/>
    </xf>
    <xf numFmtId="42" fontId="7" fillId="3" borderId="7" xfId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wrapText="1"/>
    </xf>
    <xf numFmtId="0" fontId="8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4" fontId="8" fillId="0" borderId="2" xfId="0" applyNumberFormat="1" applyFont="1" applyBorder="1" applyAlignment="1">
      <alignment horizontal="left" vertical="top" wrapText="1"/>
    </xf>
    <xf numFmtId="14" fontId="8" fillId="0" borderId="1" xfId="0" applyNumberFormat="1" applyFont="1" applyBorder="1" applyAlignment="1">
      <alignment horizontal="left" vertical="top" wrapText="1"/>
    </xf>
    <xf numFmtId="42" fontId="8" fillId="0" borderId="4" xfId="1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42" fontId="8" fillId="0" borderId="4" xfId="1" applyNumberFormat="1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14" fontId="8" fillId="0" borderId="23" xfId="0" applyNumberFormat="1" applyFont="1" applyBorder="1" applyAlignment="1">
      <alignment horizontal="left" vertical="top" wrapText="1"/>
    </xf>
    <xf numFmtId="42" fontId="8" fillId="0" borderId="21" xfId="1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0" xfId="0" applyFont="1"/>
    <xf numFmtId="0" fontId="9" fillId="0" borderId="22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14" fontId="9" fillId="0" borderId="23" xfId="0" applyNumberFormat="1" applyFont="1" applyBorder="1" applyAlignment="1">
      <alignment horizontal="left" vertical="top" wrapText="1"/>
    </xf>
    <xf numFmtId="42" fontId="9" fillId="0" borderId="21" xfId="1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6" fontId="10" fillId="0" borderId="0" xfId="0" applyNumberFormat="1" applyFont="1"/>
    <xf numFmtId="0" fontId="13" fillId="7" borderId="3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13" fillId="7" borderId="2" xfId="0" applyFont="1" applyFill="1" applyBorder="1" applyAlignment="1">
      <alignment horizontal="left" vertical="top" wrapText="1"/>
    </xf>
    <xf numFmtId="14" fontId="13" fillId="7" borderId="2" xfId="0" applyNumberFormat="1" applyFont="1" applyFill="1" applyBorder="1" applyAlignment="1">
      <alignment horizontal="left" vertical="top" wrapText="1"/>
    </xf>
    <xf numFmtId="14" fontId="13" fillId="7" borderId="1" xfId="0" applyNumberFormat="1" applyFont="1" applyFill="1" applyBorder="1" applyAlignment="1">
      <alignment horizontal="left" vertical="top" wrapText="1"/>
    </xf>
    <xf numFmtId="42" fontId="13" fillId="7" borderId="4" xfId="1" applyFont="1" applyFill="1" applyBorder="1" applyAlignment="1">
      <alignment horizontal="left" vertical="top" wrapText="1"/>
    </xf>
    <xf numFmtId="42" fontId="13" fillId="7" borderId="4" xfId="1" applyNumberFormat="1" applyFont="1" applyFill="1" applyBorder="1" applyAlignment="1">
      <alignment horizontal="left" vertical="top" wrapText="1"/>
    </xf>
    <xf numFmtId="0" fontId="13" fillId="7" borderId="4" xfId="0" applyFont="1" applyFill="1" applyBorder="1" applyAlignment="1">
      <alignment horizontal="left" vertical="top" wrapText="1"/>
    </xf>
    <xf numFmtId="6" fontId="13" fillId="7" borderId="4" xfId="1" applyNumberFormat="1" applyFont="1" applyFill="1" applyBorder="1" applyAlignment="1">
      <alignment horizontal="left" vertical="top" wrapText="1"/>
    </xf>
    <xf numFmtId="42" fontId="11" fillId="7" borderId="7" xfId="1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wrapText="1"/>
    </xf>
    <xf numFmtId="0" fontId="11" fillId="7" borderId="6" xfId="0" applyFont="1" applyFill="1" applyBorder="1" applyAlignment="1">
      <alignment horizontal="center" wrapText="1"/>
    </xf>
    <xf numFmtId="14" fontId="11" fillId="7" borderId="6" xfId="0" applyNumberFormat="1" applyFont="1" applyFill="1" applyBorder="1" applyAlignment="1">
      <alignment horizontal="center" wrapText="1"/>
    </xf>
    <xf numFmtId="42" fontId="11" fillId="7" borderId="7" xfId="1" applyFont="1" applyFill="1" applyBorder="1" applyAlignment="1">
      <alignment horizontal="center" wrapText="1"/>
    </xf>
    <xf numFmtId="0" fontId="11" fillId="7" borderId="7" xfId="0" applyFont="1" applyFill="1" applyBorder="1" applyAlignment="1">
      <alignment horizontal="center" wrapText="1"/>
    </xf>
    <xf numFmtId="0" fontId="12" fillId="7" borderId="24" xfId="0" applyFont="1" applyFill="1" applyBorder="1" applyAlignment="1">
      <alignment horizontal="center"/>
    </xf>
    <xf numFmtId="0" fontId="12" fillId="7" borderId="25" xfId="0" applyFont="1" applyFill="1" applyBorder="1" applyAlignment="1">
      <alignment horizontal="center"/>
    </xf>
    <xf numFmtId="0" fontId="11" fillId="7" borderId="26" xfId="0" applyFont="1" applyFill="1" applyBorder="1" applyAlignment="1">
      <alignment horizontal="left"/>
    </xf>
    <xf numFmtId="0" fontId="11" fillId="7" borderId="24" xfId="0" applyFont="1" applyFill="1" applyBorder="1" applyAlignment="1">
      <alignment horizontal="center"/>
    </xf>
    <xf numFmtId="42" fontId="11" fillId="7" borderId="25" xfId="0" applyNumberFormat="1" applyFont="1" applyFill="1" applyBorder="1" applyAlignment="1">
      <alignment horizontal="center"/>
    </xf>
    <xf numFmtId="0" fontId="11" fillId="7" borderId="25" xfId="0" applyFont="1" applyFill="1" applyBorder="1" applyAlignment="1">
      <alignment horizontal="center"/>
    </xf>
    <xf numFmtId="0" fontId="11" fillId="7" borderId="24" xfId="0" applyNumberFormat="1" applyFont="1" applyFill="1" applyBorder="1" applyAlignment="1">
      <alignment horizontal="center"/>
    </xf>
    <xf numFmtId="0" fontId="11" fillId="7" borderId="28" xfId="0" applyFont="1" applyFill="1" applyBorder="1" applyAlignment="1">
      <alignment horizontal="left"/>
    </xf>
    <xf numFmtId="0" fontId="12" fillId="7" borderId="26" xfId="0" applyFont="1" applyFill="1" applyBorder="1"/>
    <xf numFmtId="0" fontId="11" fillId="7" borderId="10" xfId="0" applyNumberFormat="1" applyFont="1" applyFill="1" applyBorder="1" applyAlignment="1">
      <alignment horizontal="center"/>
    </xf>
    <xf numFmtId="42" fontId="11" fillId="7" borderId="12" xfId="0" applyNumberFormat="1" applyFont="1" applyFill="1" applyBorder="1" applyAlignment="1">
      <alignment horizontal="center"/>
    </xf>
    <xf numFmtId="0" fontId="11" fillId="7" borderId="29" xfId="0" applyNumberFormat="1" applyFont="1" applyFill="1" applyBorder="1" applyAlignment="1">
      <alignment horizontal="center"/>
    </xf>
    <xf numFmtId="42" fontId="11" fillId="7" borderId="9" xfId="0" applyNumberFormat="1" applyFont="1" applyFill="1" applyBorder="1" applyAlignment="1">
      <alignment horizontal="center"/>
    </xf>
    <xf numFmtId="0" fontId="11" fillId="7" borderId="27" xfId="0" applyFont="1" applyFill="1" applyBorder="1" applyAlignment="1">
      <alignment horizontal="left"/>
    </xf>
    <xf numFmtId="0" fontId="11" fillId="7" borderId="24" xfId="0" applyFont="1" applyFill="1" applyBorder="1"/>
    <xf numFmtId="0" fontId="11" fillId="7" borderId="25" xfId="0" applyFont="1" applyFill="1" applyBorder="1"/>
    <xf numFmtId="0" fontId="11" fillId="7" borderId="30" xfId="0" applyFont="1" applyFill="1" applyBorder="1" applyAlignment="1">
      <alignment horizontal="left"/>
    </xf>
    <xf numFmtId="0" fontId="11" fillId="7" borderId="0" xfId="0" applyNumberFormat="1" applyFont="1" applyFill="1" applyAlignment="1">
      <alignment horizontal="center"/>
    </xf>
    <xf numFmtId="42" fontId="11" fillId="7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2" xfId="0" applyFont="1" applyFill="1" applyBorder="1" applyAlignment="1">
      <alignment horizontal="left" vertical="top" wrapText="1"/>
    </xf>
    <xf numFmtId="14" fontId="11" fillId="7" borderId="2" xfId="0" applyNumberFormat="1" applyFont="1" applyFill="1" applyBorder="1" applyAlignment="1">
      <alignment horizontal="left" vertical="top" wrapText="1"/>
    </xf>
    <xf numFmtId="42" fontId="11" fillId="7" borderId="4" xfId="1" applyFont="1" applyFill="1" applyBorder="1" applyAlignment="1">
      <alignment horizontal="left" vertical="top" wrapText="1"/>
    </xf>
    <xf numFmtId="42" fontId="11" fillId="7" borderId="4" xfId="1" applyNumberFormat="1" applyFont="1" applyFill="1" applyBorder="1" applyAlignment="1">
      <alignment horizontal="left" vertical="top" wrapText="1"/>
    </xf>
    <xf numFmtId="0" fontId="11" fillId="7" borderId="4" xfId="0" applyFont="1" applyFill="1" applyBorder="1" applyAlignment="1">
      <alignment horizontal="left" vertical="top" wrapText="1"/>
    </xf>
    <xf numFmtId="0" fontId="11" fillId="7" borderId="26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3" fillId="7" borderId="0" xfId="0" applyFont="1" applyFill="1"/>
    <xf numFmtId="0" fontId="13" fillId="7" borderId="24" xfId="0" applyFont="1" applyFill="1" applyBorder="1"/>
    <xf numFmtId="0" fontId="13" fillId="7" borderId="25" xfId="0" applyFont="1" applyFill="1" applyBorder="1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wrapText="1"/>
    </xf>
    <xf numFmtId="14" fontId="11" fillId="7" borderId="2" xfId="0" applyNumberFormat="1" applyFont="1" applyFill="1" applyBorder="1" applyAlignment="1">
      <alignment horizontal="center" wrapText="1"/>
    </xf>
    <xf numFmtId="42" fontId="11" fillId="7" borderId="4" xfId="1" applyFont="1" applyFill="1" applyBorder="1" applyAlignment="1">
      <alignment horizontal="center" wrapText="1"/>
    </xf>
    <xf numFmtId="42" fontId="11" fillId="7" borderId="4" xfId="1" applyFon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1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</dxf>
    <dxf>
      <font>
        <b/>
      </font>
    </dxf>
    <dxf>
      <font>
        <b/>
      </font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readingOrder="0"/>
    </dxf>
    <dxf>
      <alignment horizontal="center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alignment horizontal="center" readingOrder="0"/>
    </dxf>
    <dxf>
      <numFmt numFmtId="32" formatCode="_ &quot;$&quot;* #,##0_ ;_ &quot;$&quot;* \-#,##0_ ;_ &quot;$&quot;* &quot;-&quot;_ ;_ @_ 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32" formatCode="_ &quot;$&quot;* #,##0_ ;_ &quot;$&quot;* \-#,##0_ ;_ &quot;$&quot;* &quot;-&quot;_ ;_ @_ 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readingOrder="0"/>
    </dxf>
    <dxf>
      <alignment horizontal="center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32" formatCode="_ &quot;$&quot;* #,##0_ ;_ &quot;$&quot;* \-#,##0_ ;_ &quot;$&quot;* &quot;-&quot;_ ;_ @_ "/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 RAYENTUE CONSOLIDADO al 03-2026.xlsx]KPIS!Tabla 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Proyectos por Dependencia</a:t>
            </a:r>
          </a:p>
        </c:rich>
      </c:tx>
      <c:layout>
        <c:manualLayout>
          <c:xMode val="edge"/>
          <c:yMode val="edge"/>
          <c:x val="6.3576554264924243E-2"/>
          <c:y val="5.22141073487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140232586971185"/>
              <c:y val="2.93607507588534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666642912715946"/>
          <c:y val="0.12020691074616079"/>
          <c:w val="0.41697737095223658"/>
          <c:h val="0.67895785602050585"/>
        </c:manualLayout>
      </c:layout>
      <c:doughnutChart>
        <c:varyColors val="1"/>
        <c:ser>
          <c:idx val="0"/>
          <c:order val="0"/>
          <c:tx>
            <c:strRef>
              <c:f>KPIS!$C$3</c:f>
              <c:strCache>
                <c:ptCount val="1"/>
                <c:pt idx="0">
                  <c:v>Total</c:v>
                </c:pt>
              </c:strCache>
            </c:strRef>
          </c:tx>
          <c:explosion val="19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7140232586971185"/>
                  <c:y val="2.9360750758853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KPIS!$B$4:$B$5</c:f>
              <c:strCache>
                <c:ptCount val="1"/>
                <c:pt idx="0">
                  <c:v>16 - Rayentue/Rayentue</c:v>
                </c:pt>
              </c:strCache>
            </c:strRef>
          </c:cat>
          <c:val>
            <c:numRef>
              <c:f>KPIS!$C$4:$C$5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344132400782005"/>
          <c:y val="0.82820705940185568"/>
          <c:w val="0.41518150377567703"/>
          <c:h val="0.14670704623460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RAYENTUE CONSOLIDADO al 03-2026.xlsx]KPIS!Tabla 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Proyectos por IR</a:t>
            </a:r>
          </a:p>
        </c:rich>
      </c:tx>
      <c:layout>
        <c:manualLayout>
          <c:xMode val="edge"/>
          <c:yMode val="edge"/>
          <c:x val="0.39482905603331386"/>
          <c:y val="6.1606160616061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KPIS!$C$34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KPIS!$B$35:$B$50</c:f>
              <c:strCache>
                <c:ptCount val="15"/>
                <c:pt idx="0">
                  <c:v>ABARCA REYES, LUIS PATRICIO</c:v>
                </c:pt>
                <c:pt idx="1">
                  <c:v>AGUIRRE AGUILERA, CRISTIAN</c:v>
                </c:pt>
                <c:pt idx="2">
                  <c:v>ALTIMIRA PASSALACQUA, FABIOLA</c:v>
                </c:pt>
                <c:pt idx="3">
                  <c:v>CACERES CELEDON, EMILIO JOSE</c:v>
                </c:pt>
                <c:pt idx="4">
                  <c:v>CARRASCO JIMENEZ, JORGE</c:v>
                </c:pt>
                <c:pt idx="5">
                  <c:v>DONOSO CONTRERAS, JOSE MANUEL</c:v>
                </c:pt>
                <c:pt idx="6">
                  <c:v>ESTRADA BRAVO, FELIX RODOLFO</c:v>
                </c:pt>
                <c:pt idx="7">
                  <c:v>JAÑA RAMIREZ, PABLO</c:v>
                </c:pt>
                <c:pt idx="8">
                  <c:v>MARTINEZ CASTILLO, JUAN PABLO</c:v>
                </c:pt>
                <c:pt idx="9">
                  <c:v>OTAROLA ALIAGA, JAIME IGNACIO</c:v>
                </c:pt>
                <c:pt idx="10">
                  <c:v>QUEZADA JARA, MARCELO</c:v>
                </c:pt>
                <c:pt idx="11">
                  <c:v>RUBILAR TORRES, FELIPE ANDRES</c:v>
                </c:pt>
                <c:pt idx="12">
                  <c:v>SAGREDO DIAZ, BORIS</c:v>
                </c:pt>
                <c:pt idx="13">
                  <c:v>VEGA CANDIA, BARBARA CHANTAL</c:v>
                </c:pt>
                <c:pt idx="14">
                  <c:v>RIQUELME TOLEDO, DANAE</c:v>
                </c:pt>
              </c:strCache>
            </c:strRef>
          </c:cat>
          <c:val>
            <c:numRef>
              <c:f>KPIS!$C$35:$C$50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35543984"/>
        <c:axId val="835551600"/>
      </c:barChart>
      <c:catAx>
        <c:axId val="83554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551600"/>
        <c:crosses val="autoZero"/>
        <c:auto val="1"/>
        <c:lblAlgn val="ctr"/>
        <c:lblOffset val="100"/>
        <c:noMultiLvlLbl val="0"/>
      </c:catAx>
      <c:valAx>
        <c:axId val="835551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554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RAYENTUE CONSOLIDADO al 03-2026.xlsx]KPIS!Tabla 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Proyectos por F.F</a:t>
            </a:r>
          </a:p>
        </c:rich>
      </c:tx>
      <c:layout>
        <c:manualLayout>
          <c:xMode val="edge"/>
          <c:yMode val="edge"/>
          <c:x val="0.10148245215915964"/>
          <c:y val="0.1222108790100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317189740828406"/>
          <c:y val="0.25597914391845644"/>
          <c:w val="0.57178971602526529"/>
          <c:h val="0.645829393212717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KPIS!$B$12:$B$22</c:f>
              <c:strCache>
                <c:ptCount val="10"/>
                <c:pt idx="0">
                  <c:v>Convenio Municipal</c:v>
                </c:pt>
                <c:pt idx="1">
                  <c:v>Convenio Privado</c:v>
                </c:pt>
                <c:pt idx="2">
                  <c:v>FIA</c:v>
                </c:pt>
                <c:pt idx="3">
                  <c:v>Gobierno Regional</c:v>
                </c:pt>
                <c:pt idx="4">
                  <c:v>Subsecretaria</c:v>
                </c:pt>
                <c:pt idx="5">
                  <c:v>Cursos y Seminarios</c:v>
                </c:pt>
                <c:pt idx="6">
                  <c:v>Indap</c:v>
                </c:pt>
                <c:pt idx="7">
                  <c:v>Fondecyt</c:v>
                </c:pt>
                <c:pt idx="8">
                  <c:v>Contratos Internacionales</c:v>
                </c:pt>
                <c:pt idx="9">
                  <c:v>Prestación de Servicio con Públicos</c:v>
                </c:pt>
              </c:strCache>
            </c:strRef>
          </c:cat>
          <c:val>
            <c:numRef>
              <c:f>KPIS!$C$12:$C$22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5536368"/>
        <c:axId val="835548336"/>
      </c:barChart>
      <c:catAx>
        <c:axId val="835536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548336"/>
        <c:crosses val="autoZero"/>
        <c:auto val="1"/>
        <c:lblAlgn val="ctr"/>
        <c:lblOffset val="100"/>
        <c:noMultiLvlLbl val="0"/>
      </c:catAx>
      <c:valAx>
        <c:axId val="83554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5363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RAYENTUE CONSOLIDADO al 03-2026.xlsx]KPIS!Tabla dinámica12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$ Capturado por F.F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KPIS!$C$58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KPIS!$B$59:$B$69</c:f>
              <c:strCache>
                <c:ptCount val="10"/>
                <c:pt idx="0">
                  <c:v>Convenio Municipal</c:v>
                </c:pt>
                <c:pt idx="1">
                  <c:v>Convenio Privado</c:v>
                </c:pt>
                <c:pt idx="2">
                  <c:v>FIA</c:v>
                </c:pt>
                <c:pt idx="3">
                  <c:v>Gobierno Regional</c:v>
                </c:pt>
                <c:pt idx="4">
                  <c:v>Subsecretaria</c:v>
                </c:pt>
                <c:pt idx="5">
                  <c:v>Cursos y Seminarios</c:v>
                </c:pt>
                <c:pt idx="6">
                  <c:v>Indap</c:v>
                </c:pt>
                <c:pt idx="7">
                  <c:v>Fondecyt</c:v>
                </c:pt>
                <c:pt idx="8">
                  <c:v>Contratos Internacionales</c:v>
                </c:pt>
                <c:pt idx="9">
                  <c:v>Prestación de Servicio con Públicos</c:v>
                </c:pt>
              </c:strCache>
            </c:strRef>
          </c:cat>
          <c:val>
            <c:numRef>
              <c:f>KPIS!$C$59:$C$69</c:f>
              <c:numCache>
                <c:formatCode>_("$"* #,##0_);_("$"* \(#,##0\);_("$"* "-"_);_(@_)</c:formatCode>
                <c:ptCount val="10"/>
                <c:pt idx="0">
                  <c:v>16433519</c:v>
                </c:pt>
                <c:pt idx="1">
                  <c:v>19783933</c:v>
                </c:pt>
                <c:pt idx="2">
                  <c:v>663826271</c:v>
                </c:pt>
                <c:pt idx="3">
                  <c:v>1913732030</c:v>
                </c:pt>
                <c:pt idx="4">
                  <c:v>83377146</c:v>
                </c:pt>
                <c:pt idx="5">
                  <c:v>2755090</c:v>
                </c:pt>
                <c:pt idx="6">
                  <c:v>144659794</c:v>
                </c:pt>
                <c:pt idx="7">
                  <c:v>40800000</c:v>
                </c:pt>
                <c:pt idx="8">
                  <c:v>117622720</c:v>
                </c:pt>
                <c:pt idx="9">
                  <c:v>165000000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545072"/>
        <c:axId val="835549424"/>
      </c:lineChart>
      <c:catAx>
        <c:axId val="83554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549424"/>
        <c:crosses val="autoZero"/>
        <c:auto val="1"/>
        <c:lblAlgn val="ctr"/>
        <c:lblOffset val="100"/>
        <c:noMultiLvlLbl val="0"/>
      </c:catAx>
      <c:valAx>
        <c:axId val="835549424"/>
        <c:scaling>
          <c:orientation val="minMax"/>
        </c:scaling>
        <c:delete val="1"/>
        <c:axPos val="l"/>
        <c:numFmt formatCode="_(&quot;$&quot;* #,##0_);_(&quot;$&quot;* \(#,##0\);_(&quot;$&quot;* &quot;-&quot;_);_(@_)" sourceLinked="1"/>
        <c:majorTickMark val="out"/>
        <c:minorTickMark val="none"/>
        <c:tickLblPos val="nextTo"/>
        <c:crossAx val="83554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RAYENTUE CONSOLIDADO al 03-2026.xlsx]KPIS!Tabla dinámica7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$F.F Capturado por IR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KPIS!$I$3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KPIS!$H$4:$H$19</c:f>
              <c:strCache>
                <c:ptCount val="15"/>
                <c:pt idx="0">
                  <c:v>ABARCA REYES, LUIS PATRICIO</c:v>
                </c:pt>
                <c:pt idx="1">
                  <c:v>AGUIRRE AGUILERA, CRISTIAN</c:v>
                </c:pt>
                <c:pt idx="2">
                  <c:v>ALTIMIRA PASSALACQUA, FABIOLA</c:v>
                </c:pt>
                <c:pt idx="3">
                  <c:v>CACERES CELEDON, EMILIO JOSE</c:v>
                </c:pt>
                <c:pt idx="4">
                  <c:v>CARRASCO JIMENEZ, JORGE</c:v>
                </c:pt>
                <c:pt idx="5">
                  <c:v>DONOSO CONTRERAS, JOSE MANUEL</c:v>
                </c:pt>
                <c:pt idx="6">
                  <c:v>ESTRADA BRAVO, FELIX RODOLFO</c:v>
                </c:pt>
                <c:pt idx="7">
                  <c:v>JAÑA RAMIREZ, PABLO</c:v>
                </c:pt>
                <c:pt idx="8">
                  <c:v>MARTINEZ CASTILLO, JUAN PABLO</c:v>
                </c:pt>
                <c:pt idx="9">
                  <c:v>OTAROLA ALIAGA, JAIME IGNACIO</c:v>
                </c:pt>
                <c:pt idx="10">
                  <c:v>QUEZADA JARA, MARCELO</c:v>
                </c:pt>
                <c:pt idx="11">
                  <c:v>RUBILAR TORRES, FELIPE ANDRES</c:v>
                </c:pt>
                <c:pt idx="12">
                  <c:v>SAGREDO DIAZ, BORIS</c:v>
                </c:pt>
                <c:pt idx="13">
                  <c:v>VEGA CANDIA, BARBARA CHANTAL</c:v>
                </c:pt>
                <c:pt idx="14">
                  <c:v>RIQUELME TOLEDO, DANAE</c:v>
                </c:pt>
              </c:strCache>
            </c:strRef>
          </c:cat>
          <c:val>
            <c:numRef>
              <c:f>KPIS!$I$4:$I$19</c:f>
              <c:numCache>
                <c:formatCode>_("$"* #,##0_);_("$"* \(#,##0\);_("$"* "-"_);_(@_)</c:formatCode>
                <c:ptCount val="15"/>
                <c:pt idx="0">
                  <c:v>279262815</c:v>
                </c:pt>
                <c:pt idx="1">
                  <c:v>10559833</c:v>
                </c:pt>
                <c:pt idx="2">
                  <c:v>280000000</c:v>
                </c:pt>
                <c:pt idx="3">
                  <c:v>171900000</c:v>
                </c:pt>
                <c:pt idx="4">
                  <c:v>230006134</c:v>
                </c:pt>
                <c:pt idx="5">
                  <c:v>339624480</c:v>
                </c:pt>
                <c:pt idx="6">
                  <c:v>150570402</c:v>
                </c:pt>
                <c:pt idx="7">
                  <c:v>3245700</c:v>
                </c:pt>
                <c:pt idx="8">
                  <c:v>14814720</c:v>
                </c:pt>
                <c:pt idx="9">
                  <c:v>397943939</c:v>
                </c:pt>
                <c:pt idx="10">
                  <c:v>280000000</c:v>
                </c:pt>
                <c:pt idx="11">
                  <c:v>203909000</c:v>
                </c:pt>
                <c:pt idx="12">
                  <c:v>227120000</c:v>
                </c:pt>
                <c:pt idx="13">
                  <c:v>299033480</c:v>
                </c:pt>
                <c:pt idx="14">
                  <c:v>280000000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536912"/>
        <c:axId val="835542352"/>
      </c:lineChart>
      <c:catAx>
        <c:axId val="83553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542352"/>
        <c:crosses val="autoZero"/>
        <c:auto val="1"/>
        <c:lblAlgn val="ctr"/>
        <c:lblOffset val="100"/>
        <c:noMultiLvlLbl val="0"/>
      </c:catAx>
      <c:valAx>
        <c:axId val="835542352"/>
        <c:scaling>
          <c:orientation val="minMax"/>
        </c:scaling>
        <c:delete val="1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83553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RAYENTUE CONSOLIDADO al 03-2026.xlsx]KPIS!Tabla dinámica8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$ Pecunio Capturado por IR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KPIS!$I$28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KPIS!$H$29:$H$44</c:f>
              <c:strCache>
                <c:ptCount val="15"/>
                <c:pt idx="0">
                  <c:v>ABARCA REYES, LUIS PATRICIO</c:v>
                </c:pt>
                <c:pt idx="1">
                  <c:v>AGUIRRE AGUILERA, CRISTIAN</c:v>
                </c:pt>
                <c:pt idx="2">
                  <c:v>ALTIMIRA PASSALACQUA, FABIOLA</c:v>
                </c:pt>
                <c:pt idx="3">
                  <c:v>CACERES CELEDON, EMILIO JOSE</c:v>
                </c:pt>
                <c:pt idx="4">
                  <c:v>CARRASCO JIMENEZ, JORGE</c:v>
                </c:pt>
                <c:pt idx="5">
                  <c:v>DONOSO CONTRERAS, JOSE MANUEL</c:v>
                </c:pt>
                <c:pt idx="6">
                  <c:v>ESTRADA BRAVO, FELIX RODOLFO</c:v>
                </c:pt>
                <c:pt idx="7">
                  <c:v>JAÑA RAMIREZ, PABLO</c:v>
                </c:pt>
                <c:pt idx="8">
                  <c:v>MARTINEZ CASTILLO, JUAN PABLO</c:v>
                </c:pt>
                <c:pt idx="9">
                  <c:v>OTAROLA ALIAGA, JAIME IGNACIO</c:v>
                </c:pt>
                <c:pt idx="10">
                  <c:v>QUEZADA JARA, MARCELO</c:v>
                </c:pt>
                <c:pt idx="11">
                  <c:v>RUBILAR TORRES, FELIPE ANDRES</c:v>
                </c:pt>
                <c:pt idx="12">
                  <c:v>SAGREDO DIAZ, BORIS</c:v>
                </c:pt>
                <c:pt idx="13">
                  <c:v>VEGA CANDIA, BARBARA CHANTAL</c:v>
                </c:pt>
                <c:pt idx="14">
                  <c:v>RIQUELME TOLEDO, DANAE</c:v>
                </c:pt>
              </c:strCache>
            </c:strRef>
          </c:cat>
          <c:val>
            <c:numRef>
              <c:f>KPIS!$I$29:$I$44</c:f>
              <c:numCache>
                <c:formatCode>_("$"* #,##0_);_("$"* \(#,##0\);_("$"* "-"_);_(@_)</c:formatCode>
                <c:ptCount val="15"/>
                <c:pt idx="0">
                  <c:v>6800000</c:v>
                </c:pt>
                <c:pt idx="1">
                  <c:v>0</c:v>
                </c:pt>
                <c:pt idx="2">
                  <c:v>14000000</c:v>
                </c:pt>
                <c:pt idx="3">
                  <c:v>9249972</c:v>
                </c:pt>
                <c:pt idx="4">
                  <c:v>12300000</c:v>
                </c:pt>
                <c:pt idx="5">
                  <c:v>6000000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8000000</c:v>
                </c:pt>
                <c:pt idx="10">
                  <c:v>15000000</c:v>
                </c:pt>
                <c:pt idx="11">
                  <c:v>10200000</c:v>
                </c:pt>
                <c:pt idx="12">
                  <c:v>10500000</c:v>
                </c:pt>
                <c:pt idx="13">
                  <c:v>0</c:v>
                </c:pt>
                <c:pt idx="14">
                  <c:v>14000000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5522768"/>
        <c:axId val="835542896"/>
        <c:axId val="0"/>
      </c:bar3DChart>
      <c:catAx>
        <c:axId val="83552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542896"/>
        <c:crosses val="autoZero"/>
        <c:auto val="1"/>
        <c:lblAlgn val="ctr"/>
        <c:lblOffset val="100"/>
        <c:noMultiLvlLbl val="0"/>
      </c:catAx>
      <c:valAx>
        <c:axId val="835542896"/>
        <c:scaling>
          <c:orientation val="minMax"/>
        </c:scaling>
        <c:delete val="0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52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RAYENTUE CONSOLIDADO al 03-2026.xlsx]KPIS!Tabla dinámica9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Estado de Proyectos</a:t>
            </a:r>
          </a:p>
        </c:rich>
      </c:tx>
      <c:layout>
        <c:manualLayout>
          <c:xMode val="edge"/>
          <c:yMode val="edge"/>
          <c:x val="4.6136883461914982E-2"/>
          <c:y val="3.704801605681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6748105357543027E-3"/>
              <c:y val="-0.11699325819566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3051542397870512E-2"/>
              <c:y val="-2.6252894858730991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7.5041559578385448E-3"/>
              <c:y val="-0.102668931089496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KPIS!$I$51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Lbls>
            <c:dLbl>
              <c:idx val="0"/>
              <c:layout>
                <c:manualLayout>
                  <c:x val="7.5041559578385448E-3"/>
                  <c:y val="-0.10266893108949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KPIS!$H$52:$H$53</c:f>
              <c:strCache>
                <c:ptCount val="1"/>
                <c:pt idx="0">
                  <c:v>En Ejecución</c:v>
                </c:pt>
              </c:strCache>
            </c:strRef>
          </c:cat>
          <c:val>
            <c:numRef>
              <c:f>KPIS!$I$52:$I$53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99373568"/>
        <c:axId val="2100469648"/>
        <c:axId val="0"/>
      </c:bar3DChart>
      <c:catAx>
        <c:axId val="209937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00469648"/>
        <c:crosses val="autoZero"/>
        <c:auto val="1"/>
        <c:lblAlgn val="ctr"/>
        <c:lblOffset val="100"/>
        <c:noMultiLvlLbl val="0"/>
      </c:catAx>
      <c:valAx>
        <c:axId val="2100469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9937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RAYENTUE CONSOLIDADO al 03-2026.xlsx]KPIS!Tabla dinámica13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$ Según Estado del Proyecto</a:t>
            </a:r>
          </a:p>
        </c:rich>
      </c:tx>
      <c:layout>
        <c:manualLayout>
          <c:xMode val="edge"/>
          <c:yMode val="edge"/>
          <c:x val="1.6371528089325349E-2"/>
          <c:y val="4.8644913580587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6666666666666666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3333333333333333E-2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4999999999999974E-2"/>
              <c:y val="-2.77777777777778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4999999999999974E-2"/>
              <c:y val="-2.77777777777778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3333333333333333E-2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6666666666666666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7862958779508066E-4"/>
              <c:y val="-1.7511211311972516E-2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47EB1A65-C87C-4850-850D-011AE89D294A}" type="VALUE">
                  <a:rPr lang="en-US" sz="1050">
                    <a:solidFill>
                      <a:sysClr val="windowText" lastClr="000000"/>
                    </a:solidFill>
                  </a:rPr>
                  <a:pPr>
                    <a:defRPr sz="1050" b="1"/>
                  </a:pPr>
                  <a:t>[VALOR]</a:t>
                </a:fld>
                <a:endParaRPr lang="es-C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459147636182762"/>
                  <c:h val="0.16556315488693693"/>
                </c:manualLayout>
              </c15:layout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5308460526884475E-2"/>
              <c:y val="-5.67299280361704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818758888847044"/>
                  <c:h val="0.19080986503526182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5308460526884416E-2"/>
              <c:y val="-2.0564732973897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953015074170299"/>
                  <c:h val="0.16556315488693693"/>
                </c:manualLayout>
              </c15:layout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KPIS!$I$63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Lbls>
            <c:dLbl>
              <c:idx val="0"/>
              <c:layout>
                <c:manualLayout>
                  <c:x val="6.7862958779508066E-4"/>
                  <c:y val="-1.7511211311972516E-2"/>
                </c:manualLayout>
              </c:layout>
              <c:tx>
                <c:rich>
                  <a:bodyPr/>
                  <a:lstStyle/>
                  <a:p>
                    <a:fld id="{47EB1A65-C87C-4850-850D-011AE89D294A}" type="VALUE">
                      <a:rPr lang="en-US" sz="1050">
                        <a:solidFill>
                          <a:sysClr val="windowText" lastClr="000000"/>
                        </a:solidFill>
                      </a:rPr>
                      <a:pPr/>
                      <a:t>[VALOR]</a:t>
                    </a:fld>
                    <a:endParaRPr lang="es-CL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59147636182762"/>
                      <c:h val="0.16556315488693693"/>
                    </c:manualLayout>
                  </c15:layout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KPIS!$H$64:$H$65</c:f>
              <c:strCache>
                <c:ptCount val="1"/>
                <c:pt idx="0">
                  <c:v>En Ejecución</c:v>
                </c:pt>
              </c:strCache>
            </c:strRef>
          </c:cat>
          <c:val>
            <c:numRef>
              <c:f>KPIS!$I$64:$I$65</c:f>
              <c:numCache>
                <c:formatCode>_("$"* #,##0_);_("$"* \(#,##0\);_("$"* "-"_);_(@_)</c:formatCode>
                <c:ptCount val="1"/>
                <c:pt idx="0">
                  <c:v>3167990503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19191920"/>
        <c:axId val="1019192464"/>
        <c:axId val="0"/>
      </c:bar3DChart>
      <c:catAx>
        <c:axId val="101919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9192464"/>
        <c:crosses val="autoZero"/>
        <c:auto val="1"/>
        <c:lblAlgn val="ctr"/>
        <c:lblOffset val="100"/>
        <c:noMultiLvlLbl val="0"/>
      </c:catAx>
      <c:valAx>
        <c:axId val="1019192464"/>
        <c:scaling>
          <c:orientation val="minMax"/>
        </c:scaling>
        <c:delete val="1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101919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176892</xdr:colOff>
      <xdr:row>1</xdr:row>
      <xdr:rowOff>1855</xdr:rowOff>
    </xdr:from>
    <xdr:to>
      <xdr:col>0</xdr:col>
      <xdr:colOff>1782535</xdr:colOff>
      <xdr:row>13</xdr:row>
      <xdr:rowOff>231728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892" y="410069"/>
          <a:ext cx="1605643" cy="6108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204107</xdr:colOff>
      <xdr:row>1</xdr:row>
      <xdr:rowOff>51710</xdr:rowOff>
    </xdr:from>
    <xdr:to>
      <xdr:col>0</xdr:col>
      <xdr:colOff>1388758</xdr:colOff>
      <xdr:row>3</xdr:row>
      <xdr:rowOff>186369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07" y="228603"/>
          <a:ext cx="1184651" cy="4884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209550</xdr:colOff>
      <xdr:row>38</xdr:row>
      <xdr:rowOff>109310</xdr:rowOff>
    </xdr:from>
    <xdr:to>
      <xdr:col>13</xdr:col>
      <xdr:colOff>95250</xdr:colOff>
      <xdr:row>43</xdr:row>
      <xdr:rowOff>127001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Estado Proye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Proye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0550" y="6745060"/>
              <a:ext cx="4092575" cy="8908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29936</xdr:colOff>
      <xdr:row>4</xdr:row>
      <xdr:rowOff>95250</xdr:rowOff>
    </xdr:from>
    <xdr:to>
      <xdr:col>4</xdr:col>
      <xdr:colOff>762000</xdr:colOff>
      <xdr:row>21</xdr:row>
      <xdr:rowOff>95248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203652</xdr:colOff>
      <xdr:row>4</xdr:row>
      <xdr:rowOff>68941</xdr:rowOff>
    </xdr:from>
    <xdr:to>
      <xdr:col>11</xdr:col>
      <xdr:colOff>232228</xdr:colOff>
      <xdr:row>20</xdr:row>
      <xdr:rowOff>124730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324300</xdr:colOff>
      <xdr:row>18</xdr:row>
      <xdr:rowOff>163284</xdr:rowOff>
    </xdr:from>
    <xdr:to>
      <xdr:col>23</xdr:col>
      <xdr:colOff>297089</xdr:colOff>
      <xdr:row>38</xdr:row>
      <xdr:rowOff>95250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95250</xdr:colOff>
      <xdr:row>21</xdr:row>
      <xdr:rowOff>45357</xdr:rowOff>
    </xdr:from>
    <xdr:to>
      <xdr:col>7</xdr:col>
      <xdr:colOff>247650</xdr:colOff>
      <xdr:row>37</xdr:row>
      <xdr:rowOff>151267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201840</xdr:colOff>
      <xdr:row>21</xdr:row>
      <xdr:rowOff>9071</xdr:rowOff>
    </xdr:from>
    <xdr:to>
      <xdr:col>13</xdr:col>
      <xdr:colOff>691697</xdr:colOff>
      <xdr:row>37</xdr:row>
      <xdr:rowOff>74840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621393</xdr:colOff>
      <xdr:row>4</xdr:row>
      <xdr:rowOff>172356</xdr:rowOff>
    </xdr:from>
    <xdr:to>
      <xdr:col>21</xdr:col>
      <xdr:colOff>201839</xdr:colOff>
      <xdr:row>21</xdr:row>
      <xdr:rowOff>38554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222250</xdr:colOff>
      <xdr:row>4</xdr:row>
      <xdr:rowOff>111125</xdr:rowOff>
    </xdr:from>
    <xdr:to>
      <xdr:col>24</xdr:col>
      <xdr:colOff>631599</xdr:colOff>
      <xdr:row>18</xdr:row>
      <xdr:rowOff>95250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571499</xdr:colOff>
      <xdr:row>20</xdr:row>
      <xdr:rowOff>0</xdr:rowOff>
    </xdr:from>
    <xdr:to>
      <xdr:col>25</xdr:col>
      <xdr:colOff>575127</xdr:colOff>
      <xdr:row>34</xdr:row>
      <xdr:rowOff>166006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21</xdr:col>
      <xdr:colOff>459581</xdr:colOff>
      <xdr:row>38</xdr:row>
      <xdr:rowOff>102394</xdr:rowOff>
    </xdr:from>
    <xdr:to>
      <xdr:col>23</xdr:col>
      <xdr:colOff>623774</xdr:colOff>
      <xdr:row>41</xdr:row>
      <xdr:rowOff>158751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Dependenc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ende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74456" y="6738144"/>
              <a:ext cx="1846943" cy="5802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162718</xdr:colOff>
      <xdr:row>38</xdr:row>
      <xdr:rowOff>80168</xdr:rowOff>
    </xdr:from>
    <xdr:to>
      <xdr:col>8</xdr:col>
      <xdr:colOff>174625</xdr:colOff>
      <xdr:row>43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Nombre FF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FF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718" y="6715918"/>
              <a:ext cx="6742907" cy="9199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123825</xdr:colOff>
      <xdr:row>38</xdr:row>
      <xdr:rowOff>76201</xdr:rowOff>
    </xdr:from>
    <xdr:to>
      <xdr:col>21</xdr:col>
      <xdr:colOff>406400</xdr:colOff>
      <xdr:row>43</xdr:row>
      <xdr:rowOff>142876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Jefe Proye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efe Proye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61700" y="6711951"/>
              <a:ext cx="6759575" cy="93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392715</xdr:colOff>
      <xdr:row>4</xdr:row>
      <xdr:rowOff>91119</xdr:rowOff>
    </xdr:to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075465" cy="789619"/>
        </a:xfrm>
        <a:prstGeom prst="rect">
          <a:avLst/>
        </a:prstGeom>
      </xdr:spPr>
    </xdr:pic>
    <xdr:clientData/>
  </xdr:twoCellAnchor>
  <xdr:twoCellAnchor>
    <xdr:from>
      <xdr:col>2</xdr:col>
      <xdr:colOff>564696</xdr:colOff>
      <xdr:row>0</xdr:row>
      <xdr:rowOff>63500</xdr:rowOff>
    </xdr:from>
    <xdr:to>
      <xdr:col>24</xdr:col>
      <xdr:colOff>793749</xdr:colOff>
      <xdr:row>4</xdr:row>
      <xdr:rowOff>117929</xdr:rowOff>
    </xdr:to>
    <xdr:sp macro="" textlink="">
      <xdr:nvSpPr>
        <xdr:cNvPr id="22" name="Proceso alternativo 21"/>
        <xdr:cNvSpPr/>
      </xdr:nvSpPr>
      <xdr:spPr>
        <a:xfrm>
          <a:off x="2247446" y="63500"/>
          <a:ext cx="18485303" cy="752929"/>
        </a:xfrm>
        <a:prstGeom prst="flowChartAlternateProcess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001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4000"/>
            <a:t>DASHBOARD INTERACTIVO DE PROYECTOS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161626</xdr:rowOff>
    </xdr:from>
    <xdr:to>
      <xdr:col>0</xdr:col>
      <xdr:colOff>1091293</xdr:colOff>
      <xdr:row>1</xdr:row>
      <xdr:rowOff>58423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61626"/>
          <a:ext cx="1005568" cy="38257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nves_Rayentue" refreshedDate="46086.679650231483" createdVersion="5" refreshedVersion="5" minRefreshableVersion="3" recordCount="68">
  <cacheSource type="worksheet">
    <worksheetSource name="Tabla1"/>
  </cacheSource>
  <cacheFields count="21">
    <cacheField name="Dependencia" numFmtId="0">
      <sharedItems containsBlank="1" count="3">
        <s v="16 - Rayentue/Rayentue"/>
        <s v="15 - Rayentue/Hidango"/>
        <m u="1"/>
      </sharedItems>
    </cacheField>
    <cacheField name="Código" numFmtId="0">
      <sharedItems containsSemiMixedTypes="0" containsString="0" containsNumber="1" containsInteger="1" minValue="500014" maxValue="504021"/>
    </cacheField>
    <cacheField name="Nombre FF" numFmtId="0">
      <sharedItems containsBlank="1" count="17">
        <s v="FIA"/>
        <s v="Gobierno Regional"/>
        <s v="Convenio Privado"/>
        <s v="Indap"/>
        <s v="Prestación de Servicio con Públicos"/>
        <s v="Convenio Municipal"/>
        <s v="Conicyt"/>
        <s v="MinCiencias"/>
        <s v="Subsecretaria"/>
        <s v="Contratos Internacionales"/>
        <s v="Fondecyt"/>
        <s v="Fondef"/>
        <s v="Consorcio Biofrutales"/>
        <s v="FNDR"/>
        <s v="Innova"/>
        <s v="Cursos y Seminarios"/>
        <m u="1"/>
      </sharedItems>
    </cacheField>
    <cacheField name="FF" numFmtId="0">
      <sharedItems containsString="0" containsBlank="1" containsNumber="1" containsInteger="1" minValue="6" maxValue="71"/>
    </cacheField>
    <cacheField name="Otras FF" numFmtId="0">
      <sharedItems containsBlank="1" containsMixedTypes="1" containsNumber="1" containsInteger="1" minValue="70" maxValue="70"/>
    </cacheField>
    <cacheField name="Estado Código" numFmtId="0">
      <sharedItems containsBlank="1"/>
    </cacheField>
    <cacheField name="Estado Formulario" numFmtId="0">
      <sharedItems containsBlank="1"/>
    </cacheField>
    <cacheField name="Estado Acta Inicio" numFmtId="0">
      <sharedItems containsBlank="1"/>
    </cacheField>
    <cacheField name="Estado Contrato" numFmtId="0">
      <sharedItems containsBlank="1"/>
    </cacheField>
    <cacheField name="Título Proyecto" numFmtId="0">
      <sharedItems/>
    </cacheField>
    <cacheField name="Jefe Proyecto" numFmtId="0">
      <sharedItems containsBlank="1" count="19">
        <s v="OTAROLA ALIAGA, JAIME IGNACIO"/>
        <s v="DONOSO CONTRERAS, JOSE MANUEL"/>
        <s v="CACERES CELEDON, EMILIO JOSE"/>
        <s v="RIQUELME TOLEDO, DANAE"/>
        <s v="ALTIMIRA PASSALACQUA, FABIOLA"/>
        <s v="QUEZADA JARA, MARCELO"/>
        <s v="CARRASCO JIMENEZ, JORGE"/>
        <s v="RUBILAR TORRES, FELIPE ANDRES"/>
        <s v="VEGA CANDIA, BARBARA CHANTAL"/>
        <s v="MARTINEZ CASTILLO, JUAN PABLO"/>
        <s v="SAGREDO DIAZ, BORIS"/>
        <s v="ABARCA REYES, LUIS PATRICIO"/>
        <s v="AGUIRRE AGUILERA, CRISTIAN"/>
        <s v="ESTRADA BRAVO, FELIX RODOLFO"/>
        <s v="ALFARO JARA, CHRISTIAN EUGENIO"/>
        <s v="FELMER ECHEVERRIA, SOFIA"/>
        <s v="LOBOS LOBOS, GIOVANNI ANDRES"/>
        <s v="JAÑA RAMIREZ, PABLO"/>
        <m u="1"/>
      </sharedItems>
    </cacheField>
    <cacheField name="Estado Proyecto" numFmtId="0">
      <sharedItems count="7">
        <s v="En Ejecución"/>
        <s v="Terminado"/>
        <s v="Rechazado" u="1"/>
        <s v="Creado" u="1"/>
        <s v="Descartado" u="1"/>
        <s v="No Ejecutado" u="1"/>
        <s v="En Planificación" u="1"/>
      </sharedItems>
    </cacheField>
    <cacheField name="Desde" numFmtId="14">
      <sharedItems containsDate="1" containsMixedTypes="1" minDate="2025-10-16T00:00:00" maxDate="2025-12-13T00:00:00"/>
    </cacheField>
    <cacheField name="Hasta" numFmtId="0">
      <sharedItems containsDate="1" containsMixedTypes="1" minDate="2026-08-28T00:00:00" maxDate="2028-12-13T00:00:00"/>
    </cacheField>
    <cacheField name="MONTO FF" numFmtId="0">
      <sharedItems containsSemiMixedTypes="0" containsString="0" containsNumber="1" containsInteger="1" minValue="0" maxValue="1028356000"/>
    </cacheField>
    <cacheField name="PECUNIO ASOCIADO" numFmtId="42">
      <sharedItems containsString="0" containsBlank="1" containsNumber="1" containsInteger="1" minValue="0" maxValue="300000000"/>
    </cacheField>
    <cacheField name="NO PECUNIO ASOCIADO" numFmtId="42">
      <sharedItems containsString="0" containsBlank="1" containsNumber="1" containsInteger="1" minValue="0" maxValue="271294560"/>
    </cacheField>
    <cacheField name="PECUNIO INIA" numFmtId="42">
      <sharedItems containsString="0" containsBlank="1" containsNumber="1" containsInteger="1" minValue="0" maxValue="14400000"/>
    </cacheField>
    <cacheField name="NO PECUNIO INIA" numFmtId="42">
      <sharedItems containsSemiMixedTypes="0" containsString="0" containsNumber="1" containsInteger="1" minValue="0" maxValue="180775859"/>
    </cacheField>
    <cacheField name="TOTAL PROYECTO" numFmtId="42">
      <sharedItems containsSemiMixedTypes="0" containsString="0" containsNumber="1" containsInteger="1" minValue="0" maxValue="1123167000"/>
    </cacheField>
    <cacheField name="Código Externo" numFmtId="0">
      <sharedItems containsBlank="1" containsMixedTypes="1" containsNumber="1" containsInteger="1" minValue="1200718" maxValue="320074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">
  <r>
    <x v="0"/>
    <n v="504021"/>
    <x v="0"/>
    <m/>
    <m/>
    <m/>
    <m/>
    <m/>
    <m/>
    <s v="Validación de un modelo de alerta preventiva contra los principales hongos de madera que afectan al cultivo del cerezo para mantener los estándares de calidad y competitividad en el mercado"/>
    <x v="0"/>
    <x v="0"/>
    <d v="2025-12-12T00:00:00"/>
    <d v="2028-12-12T00:00:00"/>
    <n v="149784006"/>
    <n v="8000000"/>
    <n v="0"/>
    <n v="1000000"/>
    <n v="78287330"/>
    <n v="237071336"/>
    <m/>
  </r>
  <r>
    <x v="0"/>
    <n v="504020"/>
    <x v="0"/>
    <m/>
    <m/>
    <m/>
    <m/>
    <m/>
    <m/>
    <s v="Estrategias para mitigar el daño por piel de lagarto en cerezas de exportación"/>
    <x v="1"/>
    <x v="0"/>
    <d v="2025-11-27T00:00:00"/>
    <d v="2028-11-27T00:00:00"/>
    <n v="149624480"/>
    <n v="6000000"/>
    <n v="13800000"/>
    <n v="0"/>
    <n v="50361000"/>
    <n v="219785480"/>
    <m/>
  </r>
  <r>
    <x v="0"/>
    <n v="504009"/>
    <x v="0"/>
    <n v="10"/>
    <n v="70"/>
    <s v="Activado"/>
    <m/>
    <s v="Aprobada"/>
    <s v="Totalmente Tramitado"/>
    <s v="Gestión eficiente del agua de riego de Convento Viejo 2: diagnóstico de suelos, riego y cultivos en las comunas de Lolol, Pumanque y Marchigue"/>
    <x v="2"/>
    <x v="0"/>
    <d v="2025-12-01T00:00:00"/>
    <d v="2026-08-28T00:00:00"/>
    <n v="10000000"/>
    <n v="249972"/>
    <n v="0"/>
    <n v="250208"/>
    <n v="25763869"/>
    <n v="36264049"/>
    <s v="COC-2025-0308"/>
  </r>
  <r>
    <x v="0"/>
    <n v="504007"/>
    <x v="1"/>
    <n v="44"/>
    <s v=""/>
    <s v="Sin Código"/>
    <m/>
    <m/>
    <m/>
    <s v="Transferencia del diagnóstico y manejo integrado de enfermedades del almendro: estrategias innovadoras para aumentar la competitividad del cultivo en la región de ohiggins"/>
    <x v="3"/>
    <x v="0"/>
    <d v="2025-12-01T00:00:00"/>
    <d v="2028-12-01T00:00:00"/>
    <n v="280000000"/>
    <n v="14000000"/>
    <n v="0"/>
    <n v="0"/>
    <n v="138674506"/>
    <n v="432674506"/>
    <m/>
  </r>
  <r>
    <x v="0"/>
    <n v="504006"/>
    <x v="1"/>
    <n v="44"/>
    <s v=""/>
    <s v="Sin Código"/>
    <m/>
    <m/>
    <m/>
    <s v="Sistema de detección y alerta en tiempo real  para el control preventivo y oportuno de las principales enfermedades de madera que afectan a los frutales de carozo"/>
    <x v="4"/>
    <x v="0"/>
    <d v="2025-12-01T00:00:00"/>
    <d v="2028-12-01T00:00:00"/>
    <n v="280000000"/>
    <n v="14000000"/>
    <n v="6750000"/>
    <n v="0"/>
    <n v="71816598"/>
    <n v="372566598"/>
    <s v=""/>
  </r>
  <r>
    <x v="0"/>
    <n v="504005"/>
    <x v="1"/>
    <n v="44"/>
    <s v=""/>
    <s v="Sin Código"/>
    <m/>
    <m/>
    <m/>
    <s v="Transferencia de un paquete tecnológico para el control de ataques de depredadores en ovinos del secano costero de O’Higgins."/>
    <x v="5"/>
    <x v="0"/>
    <d v="2025-12-01T00:00:00"/>
    <d v="2028-12-01T00:00:00"/>
    <n v="280000000"/>
    <n v="15000000"/>
    <n v="0"/>
    <n v="0"/>
    <n v="21085437"/>
    <n v="316085437"/>
    <s v=""/>
  </r>
  <r>
    <x v="0"/>
    <n v="503997"/>
    <x v="2"/>
    <n v="12"/>
    <m/>
    <m/>
    <m/>
    <m/>
    <s v="Totalmente Tramitado"/>
    <s v="CQ MASSO GROUP CHILE SPA"/>
    <x v="6"/>
    <x v="0"/>
    <d v="2025-10-16T00:00:00"/>
    <d v="2026-10-16T00:00:00"/>
    <n v="10882000"/>
    <m/>
    <m/>
    <m/>
    <n v="3341882"/>
    <n v="14223882"/>
    <m/>
  </r>
  <r>
    <x v="0"/>
    <n v="504004"/>
    <x v="1"/>
    <n v="44"/>
    <s v=""/>
    <s v="Sin Código"/>
    <m/>
    <m/>
    <m/>
    <s v="Desarrollo de la agricultura urbana y periurbana como alternativa de desarrollo sostenible para la producción de alimentos en la Región de O`Higgins."/>
    <x v="7"/>
    <x v="0"/>
    <d v="2025-12-01T00:00:00"/>
    <d v="2028-12-01T00:00:00"/>
    <n v="203909000"/>
    <n v="10200000"/>
    <n v="0"/>
    <n v="0"/>
    <n v="9193390"/>
    <n v="223302390"/>
    <s v=""/>
  </r>
  <r>
    <x v="0"/>
    <n v="503978"/>
    <x v="3"/>
    <n v="19"/>
    <n v="70"/>
    <s v="Activado"/>
    <m/>
    <m/>
    <m/>
    <s v="Programa de Transición a la Agricultura Sostenible - TAS año 3 - O'higgins"/>
    <x v="8"/>
    <x v="0"/>
    <s v="2025-10-08"/>
    <s v="2027-10-31"/>
    <n v="144659794"/>
    <n v="0"/>
    <n v="0"/>
    <n v="0"/>
    <n v="0"/>
    <n v="144659794"/>
    <s v=""/>
  </r>
  <r>
    <x v="0"/>
    <n v="503959"/>
    <x v="0"/>
    <n v="10"/>
    <n v="70"/>
    <s v="Activado"/>
    <m/>
    <s v="Aprobada"/>
    <s v="Totalmente Tramitado"/>
    <s v="Empaquetamiento técnico y comercial de la primera variedad de cereza chilena para un mercado de alta exigencia en calidad"/>
    <x v="0"/>
    <x v="0"/>
    <s v="2025-08-01"/>
    <s v="2028-07-31"/>
    <n v="119808000"/>
    <n v="0"/>
    <n v="2300003"/>
    <n v="4999999"/>
    <n v="54280064"/>
    <n v="181388066"/>
    <s v="PYT-2025-0172"/>
  </r>
  <r>
    <x v="0"/>
    <n v="503950"/>
    <x v="4"/>
    <n v="32"/>
    <s v="15_x000a_46_x000a_70"/>
    <s v="Activado"/>
    <s v="Aprobado"/>
    <s v="Aprobada"/>
    <s v="Totalmente Tramitado"/>
    <s v="CONVENIO DE SUBCONTRATACIÓN SUBPROYECTO NÚCLEO VARIETAL DE CEREZOS  ENTRE BIOFRUTALES E INIA"/>
    <x v="1"/>
    <x v="0"/>
    <s v="2025-09-12"/>
    <s v="2028-04-12"/>
    <n v="165000000"/>
    <n v="0"/>
    <n v="0"/>
    <n v="0"/>
    <n v="110000000"/>
    <n v="275000000"/>
    <s v="23CTEC-250093-P2"/>
  </r>
  <r>
    <x v="0"/>
    <n v="503922"/>
    <x v="5"/>
    <n v="25"/>
    <n v="70"/>
    <s v="Activado"/>
    <s v="Aprobado"/>
    <s v="Aprobada"/>
    <s v="Totalmente Tramitado"/>
    <s v="CONVENIO DE COLABORACIÓN TÉCNICA Y TRANSFERENCIA TECNOLÓGICA ENTRE ILUSTRE MUNICIPALIDAD DE PICHIDEGUA  Y EL INSTITUTO DE INVESTIGACIONES AGROPECUARIAS"/>
    <x v="8"/>
    <x v="0"/>
    <s v="2025-07-22"/>
    <s v="2025-12-31"/>
    <n v="5873686"/>
    <n v="0"/>
    <n v="0"/>
    <n v="0"/>
    <n v="6912350"/>
    <n v="12786036"/>
    <s v=""/>
  </r>
  <r>
    <x v="0"/>
    <n v="503830"/>
    <x v="2"/>
    <n v="12"/>
    <s v=""/>
    <s v="Activado"/>
    <s v="Aprobado"/>
    <s v="Aprobada"/>
    <s v="Totalmente Tramitado"/>
    <s v="Validación de herramientas y tecnologías en frutales"/>
    <x v="0"/>
    <x v="0"/>
    <s v="2025-02-01"/>
    <s v="2026-07-31"/>
    <n v="8901933"/>
    <n v="0"/>
    <n v="0"/>
    <n v="0"/>
    <n v="8743845"/>
    <n v="17645778"/>
    <s v=""/>
  </r>
  <r>
    <x v="0"/>
    <n v="503799"/>
    <x v="6"/>
    <n v="42"/>
    <s v="68_x000a_70"/>
    <s v="Activado"/>
    <m/>
    <s v="Aprobada"/>
    <s v="Totalmente Tramitado"/>
    <s v="Desarrollo de un sensor portátil (Optiriego) que optimiza el manejo de riego en tomates y uva vinífera"/>
    <x v="9"/>
    <x v="1"/>
    <s v="2024-08-09"/>
    <s v="2025-08-09"/>
    <n v="0"/>
    <n v="0"/>
    <n v="0"/>
    <n v="1500000"/>
    <n v="45054010"/>
    <n v="46554010"/>
    <s v="SUC240189"/>
  </r>
  <r>
    <x v="0"/>
    <n v="503730"/>
    <x v="1"/>
    <n v="44"/>
    <s v="70_x000a_13"/>
    <s v="Activado"/>
    <s v="Aprobado"/>
    <s v="Aprobada"/>
    <s v="Totalmente Tramitado"/>
    <s v="Transferencia soluciones técnicas para la recuperación de suelos en terrenos inundados"/>
    <x v="6"/>
    <x v="0"/>
    <s v="2024-06-01"/>
    <s v="2026-05-31"/>
    <n v="209000000"/>
    <n v="12300000"/>
    <n v="0"/>
    <n v="0"/>
    <n v="12258150"/>
    <n v="233558150"/>
    <s v="IDI40059079-0"/>
  </r>
  <r>
    <x v="0"/>
    <n v="503729"/>
    <x v="1"/>
    <n v="44"/>
    <s v="70_x000a_13"/>
    <s v="Activado"/>
    <s v="Aprobado"/>
    <s v="Aprobada"/>
    <s v="Totalmente Tramitado"/>
    <s v="Transferencia con biofiltros domiciliarios para la utilización de aguas grises con riego tecnificado"/>
    <x v="2"/>
    <x v="0"/>
    <s v="2024-06-01"/>
    <s v="2026-05-31"/>
    <n v="161900000"/>
    <n v="9000000"/>
    <n v="0"/>
    <n v="0"/>
    <n v="8890207"/>
    <n v="179790207"/>
    <s v=""/>
  </r>
  <r>
    <x v="0"/>
    <n v="503717"/>
    <x v="1"/>
    <n v="44"/>
    <s v="70_x000a_13"/>
    <s v="Activado"/>
    <m/>
    <s v="Aprobada"/>
    <s v="Totalmente Tramitado"/>
    <s v="Transferencia tecnológica y revalorización de vides criollas y productos derivados con tradición patrimonial campesina para la Región de O'Higgins"/>
    <x v="10"/>
    <x v="0"/>
    <s v="2024-06-01"/>
    <s v="2026-05-31"/>
    <n v="186320000"/>
    <n v="10500000"/>
    <n v="0"/>
    <n v="0"/>
    <n v="10500001"/>
    <n v="207320001"/>
    <s v="IDI 40059068-0"/>
  </r>
  <r>
    <x v="0"/>
    <n v="503700"/>
    <x v="7"/>
    <n v="71"/>
    <n v="70"/>
    <s v="Activado"/>
    <s v="Aprobado"/>
    <m/>
    <s v="Pendiente"/>
    <s v="Cereales para el cambio climático en secano"/>
    <x v="7"/>
    <x v="1"/>
    <s v="2024-03-01"/>
    <s v="2024-12-31"/>
    <n v="40892815"/>
    <n v="0"/>
    <n v="0"/>
    <n v="0"/>
    <n v="0"/>
    <n v="40892815"/>
    <s v=""/>
  </r>
  <r>
    <x v="0"/>
    <n v="503614"/>
    <x v="8"/>
    <n v="70"/>
    <s v=""/>
    <s v="Activado"/>
    <s v="Aprobado"/>
    <m/>
    <m/>
    <s v="GET Manejo agronómico de frutales de carozos"/>
    <x v="11"/>
    <x v="1"/>
    <s v="2023-08-01"/>
    <s v="2024-12-31"/>
    <n v="2462500"/>
    <n v="0"/>
    <n v="0"/>
    <n v="0"/>
    <n v="0"/>
    <n v="2462500"/>
    <s v=""/>
  </r>
  <r>
    <x v="0"/>
    <n v="503590"/>
    <x v="8"/>
    <n v="70"/>
    <s v=""/>
    <s v="Activado"/>
    <s v="Aprobado"/>
    <m/>
    <m/>
    <s v="Investigación en análisis de las propiedades físicas y químicas de los suelos agrícolas afectados por anegamiento"/>
    <x v="6"/>
    <x v="0"/>
    <s v="2023-08-01"/>
    <s v="2025-12-31"/>
    <n v="7369044"/>
    <n v="0"/>
    <n v="0"/>
    <n v="0"/>
    <n v="0"/>
    <n v="7369044"/>
    <s v=""/>
  </r>
  <r>
    <x v="1"/>
    <n v="503581"/>
    <x v="8"/>
    <n v="70"/>
    <s v=""/>
    <s v="Activado"/>
    <s v="Aprobado"/>
    <m/>
    <m/>
    <s v="GET Ovinos del secano"/>
    <x v="5"/>
    <x v="0"/>
    <s v="2023-08-01"/>
    <s v="2025-12-31"/>
    <n v="3909581"/>
    <n v="0"/>
    <n v="0"/>
    <n v="0"/>
    <n v="0"/>
    <n v="3909581"/>
    <s v=""/>
  </r>
  <r>
    <x v="1"/>
    <n v="503580"/>
    <x v="8"/>
    <n v="70"/>
    <s v=""/>
    <s v="Activado"/>
    <s v="Aprobado"/>
    <m/>
    <m/>
    <s v="GET Cultivos Secano La Estrella"/>
    <x v="7"/>
    <x v="1"/>
    <s v="2023-08-01"/>
    <s v="2024-12-31"/>
    <n v="2337500"/>
    <n v="0"/>
    <n v="0"/>
    <n v="0"/>
    <n v="0"/>
    <n v="2337500"/>
    <s v=""/>
  </r>
  <r>
    <x v="0"/>
    <n v="503584"/>
    <x v="9"/>
    <n v="24"/>
    <s v="68_x000a_70"/>
    <s v="Activado"/>
    <m/>
    <s v="Aprobada"/>
    <s v="Totalmente Tramitado"/>
    <s v="Aprovechamiento de la biodiversidad para mejorar el cultivo del tomate: desarrollo de portainjertos resistentes al estrés abiótico"/>
    <x v="9"/>
    <x v="0"/>
    <s v="2023-04-01"/>
    <s v="2025-12-31"/>
    <n v="14814720"/>
    <n v="0"/>
    <n v="271294560"/>
    <n v="3600000"/>
    <n v="60815710"/>
    <n v="350524990"/>
    <s v=""/>
  </r>
  <r>
    <x v="1"/>
    <n v="503570"/>
    <x v="0"/>
    <n v="10"/>
    <s v="68_x000a_70"/>
    <s v="Activado"/>
    <m/>
    <s v="Aprobada"/>
    <s v="Totalmente Tramitado"/>
    <s v="Nuevas estrategias de riego para el cultivo del nogal injertado sobre portainjertos clonales"/>
    <x v="0"/>
    <x v="1"/>
    <s v="2023-08-01"/>
    <s v="2023-12-26"/>
    <n v="119450000"/>
    <n v="0"/>
    <n v="2000000"/>
    <n v="1000000"/>
    <n v="69076551"/>
    <n v="191526551"/>
    <s v="PYT-2023-0259"/>
  </r>
  <r>
    <x v="0"/>
    <n v="503570"/>
    <x v="0"/>
    <n v="10"/>
    <s v="68_x000a_70"/>
    <s v="Activado"/>
    <s v="Aprobado"/>
    <s v="Aprobada"/>
    <s v="Totalmente Tramitado"/>
    <s v="Nuevas estrategias de riego para el cultivo del nogal injertado sobre portainjertos clonales"/>
    <x v="0"/>
    <x v="0"/>
    <s v="2023-08-01"/>
    <s v="2026-07-31"/>
    <n v="119450000"/>
    <n v="0"/>
    <n v="2000000"/>
    <n v="1000000"/>
    <n v="69076551"/>
    <n v="191526551"/>
    <s v="PYT-2023-0259"/>
  </r>
  <r>
    <x v="1"/>
    <n v="503559"/>
    <x v="8"/>
    <n v="70"/>
    <s v=""/>
    <s v="Activado"/>
    <s v="Aprobado"/>
    <m/>
    <m/>
    <s v="Programa de Encuentros Tecnológicos (PET) Hidango"/>
    <x v="5"/>
    <x v="0"/>
    <s v="2023-06-01"/>
    <s v="2025-12-31"/>
    <n v="5729000"/>
    <n v="0"/>
    <n v="0"/>
    <n v="0"/>
    <n v="0"/>
    <n v="5729000"/>
    <s v=""/>
  </r>
  <r>
    <x v="0"/>
    <n v="503567"/>
    <x v="0"/>
    <n v="10"/>
    <s v="68_x000a_70"/>
    <s v="Activado"/>
    <m/>
    <s v="Aprobada"/>
    <s v="Totalmente Tramitado"/>
    <s v="Plataforma interactiva para el desarrollo de mejoras en el control de plagas en cultivo de cítricos a través de la pulverización hidroneumática"/>
    <x v="11"/>
    <x v="0"/>
    <s v="2023-08-01"/>
    <s v="2026-07-31"/>
    <n v="115159785"/>
    <n v="6800000"/>
    <n v="4424832"/>
    <n v="1299999"/>
    <n v="43886472"/>
    <n v="171571088"/>
    <s v="PYT-2023-0219"/>
  </r>
  <r>
    <x v="0"/>
    <n v="503558"/>
    <x v="5"/>
    <n v="25"/>
    <n v="70"/>
    <s v="Activado"/>
    <s v="Aprobado"/>
    <s v="Aprobada"/>
    <s v="Totalmente Tramitado"/>
    <s v="Convenio de Colaboración Técnica y Transferencia Tecnológica INIA - Municipalidad de Pichidegua"/>
    <x v="8"/>
    <x v="1"/>
    <s v="2023-07-03"/>
    <s v="2024-12-31"/>
    <n v="4201681"/>
    <n v="0"/>
    <n v="0"/>
    <n v="0"/>
    <n v="3442711"/>
    <n v="7644392"/>
    <s v=""/>
  </r>
  <r>
    <x v="0"/>
    <n v="503551"/>
    <x v="3"/>
    <n v="19"/>
    <n v="70"/>
    <s v="Activado"/>
    <s v="Aprobado"/>
    <s v="Aprobada"/>
    <m/>
    <s v="Programa de Transición a la Agricultura Sostenible - TAS"/>
    <x v="8"/>
    <x v="1"/>
    <s v="2023-07-01"/>
    <s v="2025-07-31"/>
    <n v="136739093"/>
    <n v="0"/>
    <n v="0"/>
    <n v="0"/>
    <n v="0"/>
    <n v="136739093"/>
    <s v=""/>
  </r>
  <r>
    <x v="0"/>
    <n v="503490"/>
    <x v="1"/>
    <n v="44"/>
    <s v="68_x000a_70"/>
    <s v="Activado"/>
    <m/>
    <s v="Aprobada"/>
    <s v="Modificado"/>
    <s v="Optimización de la aplicación de biocontroladores de origen microbiano a través de diferentes técnicas de pulverización en cultivos agrícolas de importancia para la Región de O'Higgins"/>
    <x v="11"/>
    <x v="0"/>
    <s v="2023-04-28"/>
    <s v="2026-06-30"/>
    <n v="164103030"/>
    <n v="0"/>
    <n v="871902"/>
    <n v="12000000"/>
    <n v="13031009"/>
    <n v="190005941"/>
    <s v=""/>
  </r>
  <r>
    <x v="0"/>
    <n v="503488"/>
    <x v="1"/>
    <n v="44"/>
    <s v="68_x000a_70"/>
    <s v="Activado"/>
    <m/>
    <s v="Aprobada"/>
    <s v="Modificado"/>
    <s v="Transferencia bioinmunizador endófito para el control de plagas y enfermedades en cucurbitáceas."/>
    <x v="8"/>
    <x v="0"/>
    <s v="2023-04-28"/>
    <s v="2026-04-30"/>
    <n v="148500000"/>
    <n v="0"/>
    <n v="2519790"/>
    <n v="14400000"/>
    <n v="12683310"/>
    <n v="178103100"/>
    <s v=""/>
  </r>
  <r>
    <x v="0"/>
    <n v="503466"/>
    <x v="10"/>
    <n v="22"/>
    <n v="70"/>
    <s v="Activado"/>
    <m/>
    <s v="Aprobada"/>
    <s v="Totalmente Tramitado"/>
    <s v="Caracterización e identificación de los factores genéticos de la resistencia al cáncer bacterial en cerezos (Prunus avium L.) presentes en cv Santina"/>
    <x v="10"/>
    <x v="0"/>
    <s v="2023-04-01"/>
    <s v="2027-04-01"/>
    <n v="40800000"/>
    <n v="0"/>
    <n v="0"/>
    <n v="0"/>
    <n v="123071739"/>
    <n v="163871739"/>
    <s v=""/>
  </r>
  <r>
    <x v="0"/>
    <n v="503454"/>
    <x v="5"/>
    <n v="25"/>
    <n v="70"/>
    <s v="Activado"/>
    <s v="Aprobado"/>
    <s v="Aprobada"/>
    <s v="Totalmente Tramitado"/>
    <s v="Convenio de Colaboración INIA y Municipalidad de San Pedro Difusión de tecnologías de cultivos de trigo y triticale"/>
    <x v="12"/>
    <x v="0"/>
    <s v="2022-12-26"/>
    <d v="2026-09-30T00:00:00"/>
    <n v="10559833"/>
    <n v="0"/>
    <n v="0"/>
    <n v="0"/>
    <n v="1498447"/>
    <n v="12058280"/>
    <s v=""/>
  </r>
  <r>
    <x v="0"/>
    <n v="503386"/>
    <x v="11"/>
    <n v="11"/>
    <s v="68_x000a_70"/>
    <s v="Activado"/>
    <m/>
    <s v="Aprobada"/>
    <s v="Totalmente Tramitado"/>
    <s v="Herramientas para determinar las características de la población del agente causal del cáncer bacterial en cerezos: Generando información clave para el desarrollo de estrategias sustentables de control "/>
    <x v="10"/>
    <x v="1"/>
    <s v="2022-10-24"/>
    <s v="2024-10-24"/>
    <n v="160425000"/>
    <n v="0"/>
    <n v="24073545"/>
    <n v="0"/>
    <n v="94294747"/>
    <n v="278793292"/>
    <s v="ID22I10318"/>
  </r>
  <r>
    <x v="0"/>
    <n v="503373"/>
    <x v="5"/>
    <n v="25"/>
    <n v="70"/>
    <s v="Activado"/>
    <s v="Aprobado"/>
    <s v="Aprobada"/>
    <s v="Totalmente Tramitado"/>
    <s v="Convenio de Asistencia Técnica y Transferencia Tecnológica INIA - San Vicente de Tagua Tagua"/>
    <x v="8"/>
    <x v="1"/>
    <s v="2022-08-30"/>
    <s v="2024-06-30"/>
    <n v="14826000"/>
    <n v="0"/>
    <n v="0"/>
    <n v="0"/>
    <n v="7496305"/>
    <n v="22322305"/>
    <s v=""/>
  </r>
  <r>
    <x v="0"/>
    <n v="503303"/>
    <x v="10"/>
    <n v="22"/>
    <n v="70"/>
    <s v="Activado"/>
    <s v="Aprobado"/>
    <m/>
    <m/>
    <s v="Effect of Bacillus amyloliquefaciens on salt-tolerant INIA clonal rootstocks in &quot;Old Limachino Tomato&quot; grafted plants under saline stress."/>
    <x v="9"/>
    <x v="1"/>
    <s v="2022-04-01"/>
    <s v="2025-03-31"/>
    <n v="198466000"/>
    <n v="0"/>
    <n v="0"/>
    <n v="0"/>
    <n v="109658000"/>
    <n v="308124000"/>
    <n v="1220909"/>
  </r>
  <r>
    <x v="1"/>
    <n v="503295"/>
    <x v="8"/>
    <n v="70"/>
    <s v=""/>
    <s v="Activado"/>
    <s v="Aprobado"/>
    <m/>
    <m/>
    <s v="Desarrollo genético y productivo de la raza ovina Hidango"/>
    <x v="5"/>
    <x v="1"/>
    <s v="2022-01-01"/>
    <s v="2022-12-31"/>
    <n v="1654314"/>
    <n v="0"/>
    <n v="0"/>
    <n v="0"/>
    <n v="0"/>
    <n v="1654314"/>
    <s v=""/>
  </r>
  <r>
    <x v="0"/>
    <n v="503296"/>
    <x v="2"/>
    <n v="12"/>
    <s v=""/>
    <s v="Activado"/>
    <s v="Aprobado"/>
    <s v="Aprobada"/>
    <s v="Totalmente Tramitado"/>
    <s v="Convenio Investigación 2021-2022 entre INIA y Leonora Sepúlveda Micheas Spa"/>
    <x v="0"/>
    <x v="1"/>
    <s v="2022-01-04"/>
    <s v="2022-12-31"/>
    <n v="1728000"/>
    <n v="0"/>
    <n v="0"/>
    <n v="0"/>
    <n v="0"/>
    <n v="1728000"/>
    <s v=""/>
  </r>
  <r>
    <x v="0"/>
    <n v="503292"/>
    <x v="8"/>
    <n v="70"/>
    <s v=""/>
    <s v="Activado"/>
    <s v="Aprobado"/>
    <m/>
    <m/>
    <s v="Continuidad Proyecto: Mejoramiento de la resiliencia al cambio climático de la pequeña agricultura en la región de O'Higgins, Chile"/>
    <x v="11"/>
    <x v="1"/>
    <s v="2022-02-01"/>
    <s v="2023-12-31"/>
    <n v="5748955"/>
    <n v="0"/>
    <n v="0"/>
    <n v="0"/>
    <n v="0"/>
    <n v="5748955"/>
    <s v=""/>
  </r>
  <r>
    <x v="0"/>
    <n v="503276"/>
    <x v="2"/>
    <n v="12"/>
    <s v=""/>
    <s v="Activado"/>
    <s v="Aprobado"/>
    <s v="Aprobada"/>
    <s v="Totalmente Tramitado"/>
    <s v="Contrato de prestación de servicios entre Instituto de Investigaciones Agropecuarias (INIA) e IN-PACTA SpA"/>
    <x v="0"/>
    <x v="1"/>
    <s v="2022-01-03"/>
    <s v="2022-04-30"/>
    <n v="4287994"/>
    <n v="0"/>
    <n v="0"/>
    <n v="0"/>
    <n v="0"/>
    <n v="4287994"/>
    <s v=""/>
  </r>
  <r>
    <x v="0"/>
    <n v="503275"/>
    <x v="12"/>
    <n v="46"/>
    <s v="15_x000a_70"/>
    <s v="Activado"/>
    <s v="Aprobado"/>
    <s v="Aprobada"/>
    <s v="Totalmente Tramitado"/>
    <s v="Convenio de co-ejecución del proyecto  “Fortalecimiento de líneas primarias e intermedias de cerezos”   entre Biofrutales e INIA"/>
    <x v="1"/>
    <x v="1"/>
    <s v="2022-01-01"/>
    <s v="2025-12-31"/>
    <n v="170000000"/>
    <n v="300000000"/>
    <n v="0"/>
    <n v="0"/>
    <n v="180775859"/>
    <n v="650775859"/>
    <s v="16PTECFN-66646-P8"/>
  </r>
  <r>
    <x v="0"/>
    <n v="503272"/>
    <x v="9"/>
    <n v="24"/>
    <n v="70"/>
    <s v="Activado"/>
    <m/>
    <s v="Aprobada"/>
    <s v="Totalmente Tramitado"/>
    <s v="Optimización sostenible de estrategias de fertilización y riego de quínoa en la región occidental de Sudamérica (Ecuador a Chile)"/>
    <x v="13"/>
    <x v="0"/>
    <s v="2024-03-05"/>
    <s v="2028-03-05"/>
    <n v="102808000"/>
    <n v="0"/>
    <n v="239580325"/>
    <n v="0"/>
    <n v="0"/>
    <n v="342388325"/>
    <s v=""/>
  </r>
  <r>
    <x v="0"/>
    <n v="503266"/>
    <x v="4"/>
    <n v="38"/>
    <s v="68_x000a_70"/>
    <s v="Activado"/>
    <s v="Aprobado"/>
    <s v="Aprobada"/>
    <s v="Totalmente Tramitado"/>
    <s v="Contrato de Prestación de Servicio de realización de Actividades de investigación y desarrollo para la USACH"/>
    <x v="12"/>
    <x v="1"/>
    <s v="2022-04-01"/>
    <s v="2024-02-29"/>
    <n v="90000000"/>
    <n v="0"/>
    <n v="0"/>
    <n v="0"/>
    <n v="32123824"/>
    <n v="122123824"/>
    <s v="564162-321-SE22"/>
  </r>
  <r>
    <x v="0"/>
    <n v="503265"/>
    <x v="0"/>
    <n v="10"/>
    <s v="68_x000a_70"/>
    <s v="Activado"/>
    <m/>
    <s v="Aprobada"/>
    <s v="Totalmente Tramitado"/>
    <s v="Desarrollo de soluciones técnicas de manejo sustentable de suelos, agua y cultivos, para enfrentar los efectos del cambio climático en la pequeña agricultura del área de secano de la región de O`Higgins"/>
    <x v="6"/>
    <x v="1"/>
    <s v="2021-12-01"/>
    <s v="2025-03-31"/>
    <n v="149985876"/>
    <n v="6000000"/>
    <n v="9122000"/>
    <n v="750000"/>
    <n v="132987657"/>
    <n v="298845533"/>
    <s v="PYT-2021-0639"/>
  </r>
  <r>
    <x v="0"/>
    <n v="503263"/>
    <x v="0"/>
    <n v="10"/>
    <s v="68_x000a_70"/>
    <s v="Activado"/>
    <m/>
    <s v="Aprobada"/>
    <s v="Modificado"/>
    <s v="Programa de innovación en el uso eficiente del recurso hídrico para la pequeña agricultura de la región de O’Higgins"/>
    <x v="0"/>
    <x v="1"/>
    <s v="2021-12-15"/>
    <s v="2024-05-31"/>
    <n v="85000000"/>
    <m/>
    <m/>
    <n v="850000"/>
    <n v="52240436"/>
    <n v="138090436"/>
    <s v="PYT-2021-0661"/>
  </r>
  <r>
    <x v="0"/>
    <n v="503189"/>
    <x v="2"/>
    <n v="12"/>
    <s v=""/>
    <s v="Activado"/>
    <s v="Aprobado"/>
    <s v="Aprobada"/>
    <s v="Totalmente Tramitado"/>
    <s v="Contrato de prestación de servicios entre instituto de investigaciones agropecuarias (INIA) y Bioamerica S.A."/>
    <x v="0"/>
    <x v="1"/>
    <s v="2021-08-01"/>
    <s v="2022-02-28"/>
    <n v="4828000"/>
    <n v="0"/>
    <n v="0"/>
    <n v="0"/>
    <n v="0"/>
    <n v="4828000"/>
    <s v=""/>
  </r>
  <r>
    <x v="0"/>
    <n v="503153"/>
    <x v="2"/>
    <n v="12"/>
    <s v=""/>
    <s v="Activado"/>
    <s v="Aprobado"/>
    <s v="Aprobada"/>
    <s v="Totalmente Tramitado"/>
    <s v="Convenio de trabajo conjunto entre INIA e INNOVAK GLOBAL"/>
    <x v="6"/>
    <x v="1"/>
    <s v="2021-04-12"/>
    <s v="2023-12-31"/>
    <n v="0"/>
    <n v="0"/>
    <n v="0"/>
    <n v="0"/>
    <n v="0"/>
    <n v="0"/>
    <s v="N/A"/>
  </r>
  <r>
    <x v="0"/>
    <n v="503150"/>
    <x v="8"/>
    <n v="70"/>
    <s v=""/>
    <s v="Activado"/>
    <s v="Aprobado"/>
    <m/>
    <m/>
    <s v="GTT en ajo"/>
    <x v="8"/>
    <x v="1"/>
    <s v="2021-05-01"/>
    <s v="2023-09-01"/>
    <n v="1469050"/>
    <n v="0"/>
    <n v="0"/>
    <n v="0"/>
    <n v="0"/>
    <n v="1469050"/>
    <s v=""/>
  </r>
  <r>
    <x v="0"/>
    <n v="503138"/>
    <x v="6"/>
    <n v="42"/>
    <n v="70"/>
    <s v="Activado"/>
    <m/>
    <s v="Aprobada"/>
    <s v="Totalmente Tramitado"/>
    <s v="Deep insight in the cherry plant defense responses to bacterial canker disease in a scenario of water restriction"/>
    <x v="10"/>
    <x v="1"/>
    <s v="2021-01-01"/>
    <s v="2023-12-31"/>
    <n v="108177557"/>
    <n v="0"/>
    <n v="0"/>
    <n v="0"/>
    <n v="0"/>
    <n v="108177557"/>
    <s v="ACTO190001"/>
  </r>
  <r>
    <x v="0"/>
    <n v="503137"/>
    <x v="1"/>
    <n v="44"/>
    <n v="70"/>
    <s v="Activado"/>
    <m/>
    <s v="Aprobada"/>
    <s v="Totalmente Tramitado"/>
    <s v="Transferencia Ag Tech Invest Lab Innovation"/>
    <x v="12"/>
    <x v="1"/>
    <s v="2020-12-11"/>
    <s v="2023-12-31"/>
    <n v="240000000"/>
    <n v="15000000"/>
    <n v="0"/>
    <n v="0"/>
    <n v="26890380"/>
    <n v="281890380"/>
    <s v="IDI 40027315-0"/>
  </r>
  <r>
    <x v="0"/>
    <n v="503133"/>
    <x v="1"/>
    <n v="44"/>
    <n v="70"/>
    <s v="Activado"/>
    <m/>
    <s v="Aprobada"/>
    <s v="Modificado"/>
    <s v="Transferencia, prospección y manejo de hongos de la madera presentes en frutales de carozo"/>
    <x v="0"/>
    <x v="1"/>
    <s v="2021-09-01"/>
    <s v="2025-02-28"/>
    <n v="200000000"/>
    <n v="12050000"/>
    <n v="0"/>
    <n v="0"/>
    <n v="27854865"/>
    <n v="239904865"/>
    <s v="DI 40027313-0"/>
  </r>
  <r>
    <x v="1"/>
    <n v="503042"/>
    <x v="10"/>
    <n v="22"/>
    <n v="70"/>
    <s v="Activado"/>
    <m/>
    <s v="Aprobada"/>
    <s v="Totalmente Tramitado"/>
    <s v="Determinación de las bases fisiológicas de la adaptación de genotipos de trigo candeal de INIA a condiciones de sequía en el secano mediterráneo de Chile"/>
    <x v="14"/>
    <x v="1"/>
    <s v="2020-03-12"/>
    <s v="2023-04-15"/>
    <n v="0"/>
    <n v="0"/>
    <n v="0"/>
    <n v="0"/>
    <n v="0"/>
    <n v="0"/>
    <n v="3200742"/>
  </r>
  <r>
    <x v="1"/>
    <n v="503032"/>
    <x v="8"/>
    <n v="70"/>
    <s v=""/>
    <s v="Activado"/>
    <s v="Aprobado"/>
    <m/>
    <m/>
    <s v="GCA zona Norte -Transferencia de Tecnologías y Alternativas forrajeras para zonas de secano y adaptadas al cambio climático."/>
    <x v="12"/>
    <x v="1"/>
    <s v="2020-08-01"/>
    <s v="2022-12-31"/>
    <n v="655000"/>
    <n v="0"/>
    <n v="0"/>
    <n v="0"/>
    <n v="0"/>
    <n v="655000"/>
    <s v=""/>
  </r>
  <r>
    <x v="1"/>
    <n v="503031"/>
    <x v="8"/>
    <n v="70"/>
    <s v=""/>
    <s v="Activado"/>
    <s v="Aprobado"/>
    <m/>
    <m/>
    <s v="GCA Zona Sur - Transferencia de Tecnologías y Alternativas forrajeras para zonas de secano y adaptadas al cambio climático."/>
    <x v="12"/>
    <x v="1"/>
    <s v="2020-08-01"/>
    <s v="2022-12-31"/>
    <n v="655000"/>
    <n v="0"/>
    <n v="0"/>
    <n v="0"/>
    <n v="0"/>
    <n v="655000"/>
    <s v=""/>
  </r>
  <r>
    <x v="0"/>
    <n v="503054"/>
    <x v="5"/>
    <n v="25"/>
    <n v="70"/>
    <s v="Activado"/>
    <s v="Aprobado"/>
    <s v="Aprobada"/>
    <s v="Totalmente Tramitado"/>
    <s v="Programa GET Agroecológico de producción de hortalizas con inclusión de capacidades diferentes"/>
    <x v="8"/>
    <x v="1"/>
    <s v="2022-05-27"/>
    <s v="2023-05-31"/>
    <n v="3444000"/>
    <n v="0"/>
    <n v="0"/>
    <n v="0"/>
    <n v="0"/>
    <n v="3444000"/>
    <s v=""/>
  </r>
  <r>
    <x v="0"/>
    <n v="503021"/>
    <x v="10"/>
    <n v="22"/>
    <n v="70"/>
    <s v="Activado"/>
    <m/>
    <s v="Aprobada"/>
    <s v="Totalmente Tramitado"/>
    <s v="DISENTANGLING THE EPIGENETIC INFLUENCE ON FRUIT DEVELOPMENT AND RIPENING IN THREE STONE FRUITS (PRUNUS SPECIES)."/>
    <x v="1"/>
    <x v="1"/>
    <s v="2020-04-01"/>
    <s v="2023-03-31"/>
    <n v="800000"/>
    <n v="0"/>
    <n v="0"/>
    <n v="0"/>
    <n v="0"/>
    <n v="800000"/>
    <n v="1200718"/>
  </r>
  <r>
    <x v="0"/>
    <n v="503017"/>
    <x v="13"/>
    <n v="20"/>
    <n v="70"/>
    <s v="Activado"/>
    <m/>
    <s v="Aprobada"/>
    <s v="Totalmente Tramitado"/>
    <s v="Transferencia control Mostaza Negra- El Loa"/>
    <x v="8"/>
    <x v="1"/>
    <s v="2020-05-26"/>
    <s v="2023-09-30"/>
    <n v="1028356000"/>
    <n v="0"/>
    <n v="29540000"/>
    <n v="0"/>
    <n v="65271000"/>
    <n v="1123167000"/>
    <s v="BIP 40002794-0"/>
  </r>
  <r>
    <x v="0"/>
    <n v="502968"/>
    <x v="8"/>
    <n v="70"/>
    <s v=""/>
    <s v="Activado"/>
    <s v="Aprobado"/>
    <m/>
    <m/>
    <s v="GCA AGROECOLÓGICO EXTENSIONISTAS"/>
    <x v="8"/>
    <x v="1"/>
    <s v="2020-03-01"/>
    <s v="2023-11-21"/>
    <n v="799660"/>
    <n v="0"/>
    <n v="0"/>
    <n v="0"/>
    <n v="0"/>
    <n v="799660"/>
    <s v=""/>
  </r>
  <r>
    <x v="0"/>
    <n v="502921"/>
    <x v="8"/>
    <n v="70"/>
    <s v=""/>
    <s v="Activado"/>
    <s v="Aprobado"/>
    <m/>
    <m/>
    <s v="GTT-ET PRODUCTORES SUSTENTABLES DE PICHIDEGUA"/>
    <x v="8"/>
    <x v="1"/>
    <s v="2020-03-01"/>
    <s v="2023-12-31"/>
    <n v="1350000"/>
    <n v="0"/>
    <n v="0"/>
    <n v="0"/>
    <n v="0"/>
    <n v="1350000"/>
    <s v=""/>
  </r>
  <r>
    <x v="0"/>
    <n v="502660"/>
    <x v="7"/>
    <n v="71"/>
    <s v=""/>
    <s v="Activado"/>
    <s v="Aprobado"/>
    <m/>
    <m/>
    <s v="Proyecto: Mejoramiento de la resiliencia al cambio climático de la pequeña agricultura en la región de O'Higgins, Chile"/>
    <x v="15"/>
    <x v="1"/>
    <s v="2017-12-26"/>
    <s v="2022-08-31"/>
    <n v="965967696"/>
    <n v="0"/>
    <n v="0"/>
    <n v="0"/>
    <n v="0"/>
    <n v="965967696"/>
    <s v="N/A"/>
  </r>
  <r>
    <x v="0"/>
    <n v="502510"/>
    <x v="14"/>
    <n v="15"/>
    <s v="46_x000a_70"/>
    <s v="Activado"/>
    <m/>
    <s v="Aprobada"/>
    <s v="Modificado"/>
    <s v="Reforzamiento del PMG Cerezos: líneas genéticas adaptadas a condiciones de baja oferta de frío invernal para la zona Norte"/>
    <x v="1"/>
    <x v="1"/>
    <s v="2017-01-02"/>
    <s v="2025-07-12"/>
    <n v="232843859"/>
    <n v="223951493"/>
    <n v="0"/>
    <n v="0"/>
    <n v="0"/>
    <n v="456795352"/>
    <s v="16PTECFN 66646 P1"/>
  </r>
  <r>
    <x v="0"/>
    <n v="502509"/>
    <x v="14"/>
    <n v="15"/>
    <s v="46_x000a_70"/>
    <s v="Activado"/>
    <m/>
    <s v="Aprobada"/>
    <s v="Totalmente Tramitado"/>
    <s v="Paquete Tecnológico de portainjertos de Nogal"/>
    <x v="16"/>
    <x v="1"/>
    <s v="2017-01-02"/>
    <s v="2024-03-31"/>
    <n v="78102702"/>
    <n v="0"/>
    <n v="0"/>
    <n v="0"/>
    <n v="0"/>
    <n v="78102702"/>
    <s v="16PTECFN 66646 P2"/>
  </r>
  <r>
    <x v="0"/>
    <n v="502351"/>
    <x v="2"/>
    <n v="12"/>
    <s v=""/>
    <s v="Activado"/>
    <s v="Aprobado"/>
    <s v="Aprobada"/>
    <s v="Totalmente Tramitado"/>
    <s v="Convenio Manejo de Frutales"/>
    <x v="0"/>
    <x v="1"/>
    <s v="2016-06-01"/>
    <s v="2025-11-28"/>
    <n v="0"/>
    <n v="0"/>
    <n v="0"/>
    <n v="0"/>
    <n v="0"/>
    <n v="0"/>
    <s v="N/A"/>
  </r>
  <r>
    <x v="0"/>
    <n v="502181"/>
    <x v="8"/>
    <n v="70"/>
    <s v=""/>
    <s v="Activado"/>
    <s v="Aprobado"/>
    <m/>
    <m/>
    <s v="Fitomejoramiento de Quínoa"/>
    <x v="13"/>
    <x v="0"/>
    <s v="2015-04-01"/>
    <s v="2025-12-31"/>
    <n v="47762402"/>
    <n v="0"/>
    <n v="0"/>
    <n v="0"/>
    <n v="0"/>
    <n v="47762402"/>
    <s v=""/>
  </r>
  <r>
    <x v="0"/>
    <n v="501794"/>
    <x v="15"/>
    <n v="6"/>
    <s v=""/>
    <s v="Activado"/>
    <s v="Aprobado"/>
    <m/>
    <m/>
    <s v="Seminarios, cursos, talleres y publicaciones"/>
    <x v="6"/>
    <x v="0"/>
    <s v="2016-01-01"/>
    <s v="2025-12-31"/>
    <n v="2755090"/>
    <n v="0"/>
    <n v="0"/>
    <n v="0"/>
    <n v="0"/>
    <n v="2755090"/>
    <s v="N/A"/>
  </r>
  <r>
    <x v="1"/>
    <n v="501455"/>
    <x v="8"/>
    <n v="70"/>
    <s v=""/>
    <s v="Activado"/>
    <s v="Aprobado"/>
    <m/>
    <m/>
    <s v="Fitomejoramiento de trigo"/>
    <x v="7"/>
    <x v="0"/>
    <s v="2009-01-01"/>
    <s v="2025-12-31"/>
    <n v="43250000"/>
    <n v="0"/>
    <n v="0"/>
    <n v="0"/>
    <n v="0"/>
    <n v="43250000"/>
    <s v=""/>
  </r>
  <r>
    <x v="0"/>
    <n v="501690"/>
    <x v="8"/>
    <n v="70"/>
    <s v=""/>
    <s v="Activado"/>
    <s v="Aprobado"/>
    <m/>
    <m/>
    <s v="Fitomejoramiento de Frutales"/>
    <x v="1"/>
    <x v="0"/>
    <s v="2010-10-01"/>
    <s v="2025-12-31"/>
    <n v="25000000"/>
    <n v="0"/>
    <n v="0"/>
    <n v="0"/>
    <n v="0"/>
    <n v="25000000"/>
    <s v=""/>
  </r>
  <r>
    <x v="0"/>
    <n v="500014"/>
    <x v="8"/>
    <n v="70"/>
    <s v=""/>
    <s v="Activado"/>
    <s v="Aprobado"/>
    <m/>
    <m/>
    <s v="Red Agrometeorológica Nacional"/>
    <x v="17"/>
    <x v="0"/>
    <s v="2003-01-01"/>
    <s v="2025-12-31"/>
    <n v="3245700"/>
    <n v="0"/>
    <n v="0"/>
    <n v="0"/>
    <n v="0"/>
    <n v="324570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olHeaderCaption="">
  <location ref="N3:AE23" firstHeaderRow="1" firstDataRow="2" firstDataCol="1"/>
  <pivotFields count="21">
    <pivotField showAll="0"/>
    <pivotField showAll="0"/>
    <pivotField axis="axisCol" dataField="1" showAll="0">
      <items count="18">
        <item x="6"/>
        <item x="12"/>
        <item x="9"/>
        <item x="5"/>
        <item x="2"/>
        <item x="15"/>
        <item x="0"/>
        <item x="13"/>
        <item x="10"/>
        <item x="11"/>
        <item x="1"/>
        <item x="3"/>
        <item x="14"/>
        <item x="7"/>
        <item x="4"/>
        <item x="8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11"/>
        <item x="12"/>
        <item x="14"/>
        <item x="4"/>
        <item x="2"/>
        <item x="6"/>
        <item x="1"/>
        <item x="13"/>
        <item x="15"/>
        <item x="17"/>
        <item x="16"/>
        <item x="9"/>
        <item x="0"/>
        <item x="5"/>
        <item x="3"/>
        <item x="7"/>
        <item x="10"/>
        <item x="8"/>
        <item m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Cant. Proyectos por FF x IR" fld="2" subtotal="count" baseField="0" baseItem="0"/>
  </dataFields>
  <formats count="8">
    <format dxfId="139">
      <pivotArea dataOnly="0" labelOnly="1" fieldPosition="0">
        <references count="1">
          <reference field="2" count="1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38">
      <pivotArea dataOnly="0" labelOnly="1" grandCol="1" outline="0" fieldPosition="0"/>
    </format>
    <format dxfId="137">
      <pivotArea outline="0" collapsedLevelsAreSubtotals="1" fieldPosition="0"/>
    </format>
    <format dxfId="136">
      <pivotArea dataOnly="0" labelOnly="1" fieldPosition="0">
        <references count="1">
          <reference field="2" count="0"/>
        </references>
      </pivotArea>
    </format>
    <format dxfId="135">
      <pivotArea dataOnly="0" labelOnly="1" grandCol="1" outline="0" fieldPosition="0"/>
    </format>
    <format dxfId="134">
      <pivotArea outline="0" collapsedLevelsAreSubtotals="1" fieldPosition="0"/>
    </format>
    <format dxfId="133">
      <pivotArea dataOnly="0" labelOnly="1" fieldPosition="0">
        <references count="1">
          <reference field="2" count="0"/>
        </references>
      </pivotArea>
    </format>
    <format dxfId="132">
      <pivotArea dataOnly="0" labelOnly="1" grandCol="1" outline="0" fieldPosition="0"/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1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 rowHeaderCaption="$ Capturada por FF">
  <location ref="B58:C69" firstHeaderRow="1" firstDataRow="1" firstDataCol="1"/>
  <pivotFields count="21">
    <pivotField showAll="0">
      <items count="4">
        <item h="1" x="1"/>
        <item x="0"/>
        <item h="1" m="1" x="2"/>
        <item t="default"/>
      </items>
    </pivotField>
    <pivotField showAll="0"/>
    <pivotField axis="axisRow" showAll="0">
      <items count="18">
        <item x="5"/>
        <item x="2"/>
        <item x="0"/>
        <item x="1"/>
        <item x="14"/>
        <item x="7"/>
        <item x="8"/>
        <item m="1" x="16"/>
        <item x="15"/>
        <item x="11"/>
        <item x="3"/>
        <item x="13"/>
        <item x="10"/>
        <item x="9"/>
        <item x="4"/>
        <item x="6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11"/>
        <item x="12"/>
        <item x="14"/>
        <item x="4"/>
        <item x="2"/>
        <item x="6"/>
        <item x="1"/>
        <item x="13"/>
        <item x="15"/>
        <item x="17"/>
        <item x="16"/>
        <item x="9"/>
        <item x="0"/>
        <item x="5"/>
        <item x="3"/>
        <item x="7"/>
        <item x="10"/>
        <item x="8"/>
        <item m="1" x="18"/>
        <item t="default"/>
      </items>
    </pivotField>
    <pivotField showAll="0">
      <items count="8">
        <item h="1" m="1" x="3"/>
        <item h="1" m="1" x="4"/>
        <item x="0"/>
        <item h="1" m="1" x="6"/>
        <item h="1" m="1" x="5"/>
        <item h="1" m="1"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6"/>
    </i>
    <i>
      <x v="8"/>
    </i>
    <i>
      <x v="10"/>
    </i>
    <i>
      <x v="12"/>
    </i>
    <i>
      <x v="13"/>
    </i>
    <i>
      <x v="14"/>
    </i>
    <i t="grand">
      <x/>
    </i>
  </rowItems>
  <colItems count="1">
    <i/>
  </colItems>
  <dataFields count="1">
    <dataField name="Suma de MONTO FF" fld="14" baseField="2" baseItem="4" numFmtId="42"/>
  </dataFields>
  <formats count="1">
    <format dxfId="14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6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8" rowHeaderCaption="Proyectos por IR">
  <location ref="B34:C50" firstHeaderRow="1" firstDataRow="1" firstDataCol="1"/>
  <pivotFields count="21">
    <pivotField showAll="0">
      <items count="4">
        <item h="1" x="1"/>
        <item x="0"/>
        <item h="1" m="1" x="2"/>
        <item t="default"/>
      </items>
    </pivotField>
    <pivotField showAll="0"/>
    <pivotField dataField="1" showAll="0">
      <items count="18">
        <item x="6"/>
        <item x="12"/>
        <item x="9"/>
        <item x="5"/>
        <item x="2"/>
        <item x="15"/>
        <item x="0"/>
        <item x="13"/>
        <item x="10"/>
        <item x="11"/>
        <item x="1"/>
        <item x="3"/>
        <item x="14"/>
        <item x="7"/>
        <item x="4"/>
        <item x="8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11"/>
        <item x="12"/>
        <item x="14"/>
        <item x="4"/>
        <item x="2"/>
        <item x="6"/>
        <item x="1"/>
        <item x="13"/>
        <item x="15"/>
        <item x="17"/>
        <item x="16"/>
        <item x="9"/>
        <item x="0"/>
        <item x="5"/>
        <item x="7"/>
        <item x="10"/>
        <item x="8"/>
        <item m="1" x="18"/>
        <item x="3"/>
        <item t="default"/>
      </items>
    </pivotField>
    <pivotField showAll="0">
      <items count="8">
        <item h="1" m="1" x="3"/>
        <item h="1" m="1" x="4"/>
        <item x="0"/>
        <item h="1" m="1" x="6"/>
        <item h="1" m="1" x="5"/>
        <item h="1" m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6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1"/>
    </i>
    <i>
      <x v="12"/>
    </i>
    <i>
      <x v="13"/>
    </i>
    <i>
      <x v="14"/>
    </i>
    <i>
      <x v="15"/>
    </i>
    <i>
      <x v="16"/>
    </i>
    <i>
      <x v="18"/>
    </i>
    <i t="grand">
      <x/>
    </i>
  </rowItems>
  <colItems count="1">
    <i/>
  </colItems>
  <dataFields count="1">
    <dataField name="Cuenta de Nombre FF" fld="2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dinámica8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H28:I44" firstHeaderRow="1" firstDataRow="1" firstDataCol="1"/>
  <pivotFields count="21">
    <pivotField showAll="0">
      <items count="4">
        <item h="1" x="1"/>
        <item x="0"/>
        <item h="1" m="1" x="2"/>
        <item t="default"/>
      </items>
    </pivotField>
    <pivotField showAll="0"/>
    <pivotField showAll="0">
      <items count="18">
        <item x="6"/>
        <item x="12"/>
        <item x="9"/>
        <item x="5"/>
        <item x="2"/>
        <item x="15"/>
        <item x="0"/>
        <item x="13"/>
        <item x="10"/>
        <item x="11"/>
        <item x="1"/>
        <item x="3"/>
        <item x="14"/>
        <item x="7"/>
        <item x="4"/>
        <item x="8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11"/>
        <item x="12"/>
        <item x="14"/>
        <item x="4"/>
        <item x="2"/>
        <item x="6"/>
        <item x="1"/>
        <item x="13"/>
        <item x="15"/>
        <item x="17"/>
        <item x="16"/>
        <item x="9"/>
        <item x="0"/>
        <item x="5"/>
        <item x="7"/>
        <item x="10"/>
        <item x="8"/>
        <item m="1" x="18"/>
        <item x="3"/>
        <item t="default"/>
      </items>
    </pivotField>
    <pivotField showAll="0">
      <items count="8">
        <item h="1" m="1" x="3"/>
        <item h="1" m="1" x="4"/>
        <item x="0"/>
        <item h="1" m="1" x="6"/>
        <item h="1" m="1" x="5"/>
        <item h="1" m="1" x="2"/>
        <item h="1"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16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1"/>
    </i>
    <i>
      <x v="12"/>
    </i>
    <i>
      <x v="13"/>
    </i>
    <i>
      <x v="14"/>
    </i>
    <i>
      <x v="15"/>
    </i>
    <i>
      <x v="16"/>
    </i>
    <i>
      <x v="18"/>
    </i>
    <i t="grand">
      <x/>
    </i>
  </rowItems>
  <colItems count="1">
    <i/>
  </colItems>
  <dataFields count="1">
    <dataField name="Suma de PECUNIO ASOCIADO" fld="15" baseField="10" baseItem="0"/>
  </dataFields>
  <formats count="1">
    <format dxfId="14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 dinámica9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H51:I53" firstHeaderRow="1" firstDataRow="1" firstDataCol="1"/>
  <pivotFields count="21">
    <pivotField showAll="0">
      <items count="4">
        <item h="1" x="1"/>
        <item x="0"/>
        <item h="1" m="1" x="2"/>
        <item t="default"/>
      </items>
    </pivotField>
    <pivotField showAll="0"/>
    <pivotField showAll="0">
      <items count="18">
        <item x="6"/>
        <item x="12"/>
        <item x="9"/>
        <item x="5"/>
        <item x="2"/>
        <item x="15"/>
        <item x="0"/>
        <item x="13"/>
        <item x="10"/>
        <item x="11"/>
        <item x="1"/>
        <item x="3"/>
        <item x="14"/>
        <item x="7"/>
        <item x="4"/>
        <item x="8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11"/>
        <item x="12"/>
        <item x="14"/>
        <item x="4"/>
        <item x="2"/>
        <item x="6"/>
        <item x="1"/>
        <item x="13"/>
        <item x="15"/>
        <item x="17"/>
        <item x="16"/>
        <item x="9"/>
        <item x="0"/>
        <item x="5"/>
        <item x="3"/>
        <item x="7"/>
        <item x="10"/>
        <item x="8"/>
        <item m="1" x="18"/>
        <item t="default"/>
      </items>
    </pivotField>
    <pivotField axis="axisRow" dataField="1" showAll="0">
      <items count="8">
        <item h="1" m="1" x="3"/>
        <item h="1" m="1" x="4"/>
        <item x="0"/>
        <item h="1" m="1" x="6"/>
        <item h="1" m="1" x="5"/>
        <item h="1" m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 v="2"/>
    </i>
    <i t="grand">
      <x/>
    </i>
  </rowItems>
  <colItems count="1">
    <i/>
  </colItems>
  <dataFields count="1">
    <dataField name="Cuenta de Estado Proyecto" fld="11" subtotal="count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 dinámica1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">
  <location ref="H63:I65" firstHeaderRow="1" firstDataRow="1" firstDataCol="1"/>
  <pivotFields count="21">
    <pivotField showAll="0">
      <items count="4">
        <item h="1" x="1"/>
        <item x="0"/>
        <item h="1" m="1" x="2"/>
        <item t="default"/>
      </items>
    </pivotField>
    <pivotField showAll="0"/>
    <pivotField showAll="0">
      <items count="18">
        <item x="6"/>
        <item x="12"/>
        <item x="9"/>
        <item x="5"/>
        <item x="2"/>
        <item x="15"/>
        <item x="0"/>
        <item x="13"/>
        <item x="10"/>
        <item x="11"/>
        <item x="1"/>
        <item x="3"/>
        <item x="14"/>
        <item x="7"/>
        <item x="4"/>
        <item x="8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11"/>
        <item x="12"/>
        <item x="14"/>
        <item x="4"/>
        <item x="2"/>
        <item x="6"/>
        <item x="1"/>
        <item x="13"/>
        <item x="15"/>
        <item x="17"/>
        <item x="16"/>
        <item x="9"/>
        <item x="0"/>
        <item x="5"/>
        <item x="3"/>
        <item x="7"/>
        <item x="10"/>
        <item x="8"/>
        <item m="1" x="18"/>
        <item t="default"/>
      </items>
    </pivotField>
    <pivotField axis="axisRow" showAll="0">
      <items count="8">
        <item h="1" m="1" x="3"/>
        <item h="1" m="1" x="4"/>
        <item x="0"/>
        <item h="1" m="1" x="6"/>
        <item h="1" m="1" x="5"/>
        <item h="1" m="1"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 v="2"/>
    </i>
    <i t="grand">
      <x/>
    </i>
  </rowItems>
  <colItems count="1">
    <i/>
  </colItems>
  <dataFields count="1">
    <dataField name="Suma de MONTO FF" fld="14" baseField="11" baseItem="0" numFmtId="42"/>
  </dataFields>
  <formats count="1">
    <format dxfId="142">
      <pivotArea outline="0" collapsedLevelsAreSubtotals="1" fieldPosition="0"/>
    </format>
  </format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 diná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 rowHeaderCaption="Proyectos por CRI">
  <location ref="B3:C5" firstHeaderRow="1" firstDataRow="1" firstDataCol="1"/>
  <pivotFields count="21">
    <pivotField axis="axisRow" showAll="0">
      <items count="4">
        <item h="1" x="1"/>
        <item x="0"/>
        <item h="1" m="1" x="2"/>
        <item t="default"/>
      </items>
    </pivotField>
    <pivotField showAll="0"/>
    <pivotField dataField="1" showAll="0" defaultSubtotal="0">
      <items count="17">
        <item x="6"/>
        <item x="12"/>
        <item x="9"/>
        <item x="5"/>
        <item x="2"/>
        <item x="15"/>
        <item x="0"/>
        <item x="13"/>
        <item x="10"/>
        <item x="11"/>
        <item x="1"/>
        <item x="3"/>
        <item x="14"/>
        <item x="7"/>
        <item x="4"/>
        <item x="8"/>
        <item m="1" x="16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11"/>
        <item x="12"/>
        <item x="14"/>
        <item x="4"/>
        <item x="2"/>
        <item x="6"/>
        <item x="1"/>
        <item x="13"/>
        <item x="15"/>
        <item x="17"/>
        <item x="16"/>
        <item x="9"/>
        <item x="0"/>
        <item x="5"/>
        <item x="3"/>
        <item x="7"/>
        <item x="10"/>
        <item x="8"/>
        <item m="1" x="18"/>
        <item t="default"/>
      </items>
    </pivotField>
    <pivotField showAll="0">
      <items count="8">
        <item h="1" m="1" x="3"/>
        <item h="1" m="1" x="4"/>
        <item x="0"/>
        <item h="1" m="1" x="6"/>
        <item h="1" m="1" x="5"/>
        <item h="1" m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Cuenta de Nombre FF" fld="2" subtotal="count" baseField="0" baseItem="0"/>
  </dataFields>
  <chartFormats count="3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 dinámica7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">
  <location ref="H3:I19" firstHeaderRow="1" firstDataRow="1" firstDataCol="1"/>
  <pivotFields count="21">
    <pivotField showAll="0">
      <items count="4">
        <item h="1" x="1"/>
        <item x="0"/>
        <item h="1" m="1" x="2"/>
        <item t="default"/>
      </items>
    </pivotField>
    <pivotField showAll="0"/>
    <pivotField showAll="0">
      <items count="18">
        <item x="6"/>
        <item x="12"/>
        <item x="9"/>
        <item x="5"/>
        <item x="2"/>
        <item x="15"/>
        <item x="0"/>
        <item x="13"/>
        <item x="10"/>
        <item x="11"/>
        <item x="1"/>
        <item x="3"/>
        <item x="14"/>
        <item x="7"/>
        <item x="4"/>
        <item x="8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11"/>
        <item x="12"/>
        <item x="14"/>
        <item x="4"/>
        <item x="2"/>
        <item x="6"/>
        <item x="1"/>
        <item x="13"/>
        <item x="15"/>
        <item x="17"/>
        <item x="16"/>
        <item x="9"/>
        <item x="0"/>
        <item x="5"/>
        <item x="7"/>
        <item x="10"/>
        <item x="8"/>
        <item m="1" x="18"/>
        <item x="3"/>
        <item t="default"/>
      </items>
    </pivotField>
    <pivotField showAll="0">
      <items count="8">
        <item h="1" m="1" x="3"/>
        <item h="1" m="1" x="4"/>
        <item x="0"/>
        <item h="1" m="1" x="6"/>
        <item h="1" m="1" x="5"/>
        <item h="1" m="1"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6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1"/>
    </i>
    <i>
      <x v="12"/>
    </i>
    <i>
      <x v="13"/>
    </i>
    <i>
      <x v="14"/>
    </i>
    <i>
      <x v="15"/>
    </i>
    <i>
      <x v="16"/>
    </i>
    <i>
      <x v="18"/>
    </i>
    <i t="grand">
      <x/>
    </i>
  </rowItems>
  <colItems count="1">
    <i/>
  </colItems>
  <dataFields count="1">
    <dataField name="Suma de MONTO FF" fld="14" baseField="10" baseItem="0" numFmtId="42"/>
  </dataFields>
  <formats count="1">
    <format dxfId="143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 dinámica5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 rowHeaderCaption="Proyectos por FF">
  <location ref="B11:C22" firstHeaderRow="1" firstDataRow="1" firstDataCol="1"/>
  <pivotFields count="21">
    <pivotField showAll="0">
      <items count="4">
        <item h="1" x="1"/>
        <item x="0"/>
        <item h="1" m="1" x="2"/>
        <item t="default"/>
      </items>
    </pivotField>
    <pivotField showAll="0"/>
    <pivotField axis="axisRow" dataField="1" showAll="0" defaultSubtotal="0">
      <items count="17">
        <item x="5"/>
        <item x="2"/>
        <item x="0"/>
        <item x="1"/>
        <item x="14"/>
        <item x="7"/>
        <item x="8"/>
        <item m="1" x="16"/>
        <item x="15"/>
        <item x="11"/>
        <item x="3"/>
        <item x="13"/>
        <item x="10"/>
        <item x="9"/>
        <item x="4"/>
        <item x="6"/>
        <item x="12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0">
        <item x="11"/>
        <item x="12"/>
        <item x="14"/>
        <item x="4"/>
        <item x="2"/>
        <item x="6"/>
        <item x="1"/>
        <item x="13"/>
        <item x="15"/>
        <item x="17"/>
        <item x="16"/>
        <item x="9"/>
        <item x="0"/>
        <item x="5"/>
        <item x="3"/>
        <item x="7"/>
        <item x="10"/>
        <item x="8"/>
        <item m="1" x="18"/>
        <item t="default"/>
      </items>
    </pivotField>
    <pivotField showAll="0">
      <items count="8">
        <item h="1" m="1" x="3"/>
        <item h="1" m="1" x="4"/>
        <item x="0"/>
        <item h="1" m="1" x="6"/>
        <item h="1" m="1" x="5"/>
        <item h="1" m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6"/>
    </i>
    <i>
      <x v="8"/>
    </i>
    <i>
      <x v="10"/>
    </i>
    <i>
      <x v="12"/>
    </i>
    <i>
      <x v="13"/>
    </i>
    <i>
      <x v="14"/>
    </i>
    <i t="grand">
      <x/>
    </i>
  </rowItems>
  <colItems count="1">
    <i/>
  </colItems>
  <dataFields count="1">
    <dataField name="Cuenta de Nombre FF" fld="2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a dinámica10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Dependencia">
  <location ref="B22:D25" firstHeaderRow="0" firstDataRow="1" firstDataCol="1" rowPageCount="1" colPageCount="1"/>
  <pivotFields count="21">
    <pivotField axis="axisRow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8">
        <item m="1" x="3"/>
        <item m="1" x="4"/>
        <item x="0"/>
        <item m="1" x="6"/>
        <item m="1" x="5"/>
        <item m="1"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N° de Proyectos" fld="9" subtotal="count" baseField="0" baseItem="0"/>
    <dataField name="$Total FF" fld="14" baseField="0" baseItem="0" numFmtId="42"/>
  </dataFields>
  <formats count="27">
    <format dxfId="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0" type="button" dataOnly="0" labelOnly="1" outline="0" axis="axisRow" fieldPosition="0"/>
    </format>
    <format dxfId="62">
      <pivotArea dataOnly="0" labelOnly="1" fieldPosition="0">
        <references count="1">
          <reference field="0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axis="axisRow" fieldPosition="0"/>
    </format>
    <format dxfId="56">
      <pivotArea dataOnly="0" labelOnly="1" fieldPosition="0">
        <references count="1">
          <reference field="0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outline="0" collapsedLevelsAreSubtotals="1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outline="0" collapsedLevelsAreSubtotals="1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la dinámica9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IR">
  <location ref="H4:J20" firstHeaderRow="0" firstDataRow="1" firstDataCol="1" rowPageCount="1" colPageCount="1"/>
  <pivotFields count="21">
    <pivotField showAll="0"/>
    <pivotField showAll="0"/>
    <pivotField axis="axisRow" showAll="0">
      <items count="18">
        <item x="6"/>
        <item x="12"/>
        <item x="9"/>
        <item x="5"/>
        <item x="2"/>
        <item x="15"/>
        <item x="0"/>
        <item x="13"/>
        <item x="10"/>
        <item x="11"/>
        <item x="1"/>
        <item x="3"/>
        <item x="14"/>
        <item x="7"/>
        <item x="4"/>
        <item x="8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0">
        <item sd="0" x="11"/>
        <item sd="0" x="12"/>
        <item sd="0" x="14"/>
        <item sd="0" x="4"/>
        <item sd="0" x="2"/>
        <item sd="0" x="6"/>
        <item sd="0" x="1"/>
        <item sd="0" x="13"/>
        <item sd="0" x="15"/>
        <item sd="0" x="17"/>
        <item sd="0" x="16"/>
        <item sd="0" x="9"/>
        <item sd="0" x="0"/>
        <item sd="0" x="5"/>
        <item sd="0" x="3"/>
        <item sd="0" x="7"/>
        <item sd="0" x="10"/>
        <item sd="0" x="8"/>
        <item m="1" x="18"/>
        <item t="default"/>
      </items>
    </pivotField>
    <pivotField axis="axisPage" multipleItemSelectionAllowed="1" showAll="0">
      <items count="8">
        <item m="1" x="3"/>
        <item m="1" x="4"/>
        <item x="0"/>
        <item m="1" x="6"/>
        <item m="1" x="5"/>
        <item m="1"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0"/>
    <field x="2"/>
  </rowFields>
  <rowItems count="16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N° de Proyectos" fld="9" subtotal="count" baseField="0" baseItem="0"/>
    <dataField name="Total $" fld="14" baseField="10" baseItem="0"/>
  </dataFields>
  <formats count="23">
    <format dxfId="90">
      <pivotArea dataOnly="0" outline="0" fieldPosition="0">
        <references count="1">
          <reference field="4294967294" count="1">
            <x v="1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0" type="button" dataOnly="0" labelOnly="1" outline="0" axis="axisRow" fieldPosition="0"/>
    </format>
    <format dxfId="86">
      <pivotArea dataOnly="0" labelOnly="1" fieldPosition="0">
        <references count="1">
          <reference field="10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0" type="button" dataOnly="0" labelOnly="1" outline="0" axis="axisRow" fieldPosition="0"/>
    </format>
    <format dxfId="80">
      <pivotArea dataOnly="0" labelOnly="1" fieldPosition="0">
        <references count="1">
          <reference field="10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">
      <pivotArea outline="0" collapsedLevelsAreSubtotals="1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">
      <pivotArea outline="0" collapsedLevelsAreSubtotals="1" fieldPosition="0"/>
    </format>
    <format dxfId="74">
      <pivotArea dataOnly="0" labelOnly="1" fieldPosition="0">
        <references count="1">
          <reference field="10" count="14">
            <x v="0"/>
            <x v="3"/>
            <x v="4"/>
            <x v="5"/>
            <x v="6"/>
            <x v="7"/>
            <x v="9"/>
            <x v="11"/>
            <x v="12"/>
            <x v="13"/>
            <x v="14"/>
            <x v="15"/>
            <x v="16"/>
            <x v="17"/>
          </reference>
        </references>
      </pivotArea>
    </format>
    <format dxfId="73">
      <pivotArea dataOnly="0" labelOnly="1" grandRow="1" outline="0" fieldPosition="0"/>
    </format>
    <format dxfId="72">
      <pivotArea dataOnly="0" fieldPosition="0">
        <references count="1">
          <reference field="10" count="1">
            <x v="1"/>
          </reference>
        </references>
      </pivotArea>
    </format>
    <format dxfId="71">
      <pivotArea field="10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">
      <pivotArea field="10" type="button" dataOnly="0" labelOnly="1" outline="0" axis="axisRow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la dinámica8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Fuente F.">
  <location ref="B4:D15" firstHeaderRow="0" firstDataRow="1" firstDataCol="1" rowPageCount="1" colPageCount="1"/>
  <pivotFields count="21">
    <pivotField showAll="0"/>
    <pivotField showAll="0"/>
    <pivotField axis="axisRow" showAll="0">
      <items count="18">
        <item x="6"/>
        <item x="12"/>
        <item x="9"/>
        <item x="5"/>
        <item x="2"/>
        <item x="15"/>
        <item x="0"/>
        <item x="13"/>
        <item x="10"/>
        <item x="11"/>
        <item x="1"/>
        <item x="3"/>
        <item x="14"/>
        <item x="7"/>
        <item x="4"/>
        <item x="8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8">
        <item m="1" x="3"/>
        <item m="1" x="4"/>
        <item x="0"/>
        <item m="1" x="6"/>
        <item m="1" x="5"/>
        <item m="1"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2"/>
    </i>
    <i>
      <x v="3"/>
    </i>
    <i>
      <x v="4"/>
    </i>
    <i>
      <x v="5"/>
    </i>
    <i>
      <x v="6"/>
    </i>
    <i>
      <x v="8"/>
    </i>
    <i>
      <x v="10"/>
    </i>
    <i>
      <x v="11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N° de Proyectos" fld="9" subtotal="count" baseField="0" baseItem="0"/>
    <dataField name="$ Total FF" fld="14" baseField="2" baseItem="0" numFmtId="42"/>
  </dataFields>
  <formats count="31">
    <format dxfId="1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2" type="button" dataOnly="0" labelOnly="1" outline="0" axis="axisRow" fieldPosition="0"/>
    </format>
    <format dxfId="117">
      <pivotArea dataOnly="0" labelOnly="1" fieldPosition="0">
        <references count="1">
          <reference field="2" count="0"/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2" type="button" dataOnly="0" labelOnly="1" outline="0" axis="axisRow" fieldPosition="0"/>
    </format>
    <format dxfId="111">
      <pivotArea dataOnly="0" labelOnly="1" fieldPosition="0">
        <references count="1">
          <reference field="2" count="0"/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outline="0" collapsedLevelsAreSubtotals="1" fieldPosition="0"/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2" type="button" dataOnly="0" labelOnly="1" outline="0" axis="axisRow" fieldPosition="0"/>
    </format>
    <format dxfId="103">
      <pivotArea dataOnly="0" labelOnly="1" fieldPosition="0">
        <references count="1">
          <reference field="2" count="0"/>
        </references>
      </pivotArea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grandRow="1" outline="0" collapsedLevelsAreSubtotals="1" fieldPosition="0"/>
    </format>
    <format dxfId="99">
      <pivotArea dataOnly="0" labelOnly="1" grandRow="1" outline="0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2" type="button" dataOnly="0" labelOnly="1" outline="0" axis="axisRow" fieldPosition="0"/>
    </format>
    <format dxfId="95">
      <pivotArea dataOnly="0" labelOnly="1" fieldPosition="0">
        <references count="1">
          <reference field="2" count="0"/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field="2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ependencia" sourceName="Dependencia">
  <pivotTables>
    <pivotTable tabId="2" name="Tabla dinámica3"/>
    <pivotTable tabId="2" name="Tabla dinámica12"/>
    <pivotTable tabId="2" name="Tabla dinámica13"/>
    <pivotTable tabId="2" name="Tabla dinámica5"/>
    <pivotTable tabId="2" name="Tabla dinámica6"/>
    <pivotTable tabId="2" name="Tabla dinámica7"/>
    <pivotTable tabId="2" name="Tabla dinámica8"/>
    <pivotTable tabId="2" name="Tabla dinámica9"/>
  </pivotTables>
  <data>
    <tabular pivotCacheId="1">
      <items count="3">
        <i x="1"/>
        <i x="0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Nombre_FF" sourceName="Nombre FF">
  <pivotTables>
    <pivotTable tabId="2" name="Tabla dinámica3"/>
    <pivotTable tabId="2" name="Tabla dinámica12"/>
    <pivotTable tabId="2" name="Tabla dinámica13"/>
    <pivotTable tabId="2" name="Tabla dinámica5"/>
    <pivotTable tabId="2" name="Tabla dinámica6"/>
    <pivotTable tabId="2" name="Tabla dinámica7"/>
    <pivotTable tabId="2" name="Tabla dinámica8"/>
    <pivotTable tabId="2" name="Tabla dinámica9"/>
  </pivotTables>
  <data>
    <tabular pivotCacheId="1">
      <items count="17">
        <i x="9" s="1"/>
        <i x="5" s="1"/>
        <i x="2" s="1"/>
        <i x="15" s="1"/>
        <i x="0" s="1"/>
        <i x="10" s="1"/>
        <i x="1" s="1"/>
        <i x="3" s="1"/>
        <i x="4" s="1"/>
        <i x="8" s="1"/>
        <i x="6" s="1" nd="1"/>
        <i x="12" s="1" nd="1"/>
        <i x="13" s="1" nd="1"/>
        <i x="11" s="1" nd="1"/>
        <i x="14" s="1" nd="1"/>
        <i x="7" s="1" nd="1"/>
        <i x="16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Jefe_Proyecto" sourceName="Jefe Proyecto">
  <pivotTables>
    <pivotTable tabId="2" name="Tabla dinámica3"/>
    <pivotTable tabId="2" name="Tabla dinámica12"/>
    <pivotTable tabId="2" name="Tabla dinámica13"/>
    <pivotTable tabId="2" name="Tabla dinámica5"/>
    <pivotTable tabId="2" name="Tabla dinámica6"/>
    <pivotTable tabId="2" name="Tabla dinámica7"/>
    <pivotTable tabId="2" name="Tabla dinámica8"/>
    <pivotTable tabId="2" name="Tabla dinámica9"/>
  </pivotTables>
  <data>
    <tabular pivotCacheId="1">
      <items count="19">
        <i x="11" s="1"/>
        <i x="12" s="1"/>
        <i x="4" s="1"/>
        <i x="2" s="1"/>
        <i x="6" s="1"/>
        <i x="1" s="1"/>
        <i x="13" s="1"/>
        <i x="17" s="1"/>
        <i x="9" s="1"/>
        <i x="0" s="1"/>
        <i x="5" s="1"/>
        <i x="3" s="1"/>
        <i x="7" s="1"/>
        <i x="10" s="1"/>
        <i x="8" s="1"/>
        <i x="14" s="1" nd="1"/>
        <i x="15" s="1" nd="1"/>
        <i x="16" s="1" nd="1"/>
        <i x="18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Estado_Proyecto" sourceName="Estado Proyecto">
  <pivotTables>
    <pivotTable tabId="2" name="Tabla dinámica3"/>
    <pivotTable tabId="2" name="Tabla dinámica12"/>
    <pivotTable tabId="2" name="Tabla dinámica13"/>
    <pivotTable tabId="2" name="Tabla dinámica5"/>
    <pivotTable tabId="2" name="Tabla dinámica6"/>
    <pivotTable tabId="2" name="Tabla dinámica7"/>
    <pivotTable tabId="2" name="Tabla dinámica8"/>
    <pivotTable tabId="2" name="Tabla dinámica9"/>
  </pivotTables>
  <data>
    <tabular pivotCacheId="1">
      <items count="7">
        <i x="0" s="1"/>
        <i x="1"/>
        <i x="3" nd="1"/>
        <i x="4" nd="1"/>
        <i x="6" nd="1"/>
        <i x="5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endencia" cache="SegmentaciónDeDatos_Dependencia" caption="Dependencia" columnCount="2" rowHeight="241300"/>
  <slicer name="Nombre FF" cache="SegmentaciónDeDatos_Nombre_FF" caption="Nombre FF" startItem="7" columnCount="7" rowHeight="241300"/>
  <slicer name="Jefe Proyecto" cache="SegmentaciónDeDatos_Jefe_Proyecto" caption="Jefe Proyecto" columnCount="6" rowHeight="241300"/>
  <slicer name="Estado Proyecto" cache="SegmentaciónDeDatos_Estado_Proyecto" caption="Estado Proyecto" columnCount="4" rowHeight="241300"/>
</slicers>
</file>

<file path=xl/tables/table1.xml><?xml version="1.0" encoding="utf-8"?>
<table xmlns="http://schemas.openxmlformats.org/spreadsheetml/2006/main" id="1" name="Tabla1" displayName="Tabla1" ref="B2:V70" totalsRowShown="0" headerRowDxfId="169" dataDxfId="167" headerRowBorderDxfId="168" tableBorderDxfId="166" totalsRowBorderDxfId="165">
  <autoFilter ref="B2:V70">
    <filterColumn colId="11">
      <filters>
        <filter val="En Ejecución"/>
      </filters>
    </filterColumn>
    <filterColumn colId="13">
      <filters>
        <filter val="2025-12-31"/>
      </filters>
    </filterColumn>
  </autoFilter>
  <sortState ref="B2:V68">
    <sortCondition descending="1" ref="C1:C68"/>
  </sortState>
  <tableColumns count="21">
    <tableColumn id="1" name="Dependencia" dataDxfId="164"/>
    <tableColumn id="2" name="Código" dataDxfId="163"/>
    <tableColumn id="22" name="Nombre FF" dataDxfId="162"/>
    <tableColumn id="3" name="FF" dataDxfId="161"/>
    <tableColumn id="4" name="Otras FF" dataDxfId="160"/>
    <tableColumn id="5" name="Estado Código" dataDxfId="159"/>
    <tableColumn id="6" name="Estado Formulario" dataDxfId="158"/>
    <tableColumn id="7" name="Estado Acta Inicio" dataDxfId="157"/>
    <tableColumn id="8" name="Estado Contrato" dataDxfId="156"/>
    <tableColumn id="9" name="Título Proyecto" dataDxfId="155"/>
    <tableColumn id="10" name="Jefe Proyecto" dataDxfId="154"/>
    <tableColumn id="11" name="Estado Proyecto" dataDxfId="153"/>
    <tableColumn id="12" name="Desde" dataDxfId="152"/>
    <tableColumn id="13" name="Hasta" dataDxfId="151"/>
    <tableColumn id="21" name="MONTO FF" dataDxfId="150"/>
    <tableColumn id="20" name="PECUNIO ASOCIADO" dataDxfId="149"/>
    <tableColumn id="19" name="NO PECUNIO ASOCIADO" dataDxfId="148"/>
    <tableColumn id="18" name="PECUNIO INIA" dataDxfId="147"/>
    <tableColumn id="17" name="NO PECUNIO INIA" dataDxfId="146"/>
    <tableColumn id="16" name="TOTAL PROYECTO" dataDxfId="145">
      <calculatedColumnFormula>+SUM(Tabla1[[#This Row],[MONTO FF]:[NO PECUNIO INIA]])</calculatedColumnFormula>
    </tableColumn>
    <tableColumn id="14" name="Código Externo" dataDxfId="1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E58:F75" totalsRowShown="0">
  <autoFilter ref="E58:F75"/>
  <sortState ref="E59:F75">
    <sortCondition ref="F52:F69"/>
  </sortState>
  <tableColumns count="2">
    <tableColumn id="1" name="$ Capturada por FF"/>
    <tableColumn id="2" name="Suma de MONTO FF" dataCellStyle="Moneda [0]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Tabla4" displayName="Tabla4" ref="E3:F7" totalsRowShown="0">
  <autoFilter ref="E3:F7"/>
  <sortState ref="E3:F5">
    <sortCondition ref="F2:F5"/>
  </sortState>
  <tableColumns count="2">
    <tableColumn id="1" name="Proyectos por CRI" dataDxfId="131"/>
    <tableColumn id="2" name="Cuenta de Nombre FF" dataDxfId="13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Tabla5" displayName="Tabla5" ref="E11:F29" totalsRowShown="0">
  <autoFilter ref="E11:F29"/>
  <sortState ref="E11:F27">
    <sortCondition ref="F7:F24"/>
  </sortState>
  <tableColumns count="2">
    <tableColumn id="1" name="Proyectos por FF" dataDxfId="129"/>
    <tableColumn id="2" name="Cuenta de Nombre FF" dataDxfId="12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6" name="Tabla6" displayName="Tabla6" ref="E34:F53" totalsRowShown="0">
  <autoFilter ref="E34:F53"/>
  <sortState ref="E34:F52">
    <sortCondition ref="F30:F49"/>
  </sortState>
  <tableColumns count="2">
    <tableColumn id="1" name="Proyectos por IR" dataDxfId="127"/>
    <tableColumn id="2" name="Cuenta de Nombre FF" dataDxfId="12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Tabla8" displayName="Tabla8" ref="K3:L22" totalsRowShown="0">
  <autoFilter ref="K3:L22"/>
  <sortState ref="K3:L21">
    <sortCondition ref="L2:L21"/>
  </sortState>
  <tableColumns count="2">
    <tableColumn id="1" name="$ Capturado por IR en PY" dataDxfId="125"/>
    <tableColumn id="2" name="Suma de MONTO FF" dataDxfId="12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9" name="Tabla9" displayName="Tabla9" ref="K28:L47" totalsRowShown="0">
  <autoFilter ref="K28:L47"/>
  <sortState ref="K28:L46">
    <sortCondition ref="L24:L43"/>
  </sortState>
  <tableColumns count="2">
    <tableColumn id="1" name="Etiquetas de fila" dataDxfId="123"/>
    <tableColumn id="2" name="Suma de PECUNIO ASOCIADO" dataDxfId="12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0" name="Tabla10" displayName="Tabla10" ref="K51:L55" totalsRowShown="0">
  <autoFilter ref="K51:L55"/>
  <sortState ref="K51:L54">
    <sortCondition ref="L46:L50"/>
  </sortState>
  <tableColumns count="2">
    <tableColumn id="1" name="Cant. PY por Estado"/>
    <tableColumn id="2" name="Cuenta de Estado Proyect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1" name="Tabla11" displayName="Tabla11" ref="K63:L67" totalsRowShown="0">
  <autoFilter ref="K63:L67"/>
  <sortState ref="K64:L67">
    <sortCondition ref="L53:L57"/>
  </sortState>
  <tableColumns count="2">
    <tableColumn id="1" name="$ por Estado PY"/>
    <tableColumn id="2" name="Suma de MONTO FF" dataCellStyle="Moneda [0]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3" name="Tabla3" displayName="Tabla3" ref="I3:N61" totalsRowShown="0" headerRowDxfId="40" headerRowBorderDxfId="39" tableBorderDxfId="38" totalsRowBorderDxfId="37">
  <autoFilter ref="I3:N61"/>
  <sortState ref="I4:N61">
    <sortCondition descending="1" ref="L3:L61"/>
  </sortState>
  <tableColumns count="6">
    <tableColumn id="1" name="Título Proyecto " dataDxfId="36"/>
    <tableColumn id="2" name="Jefe de Proyecto" dataDxfId="35"/>
    <tableColumn id="3" name="Fuente de Financiamiento" dataDxfId="34"/>
    <tableColumn id="4" name="Fecha inicio (dd/mm/aa)" dataDxfId="33"/>
    <tableColumn id="5" name="Fecha término (dd/mm/aa)" dataDxfId="32"/>
    <tableColumn id="6" name="Observación/" dataDxfId="3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7" name="Tabla7" displayName="Tabla7" ref="C2:O21" totalsRowCount="1" headerRowDxfId="30" dataDxfId="28" headerRowBorderDxfId="29" tableBorderDxfId="27" totalsRowBorderDxfId="26" headerRowCellStyle="Moneda [0]" dataCellStyle="Moneda [0]">
  <autoFilter ref="C2:O20">
    <filterColumn colId="2">
      <filters>
        <filter val="ALTIMIRA PASSALACQUA, FABIOLA"/>
        <filter val="OTAROLA ALIAGA, JAIME IGNACIO"/>
        <filter val="QUEZADA JARA, MARCELO"/>
        <filter val="RIQUELME TOLEDO, DANAE"/>
        <filter val="RUBILAR TORRES, FELIPE ANDRES"/>
      </filters>
    </filterColumn>
    <filterColumn colId="3">
      <filters>
        <filter val="En Ejecución"/>
      </filters>
    </filterColumn>
  </autoFilter>
  <tableColumns count="13">
    <tableColumn id="1" name="Nombre FF" dataDxfId="25" totalsRowDxfId="24"/>
    <tableColumn id="2" name="Título Proyecto" dataDxfId="23" totalsRowDxfId="22"/>
    <tableColumn id="3" name="Jefe Proyecto" dataDxfId="21" totalsRowDxfId="20"/>
    <tableColumn id="4" name="Estado Proyecto" dataDxfId="19" totalsRowDxfId="18"/>
    <tableColumn id="5" name="Desde" dataDxfId="17" totalsRowDxfId="16"/>
    <tableColumn id="6" name="Hasta" dataDxfId="15" totalsRowDxfId="14"/>
    <tableColumn id="7" name="MONTO FF" dataDxfId="13" totalsRowDxfId="12" dataCellStyle="Moneda [0]"/>
    <tableColumn id="8" name="PECUNIO ASOCIADO" dataDxfId="11" totalsRowDxfId="10" dataCellStyle="Moneda [0]"/>
    <tableColumn id="9" name="NO PECUNIO ASOCIADO" dataDxfId="9" totalsRowDxfId="8" dataCellStyle="Moneda [0]"/>
    <tableColumn id="10" name="PECUNIO INIA" dataDxfId="7" totalsRowDxfId="6" dataCellStyle="Moneda [0]"/>
    <tableColumn id="11" name="NO PECUNIO INIA" dataDxfId="5" totalsRowDxfId="4" dataCellStyle="Moneda [0]"/>
    <tableColumn id="12" name="TOTAL PROYECTO" totalsRowFunction="sum" dataDxfId="3" totalsRowDxfId="2" dataCellStyle="Moneda [0]"/>
    <tableColumn id="13" name="Código Externo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ector">
  <a:themeElements>
    <a:clrScheme name="Secto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flejo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alpha val="100000"/>
                <a:satMod val="140000"/>
                <a:lumMod val="105000"/>
              </a:schemeClr>
            </a:gs>
            <a:gs pos="41000">
              <a:schemeClr val="phClr">
                <a:tint val="57000"/>
                <a:satMod val="160000"/>
                <a:lumMod val="99000"/>
              </a:schemeClr>
            </a:gs>
            <a:gs pos="100000">
              <a:schemeClr val="phClr">
                <a:tint val="80000"/>
                <a:satMod val="180000"/>
                <a:lumMod val="104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7000"/>
                <a:satMod val="115000"/>
                <a:lumMod val="114000"/>
              </a:schemeClr>
            </a:gs>
            <a:gs pos="60000">
              <a:schemeClr val="phClr">
                <a:tint val="100000"/>
                <a:shade val="96000"/>
                <a:satMod val="100000"/>
                <a:lumMod val="108000"/>
              </a:schemeClr>
            </a:gs>
            <a:gs pos="100000">
              <a:schemeClr val="phClr">
                <a:shade val="91000"/>
                <a:sat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50800" dist="31750" dir="5400000" sy="98000" rotWithShape="0">
              <a:srgbClr val="000000">
                <a:alpha val="47000"/>
              </a:srgbClr>
            </a:outerShdw>
          </a:effectLst>
          <a:scene3d>
            <a:camera prst="orthographicFront">
              <a:rot lat="0" lon="0" rev="0"/>
            </a:camera>
            <a:lightRig rig="twoPt" dir="t">
              <a:rot lat="0" lon="0" rev="4800000"/>
            </a:lightRig>
          </a:scene3d>
          <a:sp3d prstMaterial="matte">
            <a:bevelT w="25400" h="44450"/>
          </a:sp3d>
        </a:effectStyle>
        <a:effectStyle>
          <a:effectLst>
            <a:reflection blurRad="25400" stA="32000" endPos="28000" dist="8889" dir="5400000" sy="-100000" rotWithShape="0"/>
          </a:effectLst>
          <a:scene3d>
            <a:camera prst="orthographicFront">
              <a:rot lat="0" lon="0" rev="0"/>
            </a:camera>
            <a:lightRig rig="threePt" dir="t">
              <a:rot lat="0" lon="0" rev="4800000"/>
            </a:lightRig>
          </a:scene3d>
          <a:sp3d>
            <a:bevelT w="508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3.xml"/><Relationship Id="rId18" Type="http://schemas.openxmlformats.org/officeDocument/2006/relationships/table" Target="../tables/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2.xml"/><Relationship Id="rId17" Type="http://schemas.openxmlformats.org/officeDocument/2006/relationships/table" Target="../tables/table7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5.xml"/><Relationship Id="rId10" Type="http://schemas.openxmlformats.org/officeDocument/2006/relationships/printerSettings" Target="../printerSettings/printerSettings2.bin"/><Relationship Id="rId19" Type="http://schemas.openxmlformats.org/officeDocument/2006/relationships/table" Target="../tables/table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70"/>
  <sheetViews>
    <sheetView showGridLines="0" tabSelected="1" showOutlineSymbols="0" showWhiteSpace="0" topLeftCell="E1" zoomScale="70" zoomScaleNormal="70" workbookViewId="0">
      <selection activeCell="K14" sqref="K14"/>
    </sheetView>
  </sheetViews>
  <sheetFormatPr baseColWidth="10" defaultColWidth="9" defaultRowHeight="14.25" x14ac:dyDescent="0.2"/>
  <cols>
    <col min="1" max="1" width="30.25" customWidth="1"/>
    <col min="2" max="2" width="25.875" bestFit="1" customWidth="1"/>
    <col min="3" max="3" width="9.625" customWidth="1"/>
    <col min="4" max="4" width="11.5" customWidth="1"/>
    <col min="5" max="5" width="12.75" customWidth="1"/>
    <col min="6" max="6" width="16.25" customWidth="1"/>
    <col min="7" max="7" width="19.625" customWidth="1"/>
    <col min="8" max="8" width="19.375" customWidth="1"/>
    <col min="9" max="9" width="20.125" customWidth="1"/>
    <col min="10" max="10" width="52.75" customWidth="1"/>
    <col min="11" max="11" width="18.875" bestFit="1" customWidth="1"/>
    <col min="12" max="12" width="18.125" bestFit="1" customWidth="1"/>
    <col min="13" max="13" width="11.125" bestFit="1" customWidth="1"/>
    <col min="14" max="14" width="13.75" style="28" bestFit="1" customWidth="1"/>
    <col min="15" max="15" width="15.5" style="29" bestFit="1" customWidth="1"/>
    <col min="16" max="16" width="15.625" style="7" bestFit="1" customWidth="1"/>
    <col min="17" max="17" width="17.625" style="7" bestFit="1" customWidth="1"/>
    <col min="18" max="18" width="18.375" style="7" bestFit="1" customWidth="1"/>
    <col min="19" max="19" width="21.5" style="7" bestFit="1" customWidth="1"/>
    <col min="20" max="20" width="23" style="7" bestFit="1" customWidth="1"/>
    <col min="21" max="21" width="22.625" bestFit="1" customWidth="1"/>
  </cols>
  <sheetData>
    <row r="1" spans="2:22" ht="32.25" customHeight="1" x14ac:dyDescent="0.2"/>
    <row r="2" spans="2:22" s="5" customFormat="1" ht="30" x14ac:dyDescent="0.25">
      <c r="B2" s="84" t="s">
        <v>0</v>
      </c>
      <c r="C2" s="85" t="s">
        <v>1</v>
      </c>
      <c r="D2" s="85" t="s">
        <v>218</v>
      </c>
      <c r="E2" s="85" t="s">
        <v>2</v>
      </c>
      <c r="F2" s="85" t="s">
        <v>3</v>
      </c>
      <c r="G2" s="85" t="s">
        <v>4</v>
      </c>
      <c r="H2" s="85" t="s">
        <v>5</v>
      </c>
      <c r="I2" s="85" t="s">
        <v>6</v>
      </c>
      <c r="J2" s="85" t="s">
        <v>7</v>
      </c>
      <c r="K2" s="85" t="s">
        <v>8</v>
      </c>
      <c r="L2" s="85" t="s">
        <v>9</v>
      </c>
      <c r="M2" s="85" t="s">
        <v>10</v>
      </c>
      <c r="N2" s="86" t="s">
        <v>11</v>
      </c>
      <c r="O2" s="86" t="s">
        <v>12</v>
      </c>
      <c r="P2" s="87" t="s">
        <v>215</v>
      </c>
      <c r="Q2" s="83" t="s">
        <v>210</v>
      </c>
      <c r="R2" s="83" t="s">
        <v>211</v>
      </c>
      <c r="S2" s="83" t="s">
        <v>212</v>
      </c>
      <c r="T2" s="83" t="s">
        <v>213</v>
      </c>
      <c r="U2" s="83" t="s">
        <v>214</v>
      </c>
      <c r="V2" s="88" t="s">
        <v>13</v>
      </c>
    </row>
    <row r="3" spans="2:22" s="5" customFormat="1" ht="180" hidden="1" x14ac:dyDescent="0.2">
      <c r="B3" s="74" t="s">
        <v>14</v>
      </c>
      <c r="C3" s="109">
        <v>504021</v>
      </c>
      <c r="D3" s="109" t="s">
        <v>220</v>
      </c>
      <c r="E3" s="109"/>
      <c r="F3" s="109"/>
      <c r="G3" s="109"/>
      <c r="H3" s="109"/>
      <c r="I3" s="109"/>
      <c r="J3" s="109"/>
      <c r="K3" s="109" t="s">
        <v>265</v>
      </c>
      <c r="L3" s="109" t="s">
        <v>23</v>
      </c>
      <c r="M3" s="109" t="s">
        <v>24</v>
      </c>
      <c r="N3" s="110">
        <v>46003</v>
      </c>
      <c r="O3" s="110">
        <v>47099</v>
      </c>
      <c r="P3" s="111">
        <v>149784006</v>
      </c>
      <c r="Q3" s="111">
        <v>8000000</v>
      </c>
      <c r="R3" s="111">
        <v>0</v>
      </c>
      <c r="S3" s="111">
        <v>1000000</v>
      </c>
      <c r="T3" s="111">
        <v>78287330</v>
      </c>
      <c r="U3" s="112">
        <f>+SUM(Tabla1[[#This Row],[MONTO FF]:[NO PECUNIO INIA]])</f>
        <v>237071336</v>
      </c>
      <c r="V3" s="113"/>
    </row>
    <row r="4" spans="2:22" s="5" customFormat="1" ht="75" hidden="1" x14ac:dyDescent="0.2">
      <c r="B4" s="74" t="s">
        <v>14</v>
      </c>
      <c r="C4" s="109">
        <v>504020</v>
      </c>
      <c r="D4" s="109" t="s">
        <v>220</v>
      </c>
      <c r="E4" s="109"/>
      <c r="F4" s="109"/>
      <c r="G4" s="109"/>
      <c r="H4" s="109"/>
      <c r="I4" s="109"/>
      <c r="J4" s="109"/>
      <c r="K4" s="109" t="s">
        <v>264</v>
      </c>
      <c r="L4" s="109" t="s">
        <v>42</v>
      </c>
      <c r="M4" s="109" t="s">
        <v>24</v>
      </c>
      <c r="N4" s="110">
        <v>45988</v>
      </c>
      <c r="O4" s="110">
        <v>47084</v>
      </c>
      <c r="P4" s="111">
        <v>149624480</v>
      </c>
      <c r="Q4" s="111">
        <v>6000000</v>
      </c>
      <c r="R4" s="111">
        <v>13800000</v>
      </c>
      <c r="S4" s="111">
        <v>0</v>
      </c>
      <c r="T4" s="111">
        <v>50361000</v>
      </c>
      <c r="U4" s="112">
        <f>+SUM(Tabla1[[#This Row],[MONTO FF]:[NO PECUNIO INIA]])</f>
        <v>219785480</v>
      </c>
      <c r="V4" s="113"/>
    </row>
    <row r="5" spans="2:22" ht="135" hidden="1" x14ac:dyDescent="0.2">
      <c r="B5" s="74" t="s">
        <v>14</v>
      </c>
      <c r="C5" s="75">
        <v>504009</v>
      </c>
      <c r="D5" s="76" t="s">
        <v>220</v>
      </c>
      <c r="E5" s="75">
        <v>10</v>
      </c>
      <c r="F5" s="75">
        <v>70</v>
      </c>
      <c r="G5" s="75" t="s">
        <v>15</v>
      </c>
      <c r="H5" s="75"/>
      <c r="I5" s="75" t="s">
        <v>20</v>
      </c>
      <c r="J5" s="75" t="s">
        <v>21</v>
      </c>
      <c r="K5" s="75" t="s">
        <v>270</v>
      </c>
      <c r="L5" s="75" t="s">
        <v>166</v>
      </c>
      <c r="M5" s="75" t="s">
        <v>24</v>
      </c>
      <c r="N5" s="77">
        <v>45992</v>
      </c>
      <c r="O5" s="78">
        <v>46262</v>
      </c>
      <c r="P5" s="79">
        <v>10000000</v>
      </c>
      <c r="Q5" s="79">
        <v>249972</v>
      </c>
      <c r="R5" s="79">
        <v>0</v>
      </c>
      <c r="S5" s="79">
        <v>250208</v>
      </c>
      <c r="T5" s="79">
        <v>25763869</v>
      </c>
      <c r="U5" s="80">
        <f>+SUM(Tabla1[[#This Row],[MONTO FF]:[NO PECUNIO INIA]])</f>
        <v>36264049</v>
      </c>
      <c r="V5" s="81" t="s">
        <v>287</v>
      </c>
    </row>
    <row r="6" spans="2:22" ht="165" hidden="1" x14ac:dyDescent="0.2">
      <c r="B6" s="74" t="s">
        <v>14</v>
      </c>
      <c r="C6" s="75">
        <v>504007</v>
      </c>
      <c r="D6" s="76" t="s">
        <v>224</v>
      </c>
      <c r="E6" s="76">
        <v>44</v>
      </c>
      <c r="F6" s="76" t="s">
        <v>193</v>
      </c>
      <c r="G6" s="76" t="s">
        <v>145</v>
      </c>
      <c r="H6" s="76"/>
      <c r="I6" s="76"/>
      <c r="J6" s="76"/>
      <c r="K6" s="76" t="s">
        <v>240</v>
      </c>
      <c r="L6" s="76" t="s">
        <v>239</v>
      </c>
      <c r="M6" s="76" t="s">
        <v>24</v>
      </c>
      <c r="N6" s="77">
        <v>45992</v>
      </c>
      <c r="O6" s="77">
        <v>47088</v>
      </c>
      <c r="P6" s="79">
        <v>280000000</v>
      </c>
      <c r="Q6" s="79">
        <v>14000000</v>
      </c>
      <c r="R6" s="79">
        <v>0</v>
      </c>
      <c r="S6" s="79">
        <v>0</v>
      </c>
      <c r="T6" s="79">
        <v>138674506</v>
      </c>
      <c r="U6" s="80">
        <f>+SUM(Tabla1[[#This Row],[MONTO FF]:[NO PECUNIO INIA]])</f>
        <v>432674506</v>
      </c>
      <c r="V6" s="81"/>
    </row>
    <row r="7" spans="2:22" ht="165" hidden="1" x14ac:dyDescent="0.2">
      <c r="B7" s="74" t="s">
        <v>14</v>
      </c>
      <c r="C7" s="75">
        <v>504006</v>
      </c>
      <c r="D7" s="76" t="s">
        <v>224</v>
      </c>
      <c r="E7" s="75">
        <v>44</v>
      </c>
      <c r="F7" s="75" t="s">
        <v>193</v>
      </c>
      <c r="G7" s="75" t="s">
        <v>145</v>
      </c>
      <c r="H7" s="75"/>
      <c r="I7" s="75"/>
      <c r="J7" s="75"/>
      <c r="K7" s="75" t="s">
        <v>183</v>
      </c>
      <c r="L7" s="75" t="s">
        <v>184</v>
      </c>
      <c r="M7" s="75" t="s">
        <v>24</v>
      </c>
      <c r="N7" s="77">
        <v>45992</v>
      </c>
      <c r="O7" s="78">
        <v>47088</v>
      </c>
      <c r="P7" s="79">
        <v>280000000</v>
      </c>
      <c r="Q7" s="79">
        <v>14000000</v>
      </c>
      <c r="R7" s="79">
        <v>6750000</v>
      </c>
      <c r="S7" s="79">
        <v>0</v>
      </c>
      <c r="T7" s="79">
        <v>71816598</v>
      </c>
      <c r="U7" s="79">
        <f>+SUM(Tabla1[[#This Row],[MONTO FF]:[NO PECUNIO INIA]])</f>
        <v>372566598</v>
      </c>
      <c r="V7" s="81" t="s">
        <v>193</v>
      </c>
    </row>
    <row r="8" spans="2:22" ht="120" hidden="1" x14ac:dyDescent="0.2">
      <c r="B8" s="74" t="s">
        <v>14</v>
      </c>
      <c r="C8" s="75">
        <v>504005</v>
      </c>
      <c r="D8" s="76" t="s">
        <v>224</v>
      </c>
      <c r="E8" s="75">
        <v>44</v>
      </c>
      <c r="F8" s="75" t="s">
        <v>193</v>
      </c>
      <c r="G8" s="75" t="s">
        <v>145</v>
      </c>
      <c r="H8" s="75"/>
      <c r="I8" s="75"/>
      <c r="J8" s="75"/>
      <c r="K8" s="75" t="s">
        <v>209</v>
      </c>
      <c r="L8" s="75" t="s">
        <v>204</v>
      </c>
      <c r="M8" s="75" t="s">
        <v>24</v>
      </c>
      <c r="N8" s="77">
        <v>45992</v>
      </c>
      <c r="O8" s="78">
        <v>47088</v>
      </c>
      <c r="P8" s="79">
        <v>280000000</v>
      </c>
      <c r="Q8" s="79">
        <v>15000000</v>
      </c>
      <c r="R8" s="79">
        <v>0</v>
      </c>
      <c r="S8" s="79">
        <v>0</v>
      </c>
      <c r="T8" s="79">
        <v>21085437</v>
      </c>
      <c r="U8" s="79">
        <f>+SUM(Tabla1[[#This Row],[MONTO FF]:[NO PECUNIO INIA]])</f>
        <v>316085437</v>
      </c>
      <c r="V8" s="81" t="s">
        <v>193</v>
      </c>
    </row>
    <row r="9" spans="2:22" ht="30" hidden="1" x14ac:dyDescent="0.2">
      <c r="B9" s="74" t="s">
        <v>14</v>
      </c>
      <c r="C9" s="76">
        <v>503997</v>
      </c>
      <c r="D9" s="76" t="s">
        <v>221</v>
      </c>
      <c r="E9" s="76">
        <v>12</v>
      </c>
      <c r="F9" s="76"/>
      <c r="G9" s="76"/>
      <c r="H9" s="76"/>
      <c r="I9" s="76"/>
      <c r="J9" s="76" t="s">
        <v>21</v>
      </c>
      <c r="K9" s="76" t="s">
        <v>282</v>
      </c>
      <c r="L9" s="76" t="s">
        <v>17</v>
      </c>
      <c r="M9" s="76" t="s">
        <v>24</v>
      </c>
      <c r="N9" s="77">
        <v>45946</v>
      </c>
      <c r="O9" s="77">
        <v>46311</v>
      </c>
      <c r="P9" s="79">
        <v>10882000</v>
      </c>
      <c r="Q9" s="79"/>
      <c r="R9" s="79"/>
      <c r="S9" s="79"/>
      <c r="T9" s="79">
        <v>3341882</v>
      </c>
      <c r="U9" s="80">
        <f>+SUM(Tabla1[[#This Row],[MONTO FF]:[NO PECUNIO INIA]])</f>
        <v>14223882</v>
      </c>
      <c r="V9" s="81"/>
    </row>
    <row r="10" spans="2:22" ht="150" hidden="1" x14ac:dyDescent="0.2">
      <c r="B10" s="74" t="s">
        <v>14</v>
      </c>
      <c r="C10" s="75">
        <v>504004</v>
      </c>
      <c r="D10" s="76" t="s">
        <v>224</v>
      </c>
      <c r="E10" s="75">
        <v>44</v>
      </c>
      <c r="F10" s="75" t="s">
        <v>193</v>
      </c>
      <c r="G10" s="75" t="s">
        <v>145</v>
      </c>
      <c r="H10" s="75"/>
      <c r="I10" s="75"/>
      <c r="J10" s="75"/>
      <c r="K10" s="75" t="s">
        <v>182</v>
      </c>
      <c r="L10" s="75" t="s">
        <v>164</v>
      </c>
      <c r="M10" s="75" t="s">
        <v>24</v>
      </c>
      <c r="N10" s="77">
        <v>45992</v>
      </c>
      <c r="O10" s="78">
        <v>47088</v>
      </c>
      <c r="P10" s="79">
        <v>203909000</v>
      </c>
      <c r="Q10" s="79">
        <v>10200000</v>
      </c>
      <c r="R10" s="79">
        <v>0</v>
      </c>
      <c r="S10" s="79">
        <v>0</v>
      </c>
      <c r="T10" s="79">
        <v>9193390</v>
      </c>
      <c r="U10" s="79">
        <f>+SUM(Tabla1[[#This Row],[MONTO FF]:[NO PECUNIO INIA]])</f>
        <v>223302390</v>
      </c>
      <c r="V10" s="81" t="s">
        <v>193</v>
      </c>
    </row>
    <row r="11" spans="2:22" ht="75" hidden="1" x14ac:dyDescent="0.2">
      <c r="B11" s="74" t="s">
        <v>14</v>
      </c>
      <c r="C11" s="75">
        <v>503978</v>
      </c>
      <c r="D11" s="76" t="s">
        <v>232</v>
      </c>
      <c r="E11" s="75">
        <v>19</v>
      </c>
      <c r="F11" s="75">
        <v>70</v>
      </c>
      <c r="G11" s="75" t="s">
        <v>15</v>
      </c>
      <c r="H11" s="75"/>
      <c r="I11" s="75"/>
      <c r="J11" s="75"/>
      <c r="K11" s="75" t="s">
        <v>190</v>
      </c>
      <c r="L11" s="75" t="s">
        <v>48</v>
      </c>
      <c r="M11" s="75" t="s">
        <v>24</v>
      </c>
      <c r="N11" s="77" t="s">
        <v>191</v>
      </c>
      <c r="O11" s="78" t="s">
        <v>192</v>
      </c>
      <c r="P11" s="79">
        <v>144659794</v>
      </c>
      <c r="Q11" s="79">
        <v>0</v>
      </c>
      <c r="R11" s="79">
        <v>0</v>
      </c>
      <c r="S11" s="79">
        <v>0</v>
      </c>
      <c r="T11" s="79">
        <v>0</v>
      </c>
      <c r="U11" s="79">
        <f>+SUM(Tabla1[[#This Row],[MONTO FF]:[NO PECUNIO INIA]])</f>
        <v>144659794</v>
      </c>
      <c r="V11" s="81" t="s">
        <v>193</v>
      </c>
    </row>
    <row r="12" spans="2:22" s="8" customFormat="1" ht="120" hidden="1" x14ac:dyDescent="0.2">
      <c r="B12" s="74" t="s">
        <v>14</v>
      </c>
      <c r="C12" s="75">
        <v>503959</v>
      </c>
      <c r="D12" s="75" t="s">
        <v>220</v>
      </c>
      <c r="E12" s="75">
        <v>10</v>
      </c>
      <c r="F12" s="75">
        <v>70</v>
      </c>
      <c r="G12" s="75" t="s">
        <v>15</v>
      </c>
      <c r="H12" s="75"/>
      <c r="I12" s="75" t="s">
        <v>20</v>
      </c>
      <c r="J12" s="75" t="s">
        <v>21</v>
      </c>
      <c r="K12" s="75" t="s">
        <v>176</v>
      </c>
      <c r="L12" s="75" t="s">
        <v>23</v>
      </c>
      <c r="M12" s="75" t="s">
        <v>24</v>
      </c>
      <c r="N12" s="77" t="s">
        <v>177</v>
      </c>
      <c r="O12" s="78" t="s">
        <v>178</v>
      </c>
      <c r="P12" s="79">
        <v>119808000</v>
      </c>
      <c r="Q12" s="79">
        <v>0</v>
      </c>
      <c r="R12" s="79">
        <v>2300003</v>
      </c>
      <c r="S12" s="79">
        <v>4999999</v>
      </c>
      <c r="T12" s="79">
        <v>54280064</v>
      </c>
      <c r="U12" s="79">
        <f>+SUM(Tabla1[[#This Row],[MONTO FF]:[NO PECUNIO INIA]])</f>
        <v>181388066</v>
      </c>
      <c r="V12" s="81" t="s">
        <v>179</v>
      </c>
    </row>
    <row r="13" spans="2:22" ht="120" hidden="1" x14ac:dyDescent="0.2">
      <c r="B13" s="74" t="s">
        <v>14</v>
      </c>
      <c r="C13" s="75">
        <v>503950</v>
      </c>
      <c r="D13" s="75" t="s">
        <v>236</v>
      </c>
      <c r="E13" s="75">
        <v>32</v>
      </c>
      <c r="F13" s="75" t="s">
        <v>185</v>
      </c>
      <c r="G13" s="75" t="s">
        <v>15</v>
      </c>
      <c r="H13" s="75" t="s">
        <v>16</v>
      </c>
      <c r="I13" s="75" t="s">
        <v>20</v>
      </c>
      <c r="J13" s="75" t="s">
        <v>21</v>
      </c>
      <c r="K13" s="75" t="s">
        <v>186</v>
      </c>
      <c r="L13" s="75" t="s">
        <v>42</v>
      </c>
      <c r="M13" s="75" t="s">
        <v>24</v>
      </c>
      <c r="N13" s="77" t="s">
        <v>187</v>
      </c>
      <c r="O13" s="78" t="s">
        <v>188</v>
      </c>
      <c r="P13" s="79">
        <v>165000000</v>
      </c>
      <c r="Q13" s="79">
        <v>0</v>
      </c>
      <c r="R13" s="79">
        <v>0</v>
      </c>
      <c r="S13" s="79">
        <v>0</v>
      </c>
      <c r="T13" s="79">
        <v>110000000</v>
      </c>
      <c r="U13" s="79">
        <f>+SUM(Tabla1[[#This Row],[MONTO FF]:[NO PECUNIO INIA]])</f>
        <v>275000000</v>
      </c>
      <c r="V13" s="81" t="s">
        <v>189</v>
      </c>
    </row>
    <row r="14" spans="2:22" s="8" customFormat="1" ht="165" x14ac:dyDescent="0.2">
      <c r="B14" s="74" t="s">
        <v>14</v>
      </c>
      <c r="C14" s="75">
        <v>503922</v>
      </c>
      <c r="D14" s="75" t="s">
        <v>223</v>
      </c>
      <c r="E14" s="75">
        <v>25</v>
      </c>
      <c r="F14" s="75">
        <v>70</v>
      </c>
      <c r="G14" s="75" t="s">
        <v>15</v>
      </c>
      <c r="H14" s="75" t="s">
        <v>16</v>
      </c>
      <c r="I14" s="75" t="s">
        <v>20</v>
      </c>
      <c r="J14" s="75" t="s">
        <v>21</v>
      </c>
      <c r="K14" s="75" t="s">
        <v>180</v>
      </c>
      <c r="L14" s="75" t="s">
        <v>48</v>
      </c>
      <c r="M14" s="75" t="s">
        <v>24</v>
      </c>
      <c r="N14" s="77" t="s">
        <v>181</v>
      </c>
      <c r="O14" s="78" t="s">
        <v>19</v>
      </c>
      <c r="P14" s="79">
        <v>5873686</v>
      </c>
      <c r="Q14" s="79">
        <v>0</v>
      </c>
      <c r="R14" s="79">
        <v>0</v>
      </c>
      <c r="S14" s="79">
        <v>0</v>
      </c>
      <c r="T14" s="79">
        <v>6912350</v>
      </c>
      <c r="U14" s="79">
        <f>+SUM(Tabla1[[#This Row],[MONTO FF]:[NO PECUNIO INIA]])</f>
        <v>12786036</v>
      </c>
      <c r="V14" s="81" t="s">
        <v>193</v>
      </c>
    </row>
    <row r="15" spans="2:22" ht="60" hidden="1" x14ac:dyDescent="0.2">
      <c r="B15" s="74" t="s">
        <v>14</v>
      </c>
      <c r="C15" s="75">
        <v>503830</v>
      </c>
      <c r="D15" s="75" t="s">
        <v>221</v>
      </c>
      <c r="E15" s="75">
        <v>12</v>
      </c>
      <c r="F15" s="75" t="s">
        <v>193</v>
      </c>
      <c r="G15" s="75" t="s">
        <v>15</v>
      </c>
      <c r="H15" s="75" t="s">
        <v>16</v>
      </c>
      <c r="I15" s="75" t="s">
        <v>20</v>
      </c>
      <c r="J15" s="75" t="s">
        <v>21</v>
      </c>
      <c r="K15" s="75" t="s">
        <v>174</v>
      </c>
      <c r="L15" s="75" t="s">
        <v>23</v>
      </c>
      <c r="M15" s="75" t="s">
        <v>24</v>
      </c>
      <c r="N15" s="77" t="s">
        <v>175</v>
      </c>
      <c r="O15" s="75" t="s">
        <v>143</v>
      </c>
      <c r="P15" s="79">
        <v>8901933</v>
      </c>
      <c r="Q15" s="79">
        <v>0</v>
      </c>
      <c r="R15" s="79">
        <v>0</v>
      </c>
      <c r="S15" s="79">
        <v>0</v>
      </c>
      <c r="T15" s="79">
        <v>8743845</v>
      </c>
      <c r="U15" s="79">
        <f>+SUM(Tabla1[[#This Row],[MONTO FF]:[NO PECUNIO INIA]])</f>
        <v>17645778</v>
      </c>
      <c r="V15" s="81" t="s">
        <v>193</v>
      </c>
    </row>
    <row r="16" spans="2:22" ht="90" hidden="1" x14ac:dyDescent="0.2">
      <c r="B16" s="74" t="s">
        <v>14</v>
      </c>
      <c r="C16" s="75">
        <v>503799</v>
      </c>
      <c r="D16" s="75" t="s">
        <v>237</v>
      </c>
      <c r="E16" s="75">
        <v>42</v>
      </c>
      <c r="F16" s="75" t="s">
        <v>64</v>
      </c>
      <c r="G16" s="75" t="s">
        <v>15</v>
      </c>
      <c r="H16" s="75"/>
      <c r="I16" s="75" t="s">
        <v>20</v>
      </c>
      <c r="J16" s="75" t="s">
        <v>21</v>
      </c>
      <c r="K16" s="75" t="s">
        <v>169</v>
      </c>
      <c r="L16" s="75" t="s">
        <v>134</v>
      </c>
      <c r="M16" s="75" t="s">
        <v>30</v>
      </c>
      <c r="N16" s="77" t="s">
        <v>170</v>
      </c>
      <c r="O16" s="78" t="s">
        <v>171</v>
      </c>
      <c r="P16" s="79">
        <v>0</v>
      </c>
      <c r="Q16" s="79">
        <v>0</v>
      </c>
      <c r="R16" s="79">
        <v>0</v>
      </c>
      <c r="S16" s="79">
        <v>1500000</v>
      </c>
      <c r="T16" s="79">
        <v>45054010</v>
      </c>
      <c r="U16" s="79">
        <f>+SUM(Tabla1[[#This Row],[MONTO FF]:[NO PECUNIO INIA]])</f>
        <v>46554010</v>
      </c>
      <c r="V16" s="81" t="s">
        <v>172</v>
      </c>
    </row>
    <row r="17" spans="2:22" ht="90" hidden="1" x14ac:dyDescent="0.2">
      <c r="B17" s="74" t="s">
        <v>14</v>
      </c>
      <c r="C17" s="75">
        <v>503730</v>
      </c>
      <c r="D17" s="75" t="s">
        <v>224</v>
      </c>
      <c r="E17" s="75">
        <v>44</v>
      </c>
      <c r="F17" s="75" t="s">
        <v>156</v>
      </c>
      <c r="G17" s="75" t="s">
        <v>15</v>
      </c>
      <c r="H17" s="75" t="s">
        <v>16</v>
      </c>
      <c r="I17" s="75" t="s">
        <v>20</v>
      </c>
      <c r="J17" s="75" t="s">
        <v>21</v>
      </c>
      <c r="K17" s="75" t="s">
        <v>167</v>
      </c>
      <c r="L17" s="75" t="s">
        <v>17</v>
      </c>
      <c r="M17" s="75" t="s">
        <v>24</v>
      </c>
      <c r="N17" s="77" t="s">
        <v>158</v>
      </c>
      <c r="O17" s="78" t="s">
        <v>159</v>
      </c>
      <c r="P17" s="79">
        <v>209000000</v>
      </c>
      <c r="Q17" s="79">
        <v>12300000</v>
      </c>
      <c r="R17" s="79">
        <v>0</v>
      </c>
      <c r="S17" s="79">
        <v>0</v>
      </c>
      <c r="T17" s="79">
        <v>12258150</v>
      </c>
      <c r="U17" s="79">
        <f>+SUM(Tabla1[[#This Row],[MONTO FF]:[NO PECUNIO INIA]])</f>
        <v>233558150</v>
      </c>
      <c r="V17" s="81" t="s">
        <v>168</v>
      </c>
    </row>
    <row r="18" spans="2:22" ht="90" hidden="1" x14ac:dyDescent="0.2">
      <c r="B18" s="74" t="s">
        <v>14</v>
      </c>
      <c r="C18" s="75">
        <v>503729</v>
      </c>
      <c r="D18" s="75" t="s">
        <v>224</v>
      </c>
      <c r="E18" s="75">
        <v>44</v>
      </c>
      <c r="F18" s="75" t="s">
        <v>156</v>
      </c>
      <c r="G18" s="75" t="s">
        <v>15</v>
      </c>
      <c r="H18" s="75" t="s">
        <v>16</v>
      </c>
      <c r="I18" s="75" t="s">
        <v>20</v>
      </c>
      <c r="J18" s="75" t="s">
        <v>21</v>
      </c>
      <c r="K18" s="75" t="s">
        <v>165</v>
      </c>
      <c r="L18" s="75" t="s">
        <v>166</v>
      </c>
      <c r="M18" s="75" t="s">
        <v>24</v>
      </c>
      <c r="N18" s="77" t="s">
        <v>158</v>
      </c>
      <c r="O18" s="78" t="s">
        <v>159</v>
      </c>
      <c r="P18" s="79">
        <v>161900000</v>
      </c>
      <c r="Q18" s="79">
        <v>9000000</v>
      </c>
      <c r="R18" s="79">
        <v>0</v>
      </c>
      <c r="S18" s="79">
        <v>0</v>
      </c>
      <c r="T18" s="79">
        <v>8890207</v>
      </c>
      <c r="U18" s="79">
        <f>+SUM(Tabla1[[#This Row],[MONTO FF]:[NO PECUNIO INIA]])</f>
        <v>179790207</v>
      </c>
      <c r="V18" s="81" t="s">
        <v>193</v>
      </c>
    </row>
    <row r="19" spans="2:22" ht="165" hidden="1" x14ac:dyDescent="0.2">
      <c r="B19" s="74" t="s">
        <v>14</v>
      </c>
      <c r="C19" s="75">
        <v>503717</v>
      </c>
      <c r="D19" s="75" t="s">
        <v>224</v>
      </c>
      <c r="E19" s="75">
        <v>44</v>
      </c>
      <c r="F19" s="75" t="s">
        <v>156</v>
      </c>
      <c r="G19" s="75" t="s">
        <v>15</v>
      </c>
      <c r="H19" s="75"/>
      <c r="I19" s="75" t="s">
        <v>20</v>
      </c>
      <c r="J19" s="75" t="s">
        <v>21</v>
      </c>
      <c r="K19" s="75" t="s">
        <v>157</v>
      </c>
      <c r="L19" s="75" t="s">
        <v>105</v>
      </c>
      <c r="M19" s="75" t="s">
        <v>24</v>
      </c>
      <c r="N19" s="77" t="s">
        <v>158</v>
      </c>
      <c r="O19" s="78" t="s">
        <v>159</v>
      </c>
      <c r="P19" s="79">
        <v>186320000</v>
      </c>
      <c r="Q19" s="79">
        <v>10500000</v>
      </c>
      <c r="R19" s="79">
        <v>0</v>
      </c>
      <c r="S19" s="79">
        <v>0</v>
      </c>
      <c r="T19" s="79">
        <v>10500001</v>
      </c>
      <c r="U19" s="79">
        <f>+SUM(Tabla1[[#This Row],[MONTO FF]:[NO PECUNIO INIA]])</f>
        <v>207320001</v>
      </c>
      <c r="V19" s="81" t="s">
        <v>160</v>
      </c>
    </row>
    <row r="20" spans="2:22" ht="45" hidden="1" x14ac:dyDescent="0.2">
      <c r="B20" s="74" t="s">
        <v>14</v>
      </c>
      <c r="C20" s="75">
        <v>503700</v>
      </c>
      <c r="D20" s="75" t="s">
        <v>225</v>
      </c>
      <c r="E20" s="75">
        <v>71</v>
      </c>
      <c r="F20" s="75">
        <v>70</v>
      </c>
      <c r="G20" s="75" t="s">
        <v>15</v>
      </c>
      <c r="H20" s="75" t="s">
        <v>16</v>
      </c>
      <c r="I20" s="75"/>
      <c r="J20" s="75" t="s">
        <v>162</v>
      </c>
      <c r="K20" s="75" t="s">
        <v>163</v>
      </c>
      <c r="L20" s="75" t="s">
        <v>164</v>
      </c>
      <c r="M20" s="75" t="s">
        <v>30</v>
      </c>
      <c r="N20" s="77" t="s">
        <v>161</v>
      </c>
      <c r="O20" s="78" t="s">
        <v>151</v>
      </c>
      <c r="P20" s="79">
        <v>40892815</v>
      </c>
      <c r="Q20" s="79">
        <v>0</v>
      </c>
      <c r="R20" s="79">
        <v>0</v>
      </c>
      <c r="S20" s="79">
        <v>0</v>
      </c>
      <c r="T20" s="79">
        <v>0</v>
      </c>
      <c r="U20" s="79">
        <f>+SUM(Tabla1[[#This Row],[MONTO FF]:[NO PECUNIO INIA]])</f>
        <v>40892815</v>
      </c>
      <c r="V20" s="81" t="s">
        <v>193</v>
      </c>
    </row>
    <row r="21" spans="2:22" ht="45" hidden="1" x14ac:dyDescent="0.2">
      <c r="B21" s="74" t="s">
        <v>14</v>
      </c>
      <c r="C21" s="75">
        <v>503614</v>
      </c>
      <c r="D21" s="75" t="s">
        <v>219</v>
      </c>
      <c r="E21" s="75">
        <v>70</v>
      </c>
      <c r="F21" s="75" t="s">
        <v>193</v>
      </c>
      <c r="G21" s="75" t="s">
        <v>15</v>
      </c>
      <c r="H21" s="75" t="s">
        <v>16</v>
      </c>
      <c r="I21" s="75"/>
      <c r="J21" s="75"/>
      <c r="K21" s="75" t="s">
        <v>152</v>
      </c>
      <c r="L21" s="75" t="s">
        <v>112</v>
      </c>
      <c r="M21" s="75" t="s">
        <v>30</v>
      </c>
      <c r="N21" s="77" t="s">
        <v>142</v>
      </c>
      <c r="O21" s="78" t="s">
        <v>151</v>
      </c>
      <c r="P21" s="79">
        <v>2462500</v>
      </c>
      <c r="Q21" s="79">
        <v>0</v>
      </c>
      <c r="R21" s="79">
        <v>0</v>
      </c>
      <c r="S21" s="79">
        <v>0</v>
      </c>
      <c r="T21" s="79">
        <v>0</v>
      </c>
      <c r="U21" s="79">
        <f>+SUM(Tabla1[[#This Row],[MONTO FF]:[NO PECUNIO INIA]])</f>
        <v>2462500</v>
      </c>
      <c r="V21" s="81" t="s">
        <v>193</v>
      </c>
    </row>
    <row r="22" spans="2:22" ht="105" x14ac:dyDescent="0.2">
      <c r="B22" s="74" t="s">
        <v>14</v>
      </c>
      <c r="C22" s="75">
        <v>503590</v>
      </c>
      <c r="D22" s="75" t="s">
        <v>219</v>
      </c>
      <c r="E22" s="75">
        <v>70</v>
      </c>
      <c r="F22" s="75" t="s">
        <v>193</v>
      </c>
      <c r="G22" s="75" t="s">
        <v>15</v>
      </c>
      <c r="H22" s="75" t="s">
        <v>16</v>
      </c>
      <c r="I22" s="75"/>
      <c r="J22" s="75"/>
      <c r="K22" s="75" t="s">
        <v>153</v>
      </c>
      <c r="L22" s="75" t="s">
        <v>17</v>
      </c>
      <c r="M22" s="75" t="s">
        <v>24</v>
      </c>
      <c r="N22" s="77" t="s">
        <v>142</v>
      </c>
      <c r="O22" s="78">
        <v>46387</v>
      </c>
      <c r="P22" s="79">
        <v>7369044</v>
      </c>
      <c r="Q22" s="79">
        <v>0</v>
      </c>
      <c r="R22" s="79">
        <v>0</v>
      </c>
      <c r="S22" s="79">
        <v>0</v>
      </c>
      <c r="T22" s="79">
        <v>0</v>
      </c>
      <c r="U22" s="79">
        <f>+SUM(Tabla1[[#This Row],[MONTO FF]:[NO PECUNIO INIA]])</f>
        <v>7369044</v>
      </c>
      <c r="V22" s="81" t="s">
        <v>193</v>
      </c>
    </row>
    <row r="23" spans="2:22" ht="45" x14ac:dyDescent="0.2">
      <c r="B23" s="74" t="s">
        <v>194</v>
      </c>
      <c r="C23" s="76">
        <v>503581</v>
      </c>
      <c r="D23" s="76" t="s">
        <v>219</v>
      </c>
      <c r="E23" s="76">
        <v>70</v>
      </c>
      <c r="F23" s="76" t="s">
        <v>193</v>
      </c>
      <c r="G23" s="76" t="s">
        <v>15</v>
      </c>
      <c r="H23" s="76" t="s">
        <v>16</v>
      </c>
      <c r="I23" s="76"/>
      <c r="J23" s="76"/>
      <c r="K23" s="76" t="s">
        <v>207</v>
      </c>
      <c r="L23" s="76" t="s">
        <v>204</v>
      </c>
      <c r="M23" s="76" t="s">
        <v>24</v>
      </c>
      <c r="N23" s="77" t="s">
        <v>142</v>
      </c>
      <c r="O23" s="77">
        <v>46387</v>
      </c>
      <c r="P23" s="79">
        <v>3909581</v>
      </c>
      <c r="Q23" s="79">
        <v>0</v>
      </c>
      <c r="R23" s="79">
        <v>0</v>
      </c>
      <c r="S23" s="79">
        <v>0</v>
      </c>
      <c r="T23" s="79">
        <v>0</v>
      </c>
      <c r="U23" s="79">
        <f>+SUM(Tabla1[[#This Row],[MONTO FF]:[NO PECUNIO INIA]])</f>
        <v>3909581</v>
      </c>
      <c r="V23" s="81" t="s">
        <v>193</v>
      </c>
    </row>
    <row r="24" spans="2:22" ht="28.5" hidden="1" x14ac:dyDescent="0.2">
      <c r="B24" s="3" t="s">
        <v>194</v>
      </c>
      <c r="C24" s="1">
        <v>503580</v>
      </c>
      <c r="D24" s="1" t="s">
        <v>219</v>
      </c>
      <c r="E24" s="1">
        <v>70</v>
      </c>
      <c r="F24" s="1" t="s">
        <v>193</v>
      </c>
      <c r="G24" s="1" t="s">
        <v>15</v>
      </c>
      <c r="H24" s="1" t="s">
        <v>16</v>
      </c>
      <c r="I24" s="1"/>
      <c r="J24" s="1"/>
      <c r="K24" s="1" t="s">
        <v>208</v>
      </c>
      <c r="L24" s="1" t="s">
        <v>164</v>
      </c>
      <c r="M24" s="1" t="s">
        <v>30</v>
      </c>
      <c r="N24" s="26" t="s">
        <v>142</v>
      </c>
      <c r="O24" s="27" t="s">
        <v>151</v>
      </c>
      <c r="P24" s="6">
        <v>2337500</v>
      </c>
      <c r="Q24" s="6">
        <v>0</v>
      </c>
      <c r="R24" s="6">
        <v>0</v>
      </c>
      <c r="S24" s="6">
        <v>0</v>
      </c>
      <c r="T24" s="6">
        <v>0</v>
      </c>
      <c r="U24" s="6">
        <f>+SUM(Tabla1[[#This Row],[MONTO FF]:[NO PECUNIO INIA]])</f>
        <v>2337500</v>
      </c>
      <c r="V24" s="4" t="s">
        <v>193</v>
      </c>
    </row>
    <row r="25" spans="2:22" ht="120" x14ac:dyDescent="0.2">
      <c r="B25" s="74" t="s">
        <v>14</v>
      </c>
      <c r="C25" s="75">
        <v>503584</v>
      </c>
      <c r="D25" s="75" t="s">
        <v>235</v>
      </c>
      <c r="E25" s="75">
        <v>24</v>
      </c>
      <c r="F25" s="75" t="s">
        <v>64</v>
      </c>
      <c r="G25" s="75" t="s">
        <v>15</v>
      </c>
      <c r="H25" s="75"/>
      <c r="I25" s="75" t="s">
        <v>20</v>
      </c>
      <c r="J25" s="75" t="s">
        <v>21</v>
      </c>
      <c r="K25" s="75" t="s">
        <v>133</v>
      </c>
      <c r="L25" s="75" t="s">
        <v>134</v>
      </c>
      <c r="M25" s="75" t="s">
        <v>30</v>
      </c>
      <c r="N25" s="77" t="s">
        <v>131</v>
      </c>
      <c r="O25" s="78" t="s">
        <v>19</v>
      </c>
      <c r="P25" s="82">
        <v>14814720</v>
      </c>
      <c r="Q25" s="79">
        <v>0</v>
      </c>
      <c r="R25" s="79">
        <v>271294560</v>
      </c>
      <c r="S25" s="79">
        <v>3600000</v>
      </c>
      <c r="T25" s="79">
        <v>60815710</v>
      </c>
      <c r="U25" s="79">
        <f>+SUM(Tabla1[[#This Row],[MONTO FF]:[NO PECUNIO INIA]])</f>
        <v>350524990</v>
      </c>
      <c r="V25" s="81" t="s">
        <v>193</v>
      </c>
    </row>
    <row r="26" spans="2:22" ht="71.25" hidden="1" x14ac:dyDescent="0.2">
      <c r="B26" s="3" t="s">
        <v>194</v>
      </c>
      <c r="C26" s="1">
        <v>503570</v>
      </c>
      <c r="D26" s="1" t="s">
        <v>220</v>
      </c>
      <c r="E26" s="1">
        <v>10</v>
      </c>
      <c r="F26" s="1" t="s">
        <v>64</v>
      </c>
      <c r="G26" s="1" t="s">
        <v>15</v>
      </c>
      <c r="H26" s="1"/>
      <c r="I26" s="1" t="s">
        <v>20</v>
      </c>
      <c r="J26" s="1" t="s">
        <v>21</v>
      </c>
      <c r="K26" s="1" t="s">
        <v>154</v>
      </c>
      <c r="L26" s="1" t="s">
        <v>23</v>
      </c>
      <c r="M26" s="1" t="s">
        <v>30</v>
      </c>
      <c r="N26" s="26" t="s">
        <v>142</v>
      </c>
      <c r="O26" s="27" t="s">
        <v>206</v>
      </c>
      <c r="P26" s="6">
        <v>119450000</v>
      </c>
      <c r="Q26" s="6">
        <v>0</v>
      </c>
      <c r="R26" s="6">
        <v>2000000</v>
      </c>
      <c r="S26" s="6">
        <v>1000000</v>
      </c>
      <c r="T26" s="6">
        <v>69076551</v>
      </c>
      <c r="U26" s="6">
        <f>+SUM(Tabla1[[#This Row],[MONTO FF]:[NO PECUNIO INIA]])</f>
        <v>191526551</v>
      </c>
      <c r="V26" s="4" t="s">
        <v>155</v>
      </c>
    </row>
    <row r="27" spans="2:22" ht="90" hidden="1" x14ac:dyDescent="0.2">
      <c r="B27" s="74" t="s">
        <v>14</v>
      </c>
      <c r="C27" s="75">
        <v>503570</v>
      </c>
      <c r="D27" s="75" t="s">
        <v>220</v>
      </c>
      <c r="E27" s="75">
        <v>10</v>
      </c>
      <c r="F27" s="75" t="s">
        <v>64</v>
      </c>
      <c r="G27" s="75" t="s">
        <v>15</v>
      </c>
      <c r="H27" s="75" t="s">
        <v>16</v>
      </c>
      <c r="I27" s="75" t="s">
        <v>20</v>
      </c>
      <c r="J27" s="75" t="s">
        <v>21</v>
      </c>
      <c r="K27" s="75" t="s">
        <v>154</v>
      </c>
      <c r="L27" s="75" t="s">
        <v>23</v>
      </c>
      <c r="M27" s="75" t="s">
        <v>24</v>
      </c>
      <c r="N27" s="77" t="s">
        <v>142</v>
      </c>
      <c r="O27" s="78" t="s">
        <v>143</v>
      </c>
      <c r="P27" s="79">
        <v>119450000</v>
      </c>
      <c r="Q27" s="79">
        <v>0</v>
      </c>
      <c r="R27" s="79">
        <v>2000000</v>
      </c>
      <c r="S27" s="79">
        <v>1000000</v>
      </c>
      <c r="T27" s="79">
        <v>69076551</v>
      </c>
      <c r="U27" s="79">
        <f>+SUM(Tabla1[[#This Row],[MONTO FF]:[NO PECUNIO INIA]])</f>
        <v>191526551</v>
      </c>
      <c r="V27" s="81" t="s">
        <v>155</v>
      </c>
    </row>
    <row r="28" spans="2:22" ht="45" x14ac:dyDescent="0.2">
      <c r="B28" s="74" t="s">
        <v>194</v>
      </c>
      <c r="C28" s="76">
        <v>503559</v>
      </c>
      <c r="D28" s="76" t="s">
        <v>219</v>
      </c>
      <c r="E28" s="76">
        <v>70</v>
      </c>
      <c r="F28" s="76" t="s">
        <v>193</v>
      </c>
      <c r="G28" s="76" t="s">
        <v>15</v>
      </c>
      <c r="H28" s="76" t="s">
        <v>16</v>
      </c>
      <c r="I28" s="76"/>
      <c r="J28" s="76"/>
      <c r="K28" s="76" t="s">
        <v>205</v>
      </c>
      <c r="L28" s="76" t="s">
        <v>204</v>
      </c>
      <c r="M28" s="76" t="s">
        <v>24</v>
      </c>
      <c r="N28" s="77" t="s">
        <v>120</v>
      </c>
      <c r="O28" s="77">
        <v>46387</v>
      </c>
      <c r="P28" s="79">
        <v>5729000</v>
      </c>
      <c r="Q28" s="79">
        <v>0</v>
      </c>
      <c r="R28" s="79">
        <v>0</v>
      </c>
      <c r="S28" s="79">
        <v>0</v>
      </c>
      <c r="T28" s="79">
        <v>0</v>
      </c>
      <c r="U28" s="79">
        <f>+SUM(Tabla1[[#This Row],[MONTO FF]:[NO PECUNIO INIA]])</f>
        <v>5729000</v>
      </c>
      <c r="V28" s="81" t="s">
        <v>193</v>
      </c>
    </row>
    <row r="29" spans="2:22" ht="135" hidden="1" x14ac:dyDescent="0.2">
      <c r="B29" s="74" t="s">
        <v>14</v>
      </c>
      <c r="C29" s="75">
        <v>503567</v>
      </c>
      <c r="D29" s="75" t="s">
        <v>220</v>
      </c>
      <c r="E29" s="75">
        <v>10</v>
      </c>
      <c r="F29" s="75" t="s">
        <v>64</v>
      </c>
      <c r="G29" s="75" t="s">
        <v>15</v>
      </c>
      <c r="H29" s="75"/>
      <c r="I29" s="75" t="s">
        <v>20</v>
      </c>
      <c r="J29" s="75" t="s">
        <v>21</v>
      </c>
      <c r="K29" s="75" t="s">
        <v>141</v>
      </c>
      <c r="L29" s="75" t="s">
        <v>112</v>
      </c>
      <c r="M29" s="75" t="s">
        <v>24</v>
      </c>
      <c r="N29" s="77" t="s">
        <v>142</v>
      </c>
      <c r="O29" s="78" t="s">
        <v>143</v>
      </c>
      <c r="P29" s="79">
        <v>115159785</v>
      </c>
      <c r="Q29" s="79">
        <v>6800000</v>
      </c>
      <c r="R29" s="79">
        <v>4424832</v>
      </c>
      <c r="S29" s="79">
        <v>1299999</v>
      </c>
      <c r="T29" s="79">
        <v>43886472</v>
      </c>
      <c r="U29" s="79">
        <f>+SUM(Tabla1[[#This Row],[MONTO FF]:[NO PECUNIO INIA]])</f>
        <v>171571088</v>
      </c>
      <c r="V29" s="81" t="s">
        <v>144</v>
      </c>
    </row>
    <row r="30" spans="2:22" s="8" customFormat="1" ht="105" hidden="1" x14ac:dyDescent="0.2">
      <c r="B30" s="74" t="s">
        <v>14</v>
      </c>
      <c r="C30" s="75">
        <v>503558</v>
      </c>
      <c r="D30" s="75" t="s">
        <v>223</v>
      </c>
      <c r="E30" s="75">
        <v>25</v>
      </c>
      <c r="F30" s="75">
        <v>70</v>
      </c>
      <c r="G30" s="75" t="s">
        <v>15</v>
      </c>
      <c r="H30" s="75" t="s">
        <v>16</v>
      </c>
      <c r="I30" s="75" t="s">
        <v>20</v>
      </c>
      <c r="J30" s="75" t="s">
        <v>21</v>
      </c>
      <c r="K30" s="75" t="s">
        <v>149</v>
      </c>
      <c r="L30" s="75" t="s">
        <v>48</v>
      </c>
      <c r="M30" s="75" t="s">
        <v>30</v>
      </c>
      <c r="N30" s="77" t="s">
        <v>150</v>
      </c>
      <c r="O30" s="78" t="s">
        <v>151</v>
      </c>
      <c r="P30" s="79">
        <v>4201681</v>
      </c>
      <c r="Q30" s="79">
        <v>0</v>
      </c>
      <c r="R30" s="79">
        <v>0</v>
      </c>
      <c r="S30" s="79">
        <v>0</v>
      </c>
      <c r="T30" s="79">
        <v>3442711</v>
      </c>
      <c r="U30" s="79">
        <f>+SUM(Tabla1[[#This Row],[MONTO FF]:[NO PECUNIO INIA]])</f>
        <v>7644392</v>
      </c>
      <c r="V30" s="81" t="s">
        <v>193</v>
      </c>
    </row>
    <row r="31" spans="2:22" ht="60" hidden="1" x14ac:dyDescent="0.2">
      <c r="B31" s="74" t="s">
        <v>14</v>
      </c>
      <c r="C31" s="75">
        <v>503551</v>
      </c>
      <c r="D31" s="75" t="s">
        <v>232</v>
      </c>
      <c r="E31" s="75">
        <v>19</v>
      </c>
      <c r="F31" s="75">
        <v>70</v>
      </c>
      <c r="G31" s="75" t="s">
        <v>15</v>
      </c>
      <c r="H31" s="75" t="s">
        <v>16</v>
      </c>
      <c r="I31" s="75" t="s">
        <v>20</v>
      </c>
      <c r="J31" s="75"/>
      <c r="K31" s="75" t="s">
        <v>146</v>
      </c>
      <c r="L31" s="75" t="s">
        <v>48</v>
      </c>
      <c r="M31" s="75" t="s">
        <v>30</v>
      </c>
      <c r="N31" s="77" t="s">
        <v>147</v>
      </c>
      <c r="O31" s="78" t="s">
        <v>148</v>
      </c>
      <c r="P31" s="79">
        <v>136739093</v>
      </c>
      <c r="Q31" s="79">
        <v>0</v>
      </c>
      <c r="R31" s="79">
        <v>0</v>
      </c>
      <c r="S31" s="79">
        <v>0</v>
      </c>
      <c r="T31" s="79">
        <v>0</v>
      </c>
      <c r="U31" s="79">
        <f>+SUM(Tabla1[[#This Row],[MONTO FF]:[NO PECUNIO INIA]])</f>
        <v>136739093</v>
      </c>
      <c r="V31" s="81" t="s">
        <v>193</v>
      </c>
    </row>
    <row r="32" spans="2:22" ht="165" hidden="1" x14ac:dyDescent="0.2">
      <c r="B32" s="74" t="s">
        <v>14</v>
      </c>
      <c r="C32" s="75">
        <v>503490</v>
      </c>
      <c r="D32" s="75" t="s">
        <v>224</v>
      </c>
      <c r="E32" s="75">
        <v>44</v>
      </c>
      <c r="F32" s="75" t="s">
        <v>64</v>
      </c>
      <c r="G32" s="75" t="s">
        <v>15</v>
      </c>
      <c r="H32" s="75"/>
      <c r="I32" s="75" t="s">
        <v>20</v>
      </c>
      <c r="J32" s="75" t="s">
        <v>28</v>
      </c>
      <c r="K32" s="75" t="s">
        <v>138</v>
      </c>
      <c r="L32" s="75" t="s">
        <v>112</v>
      </c>
      <c r="M32" s="75" t="s">
        <v>24</v>
      </c>
      <c r="N32" s="77" t="s">
        <v>136</v>
      </c>
      <c r="O32" s="78" t="s">
        <v>139</v>
      </c>
      <c r="P32" s="79">
        <v>164103030</v>
      </c>
      <c r="Q32" s="79">
        <v>0</v>
      </c>
      <c r="R32" s="79">
        <v>871902</v>
      </c>
      <c r="S32" s="79">
        <v>12000000</v>
      </c>
      <c r="T32" s="79">
        <v>13031009</v>
      </c>
      <c r="U32" s="79">
        <f>+SUM(Tabla1[[#This Row],[MONTO FF]:[NO PECUNIO INIA]])</f>
        <v>190005941</v>
      </c>
      <c r="V32" s="81" t="s">
        <v>193</v>
      </c>
    </row>
    <row r="33" spans="2:22" ht="90" hidden="1" x14ac:dyDescent="0.2">
      <c r="B33" s="74" t="s">
        <v>14</v>
      </c>
      <c r="C33" s="75">
        <v>503488</v>
      </c>
      <c r="D33" s="75" t="s">
        <v>224</v>
      </c>
      <c r="E33" s="75">
        <v>44</v>
      </c>
      <c r="F33" s="75" t="s">
        <v>64</v>
      </c>
      <c r="G33" s="75" t="s">
        <v>15</v>
      </c>
      <c r="H33" s="75"/>
      <c r="I33" s="75" t="s">
        <v>20</v>
      </c>
      <c r="J33" s="75" t="s">
        <v>28</v>
      </c>
      <c r="K33" s="75" t="s">
        <v>135</v>
      </c>
      <c r="L33" s="75" t="s">
        <v>48</v>
      </c>
      <c r="M33" s="75" t="s">
        <v>24</v>
      </c>
      <c r="N33" s="77" t="s">
        <v>136</v>
      </c>
      <c r="O33" s="78" t="s">
        <v>137</v>
      </c>
      <c r="P33" s="79">
        <v>148500000</v>
      </c>
      <c r="Q33" s="79">
        <v>0</v>
      </c>
      <c r="R33" s="79">
        <v>2519790</v>
      </c>
      <c r="S33" s="79">
        <v>14400000</v>
      </c>
      <c r="T33" s="79">
        <v>12683310</v>
      </c>
      <c r="U33" s="79">
        <f>+SUM(Tabla1[[#This Row],[MONTO FF]:[NO PECUNIO INIA]])</f>
        <v>178103100</v>
      </c>
      <c r="V33" s="81" t="s">
        <v>193</v>
      </c>
    </row>
    <row r="34" spans="2:22" ht="120" hidden="1" x14ac:dyDescent="0.2">
      <c r="B34" s="74" t="s">
        <v>14</v>
      </c>
      <c r="C34" s="75">
        <v>503466</v>
      </c>
      <c r="D34" s="75" t="s">
        <v>234</v>
      </c>
      <c r="E34" s="75">
        <v>22</v>
      </c>
      <c r="F34" s="75">
        <v>70</v>
      </c>
      <c r="G34" s="75" t="s">
        <v>15</v>
      </c>
      <c r="H34" s="75"/>
      <c r="I34" s="75" t="s">
        <v>20</v>
      </c>
      <c r="J34" s="75" t="s">
        <v>21</v>
      </c>
      <c r="K34" s="75" t="s">
        <v>130</v>
      </c>
      <c r="L34" s="75" t="s">
        <v>105</v>
      </c>
      <c r="M34" s="75" t="s">
        <v>24</v>
      </c>
      <c r="N34" s="77" t="s">
        <v>131</v>
      </c>
      <c r="O34" s="78" t="s">
        <v>132</v>
      </c>
      <c r="P34" s="79">
        <v>40800000</v>
      </c>
      <c r="Q34" s="79">
        <v>0</v>
      </c>
      <c r="R34" s="79">
        <v>0</v>
      </c>
      <c r="S34" s="79">
        <v>0</v>
      </c>
      <c r="T34" s="79">
        <v>123071739</v>
      </c>
      <c r="U34" s="79">
        <f>+SUM(Tabla1[[#This Row],[MONTO FF]:[NO PECUNIO INIA]])</f>
        <v>163871739</v>
      </c>
      <c r="V34" s="81" t="s">
        <v>193</v>
      </c>
    </row>
    <row r="35" spans="2:22" ht="105" hidden="1" x14ac:dyDescent="0.2">
      <c r="B35" s="74" t="s">
        <v>14</v>
      </c>
      <c r="C35" s="75">
        <v>503454</v>
      </c>
      <c r="D35" s="75" t="s">
        <v>223</v>
      </c>
      <c r="E35" s="75">
        <v>25</v>
      </c>
      <c r="F35" s="75">
        <v>70</v>
      </c>
      <c r="G35" s="75" t="s">
        <v>15</v>
      </c>
      <c r="H35" s="75" t="s">
        <v>16</v>
      </c>
      <c r="I35" s="75" t="s">
        <v>20</v>
      </c>
      <c r="J35" s="75" t="s">
        <v>21</v>
      </c>
      <c r="K35" s="75" t="s">
        <v>128</v>
      </c>
      <c r="L35" s="75" t="s">
        <v>35</v>
      </c>
      <c r="M35" s="75" t="s">
        <v>24</v>
      </c>
      <c r="N35" s="77" t="s">
        <v>129</v>
      </c>
      <c r="O35" s="78">
        <v>46295</v>
      </c>
      <c r="P35" s="79">
        <v>10559833</v>
      </c>
      <c r="Q35" s="79">
        <v>0</v>
      </c>
      <c r="R35" s="79">
        <v>0</v>
      </c>
      <c r="S35" s="79">
        <v>0</v>
      </c>
      <c r="T35" s="79">
        <v>1498447</v>
      </c>
      <c r="U35" s="79">
        <f>+SUM(Tabla1[[#This Row],[MONTO FF]:[NO PECUNIO INIA]])</f>
        <v>12058280</v>
      </c>
      <c r="V35" s="81" t="s">
        <v>193</v>
      </c>
    </row>
    <row r="36" spans="2:22" ht="195" hidden="1" x14ac:dyDescent="0.2">
      <c r="B36" s="74" t="s">
        <v>14</v>
      </c>
      <c r="C36" s="75">
        <v>503386</v>
      </c>
      <c r="D36" s="75" t="s">
        <v>231</v>
      </c>
      <c r="E36" s="75">
        <v>11</v>
      </c>
      <c r="F36" s="75" t="s">
        <v>64</v>
      </c>
      <c r="G36" s="75" t="s">
        <v>15</v>
      </c>
      <c r="H36" s="75"/>
      <c r="I36" s="75" t="s">
        <v>20</v>
      </c>
      <c r="J36" s="75" t="s">
        <v>21</v>
      </c>
      <c r="K36" s="75" t="s">
        <v>121</v>
      </c>
      <c r="L36" s="75" t="s">
        <v>105</v>
      </c>
      <c r="M36" s="75" t="s">
        <v>30</v>
      </c>
      <c r="N36" s="77" t="s">
        <v>122</v>
      </c>
      <c r="O36" s="78" t="s">
        <v>123</v>
      </c>
      <c r="P36" s="79">
        <v>160425000</v>
      </c>
      <c r="Q36" s="79">
        <v>0</v>
      </c>
      <c r="R36" s="79">
        <v>24073545</v>
      </c>
      <c r="S36" s="79">
        <v>0</v>
      </c>
      <c r="T36" s="79">
        <v>94294747</v>
      </c>
      <c r="U36" s="79">
        <f>+SUM(Tabla1[[#This Row],[MONTO FF]:[NO PECUNIO INIA]])</f>
        <v>278793292</v>
      </c>
      <c r="V36" s="81" t="s">
        <v>124</v>
      </c>
    </row>
    <row r="37" spans="2:22" ht="90" hidden="1" x14ac:dyDescent="0.2">
      <c r="B37" s="74" t="s">
        <v>14</v>
      </c>
      <c r="C37" s="75">
        <v>503373</v>
      </c>
      <c r="D37" s="75" t="s">
        <v>223</v>
      </c>
      <c r="E37" s="75">
        <v>25</v>
      </c>
      <c r="F37" s="75">
        <v>70</v>
      </c>
      <c r="G37" s="75" t="s">
        <v>15</v>
      </c>
      <c r="H37" s="75" t="s">
        <v>16</v>
      </c>
      <c r="I37" s="75" t="s">
        <v>20</v>
      </c>
      <c r="J37" s="75" t="s">
        <v>21</v>
      </c>
      <c r="K37" s="75" t="s">
        <v>125</v>
      </c>
      <c r="L37" s="75" t="s">
        <v>48</v>
      </c>
      <c r="M37" s="75" t="s">
        <v>30</v>
      </c>
      <c r="N37" s="77" t="s">
        <v>126</v>
      </c>
      <c r="O37" s="78" t="s">
        <v>127</v>
      </c>
      <c r="P37" s="79">
        <v>14826000</v>
      </c>
      <c r="Q37" s="79">
        <v>0</v>
      </c>
      <c r="R37" s="79">
        <v>0</v>
      </c>
      <c r="S37" s="79">
        <v>0</v>
      </c>
      <c r="T37" s="79">
        <v>7496305</v>
      </c>
      <c r="U37" s="79">
        <f>+SUM(Tabla1[[#This Row],[MONTO FF]:[NO PECUNIO INIA]])</f>
        <v>22322305</v>
      </c>
      <c r="V37" s="81" t="s">
        <v>193</v>
      </c>
    </row>
    <row r="38" spans="2:22" ht="120" hidden="1" x14ac:dyDescent="0.2">
      <c r="B38" s="74" t="s">
        <v>14</v>
      </c>
      <c r="C38" s="75">
        <v>503303</v>
      </c>
      <c r="D38" s="75" t="s">
        <v>234</v>
      </c>
      <c r="E38" s="75">
        <v>22</v>
      </c>
      <c r="F38" s="75">
        <v>70</v>
      </c>
      <c r="G38" s="75" t="s">
        <v>15</v>
      </c>
      <c r="H38" s="75" t="s">
        <v>16</v>
      </c>
      <c r="I38" s="75"/>
      <c r="J38" s="75"/>
      <c r="K38" s="75" t="s">
        <v>140</v>
      </c>
      <c r="L38" s="75" t="s">
        <v>134</v>
      </c>
      <c r="M38" s="75" t="s">
        <v>30</v>
      </c>
      <c r="N38" s="77" t="s">
        <v>74</v>
      </c>
      <c r="O38" s="78" t="s">
        <v>71</v>
      </c>
      <c r="P38" s="79">
        <v>198466000</v>
      </c>
      <c r="Q38" s="79">
        <v>0</v>
      </c>
      <c r="R38" s="79">
        <v>0</v>
      </c>
      <c r="S38" s="79">
        <v>0</v>
      </c>
      <c r="T38" s="79">
        <v>109658000</v>
      </c>
      <c r="U38" s="79">
        <f>+SUM(Tabla1[[#This Row],[MONTO FF]:[NO PECUNIO INIA]])</f>
        <v>308124000</v>
      </c>
      <c r="V38" s="81">
        <v>1220909</v>
      </c>
    </row>
    <row r="39" spans="2:22" ht="42.75" hidden="1" x14ac:dyDescent="0.2">
      <c r="B39" s="3" t="s">
        <v>194</v>
      </c>
      <c r="C39" s="1">
        <v>503295</v>
      </c>
      <c r="D39" s="1" t="s">
        <v>219</v>
      </c>
      <c r="E39" s="1">
        <v>70</v>
      </c>
      <c r="F39" s="1" t="s">
        <v>193</v>
      </c>
      <c r="G39" s="1" t="s">
        <v>15</v>
      </c>
      <c r="H39" s="1" t="s">
        <v>16</v>
      </c>
      <c r="I39" s="1"/>
      <c r="J39" s="1"/>
      <c r="K39" s="1" t="s">
        <v>203</v>
      </c>
      <c r="L39" s="1" t="s">
        <v>204</v>
      </c>
      <c r="M39" s="1" t="s">
        <v>30</v>
      </c>
      <c r="N39" s="26" t="s">
        <v>79</v>
      </c>
      <c r="O39" s="27" t="s">
        <v>116</v>
      </c>
      <c r="P39" s="6">
        <v>1654314</v>
      </c>
      <c r="Q39" s="6">
        <v>0</v>
      </c>
      <c r="R39" s="6">
        <v>0</v>
      </c>
      <c r="S39" s="6">
        <v>0</v>
      </c>
      <c r="T39" s="6">
        <v>0</v>
      </c>
      <c r="U39" s="6">
        <f>+SUM(Tabla1[[#This Row],[MONTO FF]:[NO PECUNIO INIA]])</f>
        <v>1654314</v>
      </c>
      <c r="V39" s="4" t="s">
        <v>193</v>
      </c>
    </row>
    <row r="40" spans="2:22" ht="75" hidden="1" x14ac:dyDescent="0.2">
      <c r="B40" s="74" t="s">
        <v>14</v>
      </c>
      <c r="C40" s="75">
        <v>503296</v>
      </c>
      <c r="D40" s="75" t="s">
        <v>221</v>
      </c>
      <c r="E40" s="75">
        <v>12</v>
      </c>
      <c r="F40" s="75" t="s">
        <v>193</v>
      </c>
      <c r="G40" s="75" t="s">
        <v>15</v>
      </c>
      <c r="H40" s="75" t="s">
        <v>16</v>
      </c>
      <c r="I40" s="75" t="s">
        <v>20</v>
      </c>
      <c r="J40" s="75" t="s">
        <v>21</v>
      </c>
      <c r="K40" s="75" t="s">
        <v>114</v>
      </c>
      <c r="L40" s="75" t="s">
        <v>23</v>
      </c>
      <c r="M40" s="75" t="s">
        <v>30</v>
      </c>
      <c r="N40" s="77" t="s">
        <v>115</v>
      </c>
      <c r="O40" s="75" t="s">
        <v>116</v>
      </c>
      <c r="P40" s="79">
        <v>1728000</v>
      </c>
      <c r="Q40" s="79">
        <v>0</v>
      </c>
      <c r="R40" s="79">
        <v>0</v>
      </c>
      <c r="S40" s="79">
        <v>0</v>
      </c>
      <c r="T40" s="79">
        <v>0</v>
      </c>
      <c r="U40" s="79">
        <f>+SUM(Tabla1[[#This Row],[MONTO FF]:[NO PECUNIO INIA]])</f>
        <v>1728000</v>
      </c>
      <c r="V40" s="81" t="s">
        <v>193</v>
      </c>
    </row>
    <row r="41" spans="2:22" ht="120" hidden="1" x14ac:dyDescent="0.2">
      <c r="B41" s="74" t="s">
        <v>14</v>
      </c>
      <c r="C41" s="75">
        <v>503292</v>
      </c>
      <c r="D41" s="75" t="s">
        <v>219</v>
      </c>
      <c r="E41" s="75">
        <v>70</v>
      </c>
      <c r="F41" s="75" t="s">
        <v>193</v>
      </c>
      <c r="G41" s="75" t="s">
        <v>15</v>
      </c>
      <c r="H41" s="75" t="s">
        <v>16</v>
      </c>
      <c r="I41" s="75"/>
      <c r="J41" s="75"/>
      <c r="K41" s="75" t="s">
        <v>111</v>
      </c>
      <c r="L41" s="75" t="s">
        <v>112</v>
      </c>
      <c r="M41" s="75" t="s">
        <v>30</v>
      </c>
      <c r="N41" s="77" t="s">
        <v>113</v>
      </c>
      <c r="O41" s="78" t="s">
        <v>37</v>
      </c>
      <c r="P41" s="79">
        <v>5748955</v>
      </c>
      <c r="Q41" s="79">
        <v>0</v>
      </c>
      <c r="R41" s="79">
        <v>0</v>
      </c>
      <c r="S41" s="79">
        <v>0</v>
      </c>
      <c r="T41" s="79">
        <v>0</v>
      </c>
      <c r="U41" s="79">
        <f>+SUM(Tabla1[[#This Row],[MONTO FF]:[NO PECUNIO INIA]])</f>
        <v>5748955</v>
      </c>
      <c r="V41" s="81" t="s">
        <v>193</v>
      </c>
    </row>
    <row r="42" spans="2:22" ht="120" hidden="1" x14ac:dyDescent="0.2">
      <c r="B42" s="74" t="s">
        <v>14</v>
      </c>
      <c r="C42" s="75">
        <v>503276</v>
      </c>
      <c r="D42" s="75" t="s">
        <v>221</v>
      </c>
      <c r="E42" s="75">
        <v>12</v>
      </c>
      <c r="F42" s="75" t="s">
        <v>193</v>
      </c>
      <c r="G42" s="75" t="s">
        <v>15</v>
      </c>
      <c r="H42" s="75" t="s">
        <v>16</v>
      </c>
      <c r="I42" s="75" t="s">
        <v>20</v>
      </c>
      <c r="J42" s="75" t="s">
        <v>21</v>
      </c>
      <c r="K42" s="75" t="s">
        <v>81</v>
      </c>
      <c r="L42" s="75" t="s">
        <v>23</v>
      </c>
      <c r="M42" s="75" t="s">
        <v>30</v>
      </c>
      <c r="N42" s="77" t="s">
        <v>82</v>
      </c>
      <c r="O42" s="75" t="s">
        <v>83</v>
      </c>
      <c r="P42" s="79">
        <v>4287994</v>
      </c>
      <c r="Q42" s="79">
        <v>0</v>
      </c>
      <c r="R42" s="79">
        <v>0</v>
      </c>
      <c r="S42" s="79">
        <v>0</v>
      </c>
      <c r="T42" s="79">
        <v>0</v>
      </c>
      <c r="U42" s="79">
        <f>+SUM(Tabla1[[#This Row],[MONTO FF]:[NO PECUNIO INIA]])</f>
        <v>4287994</v>
      </c>
      <c r="V42" s="81" t="s">
        <v>193</v>
      </c>
    </row>
    <row r="43" spans="2:22" ht="120" hidden="1" x14ac:dyDescent="0.2">
      <c r="B43" s="74" t="s">
        <v>14</v>
      </c>
      <c r="C43" s="75">
        <v>503275</v>
      </c>
      <c r="D43" s="75" t="s">
        <v>238</v>
      </c>
      <c r="E43" s="75">
        <v>46</v>
      </c>
      <c r="F43" s="75" t="s">
        <v>77</v>
      </c>
      <c r="G43" s="75" t="s">
        <v>15</v>
      </c>
      <c r="H43" s="75" t="s">
        <v>16</v>
      </c>
      <c r="I43" s="75" t="s">
        <v>20</v>
      </c>
      <c r="J43" s="75" t="s">
        <v>21</v>
      </c>
      <c r="K43" s="75" t="s">
        <v>78</v>
      </c>
      <c r="L43" s="75" t="s">
        <v>42</v>
      </c>
      <c r="M43" s="75" t="s">
        <v>30</v>
      </c>
      <c r="N43" s="77" t="s">
        <v>79</v>
      </c>
      <c r="O43" s="78" t="s">
        <v>19</v>
      </c>
      <c r="P43" s="79">
        <v>170000000</v>
      </c>
      <c r="Q43" s="79">
        <v>300000000</v>
      </c>
      <c r="R43" s="79">
        <v>0</v>
      </c>
      <c r="S43" s="79">
        <v>0</v>
      </c>
      <c r="T43" s="79">
        <v>180775859</v>
      </c>
      <c r="U43" s="79">
        <f>+SUM(Tabla1[[#This Row],[MONTO FF]:[NO PECUNIO INIA]])</f>
        <v>650775859</v>
      </c>
      <c r="V43" s="81" t="s">
        <v>80</v>
      </c>
    </row>
    <row r="44" spans="2:22" ht="120" hidden="1" x14ac:dyDescent="0.2">
      <c r="B44" s="74" t="s">
        <v>14</v>
      </c>
      <c r="C44" s="75">
        <v>503272</v>
      </c>
      <c r="D44" s="75" t="s">
        <v>235</v>
      </c>
      <c r="E44" s="75">
        <v>24</v>
      </c>
      <c r="F44" s="75">
        <v>70</v>
      </c>
      <c r="G44" s="75" t="s">
        <v>15</v>
      </c>
      <c r="H44" s="75"/>
      <c r="I44" s="75" t="s">
        <v>20</v>
      </c>
      <c r="J44" s="75" t="s">
        <v>21</v>
      </c>
      <c r="K44" s="75" t="s">
        <v>43</v>
      </c>
      <c r="L44" s="75" t="s">
        <v>44</v>
      </c>
      <c r="M44" s="75" t="s">
        <v>24</v>
      </c>
      <c r="N44" s="77" t="s">
        <v>45</v>
      </c>
      <c r="O44" s="78" t="s">
        <v>46</v>
      </c>
      <c r="P44" s="79">
        <v>102808000</v>
      </c>
      <c r="Q44" s="79">
        <v>0</v>
      </c>
      <c r="R44" s="79">
        <v>239580325</v>
      </c>
      <c r="S44" s="79">
        <v>0</v>
      </c>
      <c r="T44" s="79">
        <v>0</v>
      </c>
      <c r="U44" s="79">
        <f>+SUM(Tabla1[[#This Row],[MONTO FF]:[NO PECUNIO INIA]])</f>
        <v>342388325</v>
      </c>
      <c r="V44" s="81" t="s">
        <v>193</v>
      </c>
    </row>
    <row r="45" spans="2:22" ht="120" hidden="1" x14ac:dyDescent="0.2">
      <c r="B45" s="74" t="s">
        <v>14</v>
      </c>
      <c r="C45" s="75">
        <v>503266</v>
      </c>
      <c r="D45" s="75" t="s">
        <v>236</v>
      </c>
      <c r="E45" s="75">
        <v>38</v>
      </c>
      <c r="F45" s="75" t="s">
        <v>64</v>
      </c>
      <c r="G45" s="75" t="s">
        <v>15</v>
      </c>
      <c r="H45" s="75" t="s">
        <v>16</v>
      </c>
      <c r="I45" s="75" t="s">
        <v>20</v>
      </c>
      <c r="J45" s="75" t="s">
        <v>21</v>
      </c>
      <c r="K45" s="75" t="s">
        <v>73</v>
      </c>
      <c r="L45" s="75" t="s">
        <v>35</v>
      </c>
      <c r="M45" s="75" t="s">
        <v>30</v>
      </c>
      <c r="N45" s="77" t="s">
        <v>74</v>
      </c>
      <c r="O45" s="78" t="s">
        <v>75</v>
      </c>
      <c r="P45" s="79">
        <v>90000000</v>
      </c>
      <c r="Q45" s="79">
        <v>0</v>
      </c>
      <c r="R45" s="79">
        <v>0</v>
      </c>
      <c r="S45" s="79">
        <v>0</v>
      </c>
      <c r="T45" s="79">
        <v>32123824</v>
      </c>
      <c r="U45" s="79">
        <f>+SUM(Tabla1[[#This Row],[MONTO FF]:[NO PECUNIO INIA]])</f>
        <v>122123824</v>
      </c>
      <c r="V45" s="81" t="s">
        <v>76</v>
      </c>
    </row>
    <row r="46" spans="2:22" ht="195" hidden="1" x14ac:dyDescent="0.2">
      <c r="B46" s="74" t="s">
        <v>14</v>
      </c>
      <c r="C46" s="76">
        <v>503265</v>
      </c>
      <c r="D46" s="75" t="s">
        <v>220</v>
      </c>
      <c r="E46" s="75">
        <v>10</v>
      </c>
      <c r="F46" s="75" t="s">
        <v>64</v>
      </c>
      <c r="G46" s="75" t="s">
        <v>15</v>
      </c>
      <c r="H46" s="75"/>
      <c r="I46" s="75" t="s">
        <v>20</v>
      </c>
      <c r="J46" s="75" t="s">
        <v>21</v>
      </c>
      <c r="K46" s="75" t="s">
        <v>69</v>
      </c>
      <c r="L46" s="76" t="s">
        <v>17</v>
      </c>
      <c r="M46" s="76" t="s">
        <v>30</v>
      </c>
      <c r="N46" s="77" t="s">
        <v>70</v>
      </c>
      <c r="O46" s="77" t="s">
        <v>71</v>
      </c>
      <c r="P46" s="79">
        <v>149985876</v>
      </c>
      <c r="Q46" s="79">
        <v>6000000</v>
      </c>
      <c r="R46" s="79">
        <v>9122000</v>
      </c>
      <c r="S46" s="79">
        <v>750000</v>
      </c>
      <c r="T46" s="79">
        <v>132987657</v>
      </c>
      <c r="U46" s="79">
        <f>+SUM(Tabla1[[#This Row],[MONTO FF]:[NO PECUNIO INIA]])</f>
        <v>298845533</v>
      </c>
      <c r="V46" s="81" t="s">
        <v>72</v>
      </c>
    </row>
    <row r="47" spans="2:22" ht="105" hidden="1" x14ac:dyDescent="0.2">
      <c r="B47" s="74" t="s">
        <v>14</v>
      </c>
      <c r="C47" s="76">
        <v>503263</v>
      </c>
      <c r="D47" s="75" t="s">
        <v>220</v>
      </c>
      <c r="E47" s="75">
        <v>10</v>
      </c>
      <c r="F47" s="75" t="s">
        <v>64</v>
      </c>
      <c r="G47" s="75" t="s">
        <v>15</v>
      </c>
      <c r="H47" s="75"/>
      <c r="I47" s="75" t="s">
        <v>20</v>
      </c>
      <c r="J47" s="75" t="s">
        <v>28</v>
      </c>
      <c r="K47" s="75" t="s">
        <v>65</v>
      </c>
      <c r="L47" s="76" t="s">
        <v>23</v>
      </c>
      <c r="M47" s="76" t="s">
        <v>30</v>
      </c>
      <c r="N47" s="77" t="s">
        <v>66</v>
      </c>
      <c r="O47" s="77" t="s">
        <v>67</v>
      </c>
      <c r="P47" s="79">
        <v>85000000</v>
      </c>
      <c r="Q47" s="79"/>
      <c r="R47" s="79"/>
      <c r="S47" s="79">
        <v>850000</v>
      </c>
      <c r="T47" s="79">
        <v>52240436</v>
      </c>
      <c r="U47" s="79">
        <f>+SUM(Tabla1[[#This Row],[MONTO FF]:[NO PECUNIO INIA]])</f>
        <v>138090436</v>
      </c>
      <c r="V47" s="81" t="s">
        <v>68</v>
      </c>
    </row>
    <row r="48" spans="2:22" s="8" customFormat="1" ht="105" hidden="1" x14ac:dyDescent="0.2">
      <c r="B48" s="74" t="s">
        <v>14</v>
      </c>
      <c r="C48" s="76">
        <v>503189</v>
      </c>
      <c r="D48" s="75" t="s">
        <v>221</v>
      </c>
      <c r="E48" s="75">
        <v>12</v>
      </c>
      <c r="F48" s="75" t="s">
        <v>193</v>
      </c>
      <c r="G48" s="75" t="s">
        <v>15</v>
      </c>
      <c r="H48" s="75" t="s">
        <v>16</v>
      </c>
      <c r="I48" s="75" t="s">
        <v>20</v>
      </c>
      <c r="J48" s="75" t="s">
        <v>21</v>
      </c>
      <c r="K48" s="75" t="s">
        <v>39</v>
      </c>
      <c r="L48" s="76" t="s">
        <v>23</v>
      </c>
      <c r="M48" s="76" t="s">
        <v>30</v>
      </c>
      <c r="N48" s="77" t="s">
        <v>40</v>
      </c>
      <c r="O48" s="76" t="s">
        <v>41</v>
      </c>
      <c r="P48" s="79">
        <v>4828000</v>
      </c>
      <c r="Q48" s="79">
        <v>0</v>
      </c>
      <c r="R48" s="79">
        <v>0</v>
      </c>
      <c r="S48" s="79">
        <v>0</v>
      </c>
      <c r="T48" s="79">
        <v>0</v>
      </c>
      <c r="U48" s="79">
        <f>+SUM(Tabla1[[#This Row],[MONTO FF]:[NO PECUNIO INIA]])</f>
        <v>4828000</v>
      </c>
      <c r="V48" s="81" t="s">
        <v>193</v>
      </c>
    </row>
    <row r="49" spans="2:22" ht="60" hidden="1" x14ac:dyDescent="0.2">
      <c r="B49" s="74" t="s">
        <v>14</v>
      </c>
      <c r="C49" s="76">
        <v>503153</v>
      </c>
      <c r="D49" s="75" t="s">
        <v>221</v>
      </c>
      <c r="E49" s="75">
        <v>12</v>
      </c>
      <c r="F49" s="75" t="s">
        <v>193</v>
      </c>
      <c r="G49" s="75" t="s">
        <v>15</v>
      </c>
      <c r="H49" s="75" t="s">
        <v>16</v>
      </c>
      <c r="I49" s="75" t="s">
        <v>20</v>
      </c>
      <c r="J49" s="75" t="s">
        <v>21</v>
      </c>
      <c r="K49" s="75" t="s">
        <v>109</v>
      </c>
      <c r="L49" s="76" t="s">
        <v>17</v>
      </c>
      <c r="M49" s="75" t="s">
        <v>30</v>
      </c>
      <c r="N49" s="77" t="s">
        <v>110</v>
      </c>
      <c r="O49" s="76" t="s">
        <v>37</v>
      </c>
      <c r="P49" s="79">
        <v>0</v>
      </c>
      <c r="Q49" s="79">
        <v>0</v>
      </c>
      <c r="R49" s="79">
        <v>0</v>
      </c>
      <c r="S49" s="79">
        <v>0</v>
      </c>
      <c r="T49" s="79">
        <v>0</v>
      </c>
      <c r="U49" s="79">
        <f>+SUM(Tabla1[[#This Row],[MONTO FF]:[NO PECUNIO INIA]])</f>
        <v>0</v>
      </c>
      <c r="V49" s="81" t="s">
        <v>27</v>
      </c>
    </row>
    <row r="50" spans="2:22" ht="45" hidden="1" x14ac:dyDescent="0.2">
      <c r="B50" s="74" t="s">
        <v>14</v>
      </c>
      <c r="C50" s="76">
        <v>503150</v>
      </c>
      <c r="D50" s="75" t="s">
        <v>219</v>
      </c>
      <c r="E50" s="75">
        <v>70</v>
      </c>
      <c r="F50" s="75" t="s">
        <v>193</v>
      </c>
      <c r="G50" s="75" t="s">
        <v>15</v>
      </c>
      <c r="H50" s="75" t="s">
        <v>16</v>
      </c>
      <c r="I50" s="75"/>
      <c r="J50" s="75"/>
      <c r="K50" s="75" t="s">
        <v>50</v>
      </c>
      <c r="L50" s="76" t="s">
        <v>48</v>
      </c>
      <c r="M50" s="75" t="s">
        <v>30</v>
      </c>
      <c r="N50" s="77" t="s">
        <v>51</v>
      </c>
      <c r="O50" s="77" t="s">
        <v>52</v>
      </c>
      <c r="P50" s="79">
        <v>1469050</v>
      </c>
      <c r="Q50" s="79">
        <v>0</v>
      </c>
      <c r="R50" s="79">
        <v>0</v>
      </c>
      <c r="S50" s="79">
        <v>0</v>
      </c>
      <c r="T50" s="79">
        <v>0</v>
      </c>
      <c r="U50" s="79">
        <f>+SUM(Tabla1[[#This Row],[MONTO FF]:[NO PECUNIO INIA]])</f>
        <v>1469050</v>
      </c>
      <c r="V50" s="81" t="s">
        <v>193</v>
      </c>
    </row>
    <row r="51" spans="2:22" ht="105" hidden="1" x14ac:dyDescent="0.2">
      <c r="B51" s="74" t="s">
        <v>14</v>
      </c>
      <c r="C51" s="76">
        <v>503138</v>
      </c>
      <c r="D51" s="75" t="s">
        <v>237</v>
      </c>
      <c r="E51" s="75">
        <v>42</v>
      </c>
      <c r="F51" s="75">
        <v>70</v>
      </c>
      <c r="G51" s="75" t="s">
        <v>15</v>
      </c>
      <c r="H51" s="75"/>
      <c r="I51" s="75" t="s">
        <v>20</v>
      </c>
      <c r="J51" s="75" t="s">
        <v>21</v>
      </c>
      <c r="K51" s="75" t="s">
        <v>106</v>
      </c>
      <c r="L51" s="76" t="s">
        <v>105</v>
      </c>
      <c r="M51" s="75" t="s">
        <v>30</v>
      </c>
      <c r="N51" s="77" t="s">
        <v>107</v>
      </c>
      <c r="O51" s="77" t="s">
        <v>37</v>
      </c>
      <c r="P51" s="79">
        <v>108177557</v>
      </c>
      <c r="Q51" s="79">
        <v>0</v>
      </c>
      <c r="R51" s="79">
        <v>0</v>
      </c>
      <c r="S51" s="79">
        <v>0</v>
      </c>
      <c r="T51" s="79">
        <v>0</v>
      </c>
      <c r="U51" s="79">
        <f>+SUM(Tabla1[[#This Row],[MONTO FF]:[NO PECUNIO INIA]])</f>
        <v>108177557</v>
      </c>
      <c r="V51" s="81" t="s">
        <v>108</v>
      </c>
    </row>
    <row r="52" spans="2:22" ht="45" hidden="1" x14ac:dyDescent="0.2">
      <c r="B52" s="74" t="s">
        <v>14</v>
      </c>
      <c r="C52" s="76">
        <v>503137</v>
      </c>
      <c r="D52" s="75" t="s">
        <v>224</v>
      </c>
      <c r="E52" s="75">
        <v>44</v>
      </c>
      <c r="F52" s="75">
        <v>70</v>
      </c>
      <c r="G52" s="75" t="s">
        <v>15</v>
      </c>
      <c r="H52" s="75"/>
      <c r="I52" s="75" t="s">
        <v>20</v>
      </c>
      <c r="J52" s="75" t="s">
        <v>21</v>
      </c>
      <c r="K52" s="75" t="s">
        <v>34</v>
      </c>
      <c r="L52" s="76" t="s">
        <v>35</v>
      </c>
      <c r="M52" s="75" t="s">
        <v>30</v>
      </c>
      <c r="N52" s="77" t="s">
        <v>36</v>
      </c>
      <c r="O52" s="77" t="s">
        <v>37</v>
      </c>
      <c r="P52" s="79">
        <v>240000000</v>
      </c>
      <c r="Q52" s="79">
        <v>15000000</v>
      </c>
      <c r="R52" s="79">
        <v>0</v>
      </c>
      <c r="S52" s="79">
        <v>0</v>
      </c>
      <c r="T52" s="79">
        <v>26890380</v>
      </c>
      <c r="U52" s="79">
        <f>+SUM(Tabla1[[#This Row],[MONTO FF]:[NO PECUNIO INIA]])</f>
        <v>281890380</v>
      </c>
      <c r="V52" s="81" t="s">
        <v>38</v>
      </c>
    </row>
    <row r="53" spans="2:22" s="8" customFormat="1" ht="90" hidden="1" x14ac:dyDescent="0.2">
      <c r="B53" s="74" t="s">
        <v>14</v>
      </c>
      <c r="C53" s="76">
        <v>503133</v>
      </c>
      <c r="D53" s="75" t="s">
        <v>224</v>
      </c>
      <c r="E53" s="75">
        <v>44</v>
      </c>
      <c r="F53" s="75">
        <v>70</v>
      </c>
      <c r="G53" s="75" t="s">
        <v>15</v>
      </c>
      <c r="H53" s="75"/>
      <c r="I53" s="75" t="s">
        <v>20</v>
      </c>
      <c r="J53" s="75" t="s">
        <v>28</v>
      </c>
      <c r="K53" s="75" t="s">
        <v>29</v>
      </c>
      <c r="L53" s="76" t="s">
        <v>23</v>
      </c>
      <c r="M53" s="76" t="s">
        <v>30</v>
      </c>
      <c r="N53" s="77" t="s">
        <v>31</v>
      </c>
      <c r="O53" s="77" t="s">
        <v>32</v>
      </c>
      <c r="P53" s="79">
        <v>200000000</v>
      </c>
      <c r="Q53" s="79">
        <v>12050000</v>
      </c>
      <c r="R53" s="79">
        <v>0</v>
      </c>
      <c r="S53" s="79">
        <v>0</v>
      </c>
      <c r="T53" s="79">
        <v>27854865</v>
      </c>
      <c r="U53" s="79">
        <f>+SUM(Tabla1[[#This Row],[MONTO FF]:[NO PECUNIO INIA]])</f>
        <v>239904865</v>
      </c>
      <c r="V53" s="81" t="s">
        <v>33</v>
      </c>
    </row>
    <row r="54" spans="2:22" ht="114" hidden="1" x14ac:dyDescent="0.2">
      <c r="B54" s="3" t="s">
        <v>194</v>
      </c>
      <c r="C54" s="2">
        <v>503042</v>
      </c>
      <c r="D54" s="1" t="s">
        <v>234</v>
      </c>
      <c r="E54" s="1">
        <v>22</v>
      </c>
      <c r="F54" s="1">
        <v>70</v>
      </c>
      <c r="G54" s="1" t="s">
        <v>15</v>
      </c>
      <c r="H54" s="1"/>
      <c r="I54" s="1" t="s">
        <v>20</v>
      </c>
      <c r="J54" s="1" t="s">
        <v>21</v>
      </c>
      <c r="K54" s="1" t="s">
        <v>199</v>
      </c>
      <c r="L54" s="2" t="s">
        <v>200</v>
      </c>
      <c r="M54" s="2" t="s">
        <v>30</v>
      </c>
      <c r="N54" s="26" t="s">
        <v>201</v>
      </c>
      <c r="O54" s="26" t="s">
        <v>202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f>+SUM(Tabla1[[#This Row],[MONTO FF]:[NO PECUNIO INIA]])</f>
        <v>0</v>
      </c>
      <c r="V54" s="4">
        <v>3200742</v>
      </c>
    </row>
    <row r="55" spans="2:22" ht="99.75" hidden="1" x14ac:dyDescent="0.2">
      <c r="B55" s="3" t="s">
        <v>194</v>
      </c>
      <c r="C55" s="2">
        <v>503032</v>
      </c>
      <c r="D55" s="1" t="s">
        <v>219</v>
      </c>
      <c r="E55" s="1">
        <v>70</v>
      </c>
      <c r="F55" s="1" t="s">
        <v>193</v>
      </c>
      <c r="G55" s="1" t="s">
        <v>15</v>
      </c>
      <c r="H55" s="1" t="s">
        <v>16</v>
      </c>
      <c r="I55" s="1"/>
      <c r="J55" s="1"/>
      <c r="K55" s="1" t="s">
        <v>197</v>
      </c>
      <c r="L55" s="2" t="s">
        <v>35</v>
      </c>
      <c r="M55" s="2" t="s">
        <v>30</v>
      </c>
      <c r="N55" s="26" t="s">
        <v>196</v>
      </c>
      <c r="O55" s="26" t="s">
        <v>116</v>
      </c>
      <c r="P55" s="6">
        <v>655000</v>
      </c>
      <c r="Q55" s="6">
        <v>0</v>
      </c>
      <c r="R55" s="6">
        <v>0</v>
      </c>
      <c r="S55" s="6">
        <v>0</v>
      </c>
      <c r="T55" s="6">
        <v>0</v>
      </c>
      <c r="U55" s="6">
        <f>+SUM(Tabla1[[#This Row],[MONTO FF]:[NO PECUNIO INIA]])</f>
        <v>655000</v>
      </c>
      <c r="V55" s="4" t="s">
        <v>193</v>
      </c>
    </row>
    <row r="56" spans="2:22" ht="99.75" hidden="1" x14ac:dyDescent="0.2">
      <c r="B56" s="3" t="s">
        <v>194</v>
      </c>
      <c r="C56" s="2">
        <v>503031</v>
      </c>
      <c r="D56" s="1" t="s">
        <v>219</v>
      </c>
      <c r="E56" s="1">
        <v>70</v>
      </c>
      <c r="F56" s="1" t="s">
        <v>193</v>
      </c>
      <c r="G56" s="1" t="s">
        <v>15</v>
      </c>
      <c r="H56" s="1" t="s">
        <v>16</v>
      </c>
      <c r="I56" s="1"/>
      <c r="J56" s="1"/>
      <c r="K56" s="1" t="s">
        <v>195</v>
      </c>
      <c r="L56" s="2" t="s">
        <v>35</v>
      </c>
      <c r="M56" s="2" t="s">
        <v>30</v>
      </c>
      <c r="N56" s="26" t="s">
        <v>196</v>
      </c>
      <c r="O56" s="26" t="s">
        <v>116</v>
      </c>
      <c r="P56" s="6">
        <v>655000</v>
      </c>
      <c r="Q56" s="6">
        <v>0</v>
      </c>
      <c r="R56" s="6">
        <v>0</v>
      </c>
      <c r="S56" s="6">
        <v>0</v>
      </c>
      <c r="T56" s="6">
        <v>0</v>
      </c>
      <c r="U56" s="6">
        <f>+SUM(Tabla1[[#This Row],[MONTO FF]:[NO PECUNIO INIA]])</f>
        <v>655000</v>
      </c>
      <c r="V56" s="4" t="s">
        <v>193</v>
      </c>
    </row>
    <row r="57" spans="2:22" ht="105" hidden="1" x14ac:dyDescent="0.2">
      <c r="B57" s="74" t="s">
        <v>14</v>
      </c>
      <c r="C57" s="76">
        <v>503054</v>
      </c>
      <c r="D57" s="75" t="s">
        <v>223</v>
      </c>
      <c r="E57" s="75">
        <v>25</v>
      </c>
      <c r="F57" s="75">
        <v>70</v>
      </c>
      <c r="G57" s="75" t="s">
        <v>15</v>
      </c>
      <c r="H57" s="75" t="s">
        <v>16</v>
      </c>
      <c r="I57" s="75" t="s">
        <v>20</v>
      </c>
      <c r="J57" s="75" t="s">
        <v>21</v>
      </c>
      <c r="K57" s="75" t="s">
        <v>117</v>
      </c>
      <c r="L57" s="76" t="s">
        <v>48</v>
      </c>
      <c r="M57" s="76" t="s">
        <v>30</v>
      </c>
      <c r="N57" s="77" t="s">
        <v>118</v>
      </c>
      <c r="O57" s="77" t="s">
        <v>119</v>
      </c>
      <c r="P57" s="79">
        <v>3444000</v>
      </c>
      <c r="Q57" s="79">
        <v>0</v>
      </c>
      <c r="R57" s="79">
        <v>0</v>
      </c>
      <c r="S57" s="79">
        <v>0</v>
      </c>
      <c r="T57" s="79">
        <v>0</v>
      </c>
      <c r="U57" s="79">
        <f>+SUM(Tabla1[[#This Row],[MONTO FF]:[NO PECUNIO INIA]])</f>
        <v>3444000</v>
      </c>
      <c r="V57" s="81" t="s">
        <v>193</v>
      </c>
    </row>
    <row r="58" spans="2:22" ht="135" hidden="1" x14ac:dyDescent="0.2">
      <c r="B58" s="74" t="s">
        <v>14</v>
      </c>
      <c r="C58" s="76">
        <v>503021</v>
      </c>
      <c r="D58" s="75" t="s">
        <v>234</v>
      </c>
      <c r="E58" s="75">
        <v>22</v>
      </c>
      <c r="F58" s="75">
        <v>70</v>
      </c>
      <c r="G58" s="75" t="s">
        <v>15</v>
      </c>
      <c r="H58" s="75"/>
      <c r="I58" s="75" t="s">
        <v>20</v>
      </c>
      <c r="J58" s="75" t="s">
        <v>21</v>
      </c>
      <c r="K58" s="75" t="s">
        <v>103</v>
      </c>
      <c r="L58" s="76" t="s">
        <v>42</v>
      </c>
      <c r="M58" s="76" t="s">
        <v>30</v>
      </c>
      <c r="N58" s="77" t="s">
        <v>55</v>
      </c>
      <c r="O58" s="77" t="s">
        <v>104</v>
      </c>
      <c r="P58" s="79">
        <v>800000</v>
      </c>
      <c r="Q58" s="79">
        <v>0</v>
      </c>
      <c r="R58" s="79">
        <v>0</v>
      </c>
      <c r="S58" s="79">
        <v>0</v>
      </c>
      <c r="T58" s="79">
        <v>0</v>
      </c>
      <c r="U58" s="79">
        <f>+SUM(Tabla1[[#This Row],[MONTO FF]:[NO PECUNIO INIA]])</f>
        <v>800000</v>
      </c>
      <c r="V58" s="81">
        <v>1200718</v>
      </c>
    </row>
    <row r="59" spans="2:22" ht="45" hidden="1" x14ac:dyDescent="0.2">
      <c r="B59" s="74" t="s">
        <v>14</v>
      </c>
      <c r="C59" s="76">
        <v>503017</v>
      </c>
      <c r="D59" s="75" t="s">
        <v>233</v>
      </c>
      <c r="E59" s="75">
        <v>20</v>
      </c>
      <c r="F59" s="75">
        <v>70</v>
      </c>
      <c r="G59" s="75" t="s">
        <v>15</v>
      </c>
      <c r="H59" s="75"/>
      <c r="I59" s="75" t="s">
        <v>20</v>
      </c>
      <c r="J59" s="75" t="s">
        <v>21</v>
      </c>
      <c r="K59" s="75" t="s">
        <v>99</v>
      </c>
      <c r="L59" s="76" t="s">
        <v>48</v>
      </c>
      <c r="M59" s="76" t="s">
        <v>30</v>
      </c>
      <c r="N59" s="77" t="s">
        <v>100</v>
      </c>
      <c r="O59" s="77" t="s">
        <v>101</v>
      </c>
      <c r="P59" s="79">
        <f>48969000+979387000</f>
        <v>1028356000</v>
      </c>
      <c r="Q59" s="79">
        <v>0</v>
      </c>
      <c r="R59" s="79">
        <v>29540000</v>
      </c>
      <c r="S59" s="79">
        <v>0</v>
      </c>
      <c r="T59" s="79">
        <v>65271000</v>
      </c>
      <c r="U59" s="79">
        <f>+SUM(Tabla1[[#This Row],[MONTO FF]:[NO PECUNIO INIA]])</f>
        <v>1123167000</v>
      </c>
      <c r="V59" s="81" t="s">
        <v>102</v>
      </c>
    </row>
    <row r="60" spans="2:22" ht="45" hidden="1" x14ac:dyDescent="0.2">
      <c r="B60" s="74" t="s">
        <v>14</v>
      </c>
      <c r="C60" s="76">
        <v>502968</v>
      </c>
      <c r="D60" s="75" t="s">
        <v>219</v>
      </c>
      <c r="E60" s="75">
        <v>70</v>
      </c>
      <c r="F60" s="75" t="s">
        <v>193</v>
      </c>
      <c r="G60" s="75" t="s">
        <v>15</v>
      </c>
      <c r="H60" s="75" t="s">
        <v>16</v>
      </c>
      <c r="I60" s="75"/>
      <c r="J60" s="75"/>
      <c r="K60" s="75" t="s">
        <v>53</v>
      </c>
      <c r="L60" s="76" t="s">
        <v>48</v>
      </c>
      <c r="M60" s="76" t="s">
        <v>30</v>
      </c>
      <c r="N60" s="77" t="s">
        <v>49</v>
      </c>
      <c r="O60" s="77" t="s">
        <v>54</v>
      </c>
      <c r="P60" s="79">
        <v>799660</v>
      </c>
      <c r="Q60" s="79">
        <v>0</v>
      </c>
      <c r="R60" s="79">
        <v>0</v>
      </c>
      <c r="S60" s="79">
        <v>0</v>
      </c>
      <c r="T60" s="79">
        <v>0</v>
      </c>
      <c r="U60" s="79">
        <f>+SUM(Tabla1[[#This Row],[MONTO FF]:[NO PECUNIO INIA]])</f>
        <v>799660</v>
      </c>
      <c r="V60" s="81" t="s">
        <v>193</v>
      </c>
    </row>
    <row r="61" spans="2:22" ht="60" hidden="1" x14ac:dyDescent="0.2">
      <c r="B61" s="74" t="s">
        <v>14</v>
      </c>
      <c r="C61" s="76">
        <v>502921</v>
      </c>
      <c r="D61" s="75" t="s">
        <v>219</v>
      </c>
      <c r="E61" s="75">
        <v>70</v>
      </c>
      <c r="F61" s="75" t="s">
        <v>193</v>
      </c>
      <c r="G61" s="75" t="s">
        <v>15</v>
      </c>
      <c r="H61" s="75" t="s">
        <v>16</v>
      </c>
      <c r="I61" s="75"/>
      <c r="J61" s="75"/>
      <c r="K61" s="75" t="s">
        <v>47</v>
      </c>
      <c r="L61" s="76" t="s">
        <v>48</v>
      </c>
      <c r="M61" s="76" t="s">
        <v>30</v>
      </c>
      <c r="N61" s="77" t="s">
        <v>49</v>
      </c>
      <c r="O61" s="77" t="s">
        <v>37</v>
      </c>
      <c r="P61" s="79">
        <v>1350000</v>
      </c>
      <c r="Q61" s="79">
        <v>0</v>
      </c>
      <c r="R61" s="79">
        <v>0</v>
      </c>
      <c r="S61" s="79">
        <v>0</v>
      </c>
      <c r="T61" s="79">
        <v>0</v>
      </c>
      <c r="U61" s="79">
        <f>+SUM(Tabla1[[#This Row],[MONTO FF]:[NO PECUNIO INIA]])</f>
        <v>1350000</v>
      </c>
      <c r="V61" s="81" t="s">
        <v>193</v>
      </c>
    </row>
    <row r="62" spans="2:22" ht="105" hidden="1" x14ac:dyDescent="0.2">
      <c r="B62" s="74" t="s">
        <v>14</v>
      </c>
      <c r="C62" s="76">
        <v>502660</v>
      </c>
      <c r="D62" s="75" t="s">
        <v>225</v>
      </c>
      <c r="E62" s="75">
        <v>71</v>
      </c>
      <c r="F62" s="75" t="s">
        <v>193</v>
      </c>
      <c r="G62" s="75" t="s">
        <v>15</v>
      </c>
      <c r="H62" s="75" t="s">
        <v>16</v>
      </c>
      <c r="I62" s="75"/>
      <c r="J62" s="75"/>
      <c r="K62" s="75" t="s">
        <v>95</v>
      </c>
      <c r="L62" s="76" t="s">
        <v>96</v>
      </c>
      <c r="M62" s="76" t="s">
        <v>30</v>
      </c>
      <c r="N62" s="77" t="s">
        <v>97</v>
      </c>
      <c r="O62" s="77" t="s">
        <v>98</v>
      </c>
      <c r="P62" s="79">
        <v>965967696</v>
      </c>
      <c r="Q62" s="79">
        <v>0</v>
      </c>
      <c r="R62" s="79">
        <v>0</v>
      </c>
      <c r="S62" s="79">
        <v>0</v>
      </c>
      <c r="T62" s="79">
        <v>0</v>
      </c>
      <c r="U62" s="79">
        <f>+SUM(Tabla1[[#This Row],[MONTO FF]:[NO PECUNIO INIA]])</f>
        <v>965967696</v>
      </c>
      <c r="V62" s="81" t="s">
        <v>27</v>
      </c>
    </row>
    <row r="63" spans="2:22" ht="120" hidden="1" x14ac:dyDescent="0.2">
      <c r="B63" s="74" t="s">
        <v>14</v>
      </c>
      <c r="C63" s="76">
        <v>502510</v>
      </c>
      <c r="D63" s="76" t="s">
        <v>222</v>
      </c>
      <c r="E63" s="76">
        <v>15</v>
      </c>
      <c r="F63" s="76" t="s">
        <v>86</v>
      </c>
      <c r="G63" s="76" t="s">
        <v>15</v>
      </c>
      <c r="H63" s="76"/>
      <c r="I63" s="76" t="s">
        <v>20</v>
      </c>
      <c r="J63" s="76" t="s">
        <v>28</v>
      </c>
      <c r="K63" s="76" t="s">
        <v>92</v>
      </c>
      <c r="L63" s="76" t="s">
        <v>42</v>
      </c>
      <c r="M63" s="76" t="s">
        <v>30</v>
      </c>
      <c r="N63" s="77" t="s">
        <v>89</v>
      </c>
      <c r="O63" s="77" t="s">
        <v>93</v>
      </c>
      <c r="P63" s="79">
        <v>232843859</v>
      </c>
      <c r="Q63" s="79">
        <f>+(16000000+8000000+6198152)+(21518328+64541755+63722672+43970586)</f>
        <v>223951493</v>
      </c>
      <c r="R63" s="79">
        <v>0</v>
      </c>
      <c r="S63" s="79">
        <v>0</v>
      </c>
      <c r="T63" s="79">
        <v>0</v>
      </c>
      <c r="U63" s="79">
        <f>+SUM(Tabla1[[#This Row],[MONTO FF]:[NO PECUNIO INIA]])</f>
        <v>456795352</v>
      </c>
      <c r="V63" s="81" t="s">
        <v>94</v>
      </c>
    </row>
    <row r="64" spans="2:22" ht="60" hidden="1" x14ac:dyDescent="0.2">
      <c r="B64" s="74" t="s">
        <v>14</v>
      </c>
      <c r="C64" s="76">
        <v>502509</v>
      </c>
      <c r="D64" s="76" t="s">
        <v>222</v>
      </c>
      <c r="E64" s="76">
        <v>15</v>
      </c>
      <c r="F64" s="76" t="s">
        <v>86</v>
      </c>
      <c r="G64" s="76" t="s">
        <v>15</v>
      </c>
      <c r="H64" s="76"/>
      <c r="I64" s="76" t="s">
        <v>20</v>
      </c>
      <c r="J64" s="76" t="s">
        <v>21</v>
      </c>
      <c r="K64" s="76" t="s">
        <v>87</v>
      </c>
      <c r="L64" s="76" t="s">
        <v>88</v>
      </c>
      <c r="M64" s="76" t="s">
        <v>30</v>
      </c>
      <c r="N64" s="77" t="s">
        <v>89</v>
      </c>
      <c r="O64" s="77" t="s">
        <v>90</v>
      </c>
      <c r="P64" s="79">
        <f>+(33852424)+(44250278)</f>
        <v>78102702</v>
      </c>
      <c r="Q64" s="79">
        <v>0</v>
      </c>
      <c r="R64" s="79">
        <v>0</v>
      </c>
      <c r="S64" s="79">
        <v>0</v>
      </c>
      <c r="T64" s="79">
        <v>0</v>
      </c>
      <c r="U64" s="79">
        <f>+SUM(Tabla1[[#This Row],[MONTO FF]:[NO PECUNIO INIA]])</f>
        <v>78102702</v>
      </c>
      <c r="V64" s="81" t="s">
        <v>91</v>
      </c>
    </row>
    <row r="65" spans="2:22" ht="30" hidden="1" x14ac:dyDescent="0.2">
      <c r="B65" s="74" t="s">
        <v>14</v>
      </c>
      <c r="C65" s="76">
        <v>502351</v>
      </c>
      <c r="D65" s="76" t="s">
        <v>221</v>
      </c>
      <c r="E65" s="76">
        <v>12</v>
      </c>
      <c r="F65" s="76" t="s">
        <v>193</v>
      </c>
      <c r="G65" s="76" t="s">
        <v>15</v>
      </c>
      <c r="H65" s="76" t="s">
        <v>16</v>
      </c>
      <c r="I65" s="76" t="s">
        <v>20</v>
      </c>
      <c r="J65" s="76" t="s">
        <v>21</v>
      </c>
      <c r="K65" s="76" t="s">
        <v>22</v>
      </c>
      <c r="L65" s="76" t="s">
        <v>23</v>
      </c>
      <c r="M65" s="76" t="s">
        <v>30</v>
      </c>
      <c r="N65" s="77" t="s">
        <v>25</v>
      </c>
      <c r="O65" s="76" t="s">
        <v>26</v>
      </c>
      <c r="P65" s="79">
        <v>0</v>
      </c>
      <c r="Q65" s="79">
        <v>0</v>
      </c>
      <c r="R65" s="79">
        <v>0</v>
      </c>
      <c r="S65" s="79">
        <v>0</v>
      </c>
      <c r="T65" s="79">
        <v>0</v>
      </c>
      <c r="U65" s="79">
        <f>+SUM(Tabla1[[#This Row],[MONTO FF]:[NO PECUNIO INIA]])</f>
        <v>0</v>
      </c>
      <c r="V65" s="81" t="s">
        <v>27</v>
      </c>
    </row>
    <row r="66" spans="2:22" ht="30" x14ac:dyDescent="0.2">
      <c r="B66" s="74" t="s">
        <v>14</v>
      </c>
      <c r="C66" s="76">
        <v>502181</v>
      </c>
      <c r="D66" s="76" t="s">
        <v>219</v>
      </c>
      <c r="E66" s="76">
        <v>70</v>
      </c>
      <c r="F66" s="76" t="s">
        <v>193</v>
      </c>
      <c r="G66" s="76" t="s">
        <v>15</v>
      </c>
      <c r="H66" s="76" t="s">
        <v>16</v>
      </c>
      <c r="I66" s="76"/>
      <c r="J66" s="76"/>
      <c r="K66" s="76" t="s">
        <v>58</v>
      </c>
      <c r="L66" s="76" t="s">
        <v>44</v>
      </c>
      <c r="M66" s="76" t="s">
        <v>24</v>
      </c>
      <c r="N66" s="77" t="s">
        <v>59</v>
      </c>
      <c r="O66" s="77">
        <v>46387</v>
      </c>
      <c r="P66" s="79">
        <v>47762402</v>
      </c>
      <c r="Q66" s="79">
        <v>0</v>
      </c>
      <c r="R66" s="79">
        <v>0</v>
      </c>
      <c r="S66" s="79">
        <v>0</v>
      </c>
      <c r="T66" s="79">
        <v>0</v>
      </c>
      <c r="U66" s="79">
        <f>+SUM(Tabla1[[#This Row],[MONTO FF]:[NO PECUNIO INIA]])</f>
        <v>47762402</v>
      </c>
      <c r="V66" s="81" t="s">
        <v>193</v>
      </c>
    </row>
    <row r="67" spans="2:22" ht="45" x14ac:dyDescent="0.2">
      <c r="B67" s="74" t="s">
        <v>14</v>
      </c>
      <c r="C67" s="76">
        <v>501794</v>
      </c>
      <c r="D67" s="76" t="s">
        <v>230</v>
      </c>
      <c r="E67" s="76">
        <v>6</v>
      </c>
      <c r="F67" s="76" t="s">
        <v>193</v>
      </c>
      <c r="G67" s="76" t="s">
        <v>15</v>
      </c>
      <c r="H67" s="76" t="s">
        <v>16</v>
      </c>
      <c r="I67" s="76"/>
      <c r="J67" s="76"/>
      <c r="K67" s="76" t="s">
        <v>84</v>
      </c>
      <c r="L67" s="76" t="s">
        <v>17</v>
      </c>
      <c r="M67" s="76" t="s">
        <v>24</v>
      </c>
      <c r="N67" s="77" t="s">
        <v>85</v>
      </c>
      <c r="O67" s="77">
        <v>46387</v>
      </c>
      <c r="P67" s="79">
        <v>2755090</v>
      </c>
      <c r="Q67" s="79">
        <v>0</v>
      </c>
      <c r="R67" s="79">
        <v>0</v>
      </c>
      <c r="S67" s="79">
        <v>0</v>
      </c>
      <c r="T67" s="79">
        <v>0</v>
      </c>
      <c r="U67" s="79">
        <f>+SUM(Tabla1[[#This Row],[MONTO FF]:[NO PECUNIO INIA]])</f>
        <v>2755090</v>
      </c>
      <c r="V67" s="81" t="s">
        <v>27</v>
      </c>
    </row>
    <row r="68" spans="2:22" ht="45" x14ac:dyDescent="0.2">
      <c r="B68" s="74" t="s">
        <v>194</v>
      </c>
      <c r="C68" s="76">
        <v>501455</v>
      </c>
      <c r="D68" s="76" t="s">
        <v>219</v>
      </c>
      <c r="E68" s="76">
        <v>70</v>
      </c>
      <c r="F68" s="76" t="s">
        <v>193</v>
      </c>
      <c r="G68" s="76" t="s">
        <v>15</v>
      </c>
      <c r="H68" s="76" t="s">
        <v>16</v>
      </c>
      <c r="I68" s="76"/>
      <c r="J68" s="76"/>
      <c r="K68" s="76" t="s">
        <v>198</v>
      </c>
      <c r="L68" s="76" t="s">
        <v>164</v>
      </c>
      <c r="M68" s="76" t="s">
        <v>24</v>
      </c>
      <c r="N68" s="77" t="s">
        <v>63</v>
      </c>
      <c r="O68" s="77">
        <v>46387</v>
      </c>
      <c r="P68" s="79">
        <v>43250000</v>
      </c>
      <c r="Q68" s="79">
        <v>0</v>
      </c>
      <c r="R68" s="79">
        <v>0</v>
      </c>
      <c r="S68" s="79">
        <v>0</v>
      </c>
      <c r="T68" s="79">
        <v>0</v>
      </c>
      <c r="U68" s="79">
        <f>+SUM(Tabla1[[#This Row],[MONTO FF]:[NO PECUNIO INIA]])</f>
        <v>43250000</v>
      </c>
      <c r="V68" s="81" t="s">
        <v>193</v>
      </c>
    </row>
    <row r="69" spans="2:22" ht="45" x14ac:dyDescent="0.2">
      <c r="B69" s="74" t="s">
        <v>14</v>
      </c>
      <c r="C69" s="76">
        <v>501690</v>
      </c>
      <c r="D69" s="76" t="s">
        <v>219</v>
      </c>
      <c r="E69" s="76">
        <v>70</v>
      </c>
      <c r="F69" s="76" t="s">
        <v>193</v>
      </c>
      <c r="G69" s="76" t="s">
        <v>15</v>
      </c>
      <c r="H69" s="76" t="s">
        <v>16</v>
      </c>
      <c r="I69" s="76"/>
      <c r="J69" s="76"/>
      <c r="K69" s="76" t="s">
        <v>56</v>
      </c>
      <c r="L69" s="76" t="s">
        <v>42</v>
      </c>
      <c r="M69" s="76" t="s">
        <v>24</v>
      </c>
      <c r="N69" s="77" t="s">
        <v>57</v>
      </c>
      <c r="O69" s="77">
        <v>46387</v>
      </c>
      <c r="P69" s="79">
        <v>25000000</v>
      </c>
      <c r="Q69" s="79">
        <v>0</v>
      </c>
      <c r="R69" s="79">
        <v>0</v>
      </c>
      <c r="S69" s="79">
        <v>0</v>
      </c>
      <c r="T69" s="79">
        <v>0</v>
      </c>
      <c r="U69" s="79">
        <f>+SUM(Tabla1[[#This Row],[MONTO FF]:[NO PECUNIO INIA]])</f>
        <v>25000000</v>
      </c>
      <c r="V69" s="81" t="s">
        <v>193</v>
      </c>
    </row>
    <row r="70" spans="2:22" ht="45" x14ac:dyDescent="0.2">
      <c r="B70" s="74" t="s">
        <v>14</v>
      </c>
      <c r="C70" s="76">
        <v>500014</v>
      </c>
      <c r="D70" s="76" t="s">
        <v>219</v>
      </c>
      <c r="E70" s="76">
        <v>70</v>
      </c>
      <c r="F70" s="76" t="s">
        <v>193</v>
      </c>
      <c r="G70" s="76" t="s">
        <v>15</v>
      </c>
      <c r="H70" s="76" t="s">
        <v>16</v>
      </c>
      <c r="I70" s="76"/>
      <c r="J70" s="76"/>
      <c r="K70" s="76" t="s">
        <v>60</v>
      </c>
      <c r="L70" s="76" t="s">
        <v>61</v>
      </c>
      <c r="M70" s="76" t="s">
        <v>24</v>
      </c>
      <c r="N70" s="77" t="s">
        <v>62</v>
      </c>
      <c r="O70" s="77" t="s">
        <v>19</v>
      </c>
      <c r="P70" s="79">
        <v>3245700</v>
      </c>
      <c r="Q70" s="79">
        <v>0</v>
      </c>
      <c r="R70" s="79">
        <v>0</v>
      </c>
      <c r="S70" s="79">
        <v>0</v>
      </c>
      <c r="T70" s="79">
        <v>0</v>
      </c>
      <c r="U70" s="79">
        <f>+SUM(Tabla1[[#This Row],[MONTO FF]:[NO PECUNIO INIA]])</f>
        <v>3245700</v>
      </c>
      <c r="V70" s="81" t="s">
        <v>193</v>
      </c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4"/>
  <sheetViews>
    <sheetView showGridLines="0" topLeftCell="A7" zoomScale="70" zoomScaleNormal="70" workbookViewId="0">
      <selection activeCell="B2" sqref="B2"/>
    </sheetView>
  </sheetViews>
  <sheetFormatPr baseColWidth="10" defaultColWidth="70.5" defaultRowHeight="14.25" x14ac:dyDescent="0.2"/>
  <cols>
    <col min="1" max="1" width="14.375" customWidth="1"/>
    <col min="2" max="2" width="22" bestFit="1" customWidth="1"/>
    <col min="3" max="3" width="7.25" bestFit="1" customWidth="1"/>
    <col min="4" max="4" width="17.375" customWidth="1"/>
    <col min="5" max="10" width="0" hidden="1" customWidth="1"/>
    <col min="12" max="12" width="36.75" bestFit="1" customWidth="1"/>
    <col min="13" max="13" width="15.375" bestFit="1" customWidth="1"/>
    <col min="14" max="15" width="10.125" bestFit="1" customWidth="1"/>
    <col min="16" max="16" width="12.875" bestFit="1" customWidth="1"/>
    <col min="17" max="17" width="20.375" bestFit="1" customWidth="1"/>
    <col min="18" max="18" width="23.875" bestFit="1" customWidth="1"/>
    <col min="19" max="19" width="14" bestFit="1" customWidth="1"/>
    <col min="20" max="20" width="17.5" bestFit="1" customWidth="1"/>
    <col min="21" max="21" width="19" bestFit="1" customWidth="1"/>
    <col min="22" max="22" width="17.75" bestFit="1" customWidth="1"/>
  </cols>
  <sheetData>
    <row r="2" spans="2:22" ht="15" x14ac:dyDescent="0.25">
      <c r="B2" s="125" t="s">
        <v>0</v>
      </c>
      <c r="C2" s="125" t="s">
        <v>1</v>
      </c>
      <c r="D2" s="125" t="s">
        <v>218</v>
      </c>
      <c r="E2" s="125" t="s">
        <v>2</v>
      </c>
      <c r="F2" s="125" t="s">
        <v>3</v>
      </c>
      <c r="G2" s="125" t="s">
        <v>4</v>
      </c>
      <c r="H2" s="125" t="s">
        <v>5</v>
      </c>
      <c r="I2" s="125" t="s">
        <v>6</v>
      </c>
      <c r="J2" s="125" t="s">
        <v>7</v>
      </c>
      <c r="K2" s="125" t="s">
        <v>8</v>
      </c>
      <c r="L2" s="125" t="s">
        <v>9</v>
      </c>
      <c r="M2" s="125" t="s">
        <v>10</v>
      </c>
      <c r="N2" s="126" t="s">
        <v>11</v>
      </c>
      <c r="O2" s="126" t="s">
        <v>12</v>
      </c>
      <c r="P2" s="127" t="s">
        <v>215</v>
      </c>
      <c r="Q2" s="128" t="s">
        <v>210</v>
      </c>
      <c r="R2" s="128" t="s">
        <v>211</v>
      </c>
      <c r="S2" s="128" t="s">
        <v>212</v>
      </c>
      <c r="T2" s="128" t="s">
        <v>213</v>
      </c>
      <c r="U2" s="128" t="s">
        <v>214</v>
      </c>
      <c r="V2" s="125" t="s">
        <v>13</v>
      </c>
    </row>
    <row r="3" spans="2:22" ht="45" x14ac:dyDescent="0.2">
      <c r="B3" s="76" t="s">
        <v>14</v>
      </c>
      <c r="C3" s="109">
        <v>504021</v>
      </c>
      <c r="D3" s="109" t="s">
        <v>220</v>
      </c>
      <c r="E3" s="109"/>
      <c r="F3" s="109"/>
      <c r="G3" s="109"/>
      <c r="H3" s="109"/>
      <c r="I3" s="109"/>
      <c r="J3" s="109"/>
      <c r="K3" s="109" t="s">
        <v>265</v>
      </c>
      <c r="L3" s="109" t="s">
        <v>23</v>
      </c>
      <c r="M3" s="109" t="s">
        <v>24</v>
      </c>
      <c r="N3" s="110">
        <v>46003</v>
      </c>
      <c r="O3" s="110">
        <v>47099</v>
      </c>
      <c r="P3" s="111">
        <v>149784006</v>
      </c>
      <c r="Q3" s="111">
        <v>8000000</v>
      </c>
      <c r="R3" s="111">
        <v>0</v>
      </c>
      <c r="S3" s="111">
        <v>1000000</v>
      </c>
      <c r="T3" s="111">
        <v>78287330</v>
      </c>
      <c r="U3" s="112">
        <v>237071336</v>
      </c>
      <c r="V3" s="109"/>
    </row>
    <row r="4" spans="2:22" ht="30" x14ac:dyDescent="0.2">
      <c r="B4" s="76" t="s">
        <v>14</v>
      </c>
      <c r="C4" s="109">
        <v>504020</v>
      </c>
      <c r="D4" s="109" t="s">
        <v>220</v>
      </c>
      <c r="E4" s="109"/>
      <c r="F4" s="109"/>
      <c r="G4" s="109"/>
      <c r="H4" s="109"/>
      <c r="I4" s="109"/>
      <c r="J4" s="109"/>
      <c r="K4" s="109" t="s">
        <v>264</v>
      </c>
      <c r="L4" s="109" t="s">
        <v>42</v>
      </c>
      <c r="M4" s="109" t="s">
        <v>24</v>
      </c>
      <c r="N4" s="110">
        <v>45988</v>
      </c>
      <c r="O4" s="110">
        <v>47084</v>
      </c>
      <c r="P4" s="111">
        <v>149624480</v>
      </c>
      <c r="Q4" s="111">
        <v>6000000</v>
      </c>
      <c r="R4" s="111">
        <v>13800000</v>
      </c>
      <c r="S4" s="111">
        <v>0</v>
      </c>
      <c r="T4" s="111">
        <v>50361000</v>
      </c>
      <c r="U4" s="112">
        <v>219785480</v>
      </c>
      <c r="V4" s="109"/>
    </row>
    <row r="5" spans="2:22" ht="30" x14ac:dyDescent="0.2">
      <c r="B5" s="76" t="s">
        <v>14</v>
      </c>
      <c r="C5" s="75">
        <v>504009</v>
      </c>
      <c r="D5" s="76" t="s">
        <v>220</v>
      </c>
      <c r="E5" s="75">
        <v>10</v>
      </c>
      <c r="F5" s="75">
        <v>70</v>
      </c>
      <c r="G5" s="75" t="s">
        <v>15</v>
      </c>
      <c r="H5" s="75"/>
      <c r="I5" s="75" t="s">
        <v>20</v>
      </c>
      <c r="J5" s="75" t="s">
        <v>21</v>
      </c>
      <c r="K5" s="75" t="s">
        <v>270</v>
      </c>
      <c r="L5" s="75" t="s">
        <v>166</v>
      </c>
      <c r="M5" s="75" t="s">
        <v>24</v>
      </c>
      <c r="N5" s="77">
        <v>45992</v>
      </c>
      <c r="O5" s="78">
        <v>46262</v>
      </c>
      <c r="P5" s="79">
        <v>10000000</v>
      </c>
      <c r="Q5" s="79">
        <v>249972</v>
      </c>
      <c r="R5" s="79">
        <v>0</v>
      </c>
      <c r="S5" s="79">
        <v>250208</v>
      </c>
      <c r="T5" s="79">
        <v>25763869</v>
      </c>
      <c r="U5" s="80">
        <v>36264049</v>
      </c>
      <c r="V5" s="76" t="s">
        <v>287</v>
      </c>
    </row>
    <row r="6" spans="2:22" ht="45" x14ac:dyDescent="0.2">
      <c r="B6" s="76" t="s">
        <v>14</v>
      </c>
      <c r="C6" s="75">
        <v>504007</v>
      </c>
      <c r="D6" s="76" t="s">
        <v>224</v>
      </c>
      <c r="E6" s="76">
        <v>44</v>
      </c>
      <c r="F6" s="76" t="s">
        <v>193</v>
      </c>
      <c r="G6" s="76" t="s">
        <v>145</v>
      </c>
      <c r="H6" s="76"/>
      <c r="I6" s="76"/>
      <c r="J6" s="76"/>
      <c r="K6" s="76" t="s">
        <v>240</v>
      </c>
      <c r="L6" s="76" t="s">
        <v>239</v>
      </c>
      <c r="M6" s="76" t="s">
        <v>24</v>
      </c>
      <c r="N6" s="77">
        <v>45992</v>
      </c>
      <c r="O6" s="77">
        <v>47088</v>
      </c>
      <c r="P6" s="79">
        <v>280000000</v>
      </c>
      <c r="Q6" s="79">
        <v>14000000</v>
      </c>
      <c r="R6" s="79">
        <v>0</v>
      </c>
      <c r="S6" s="79">
        <v>0</v>
      </c>
      <c r="T6" s="79">
        <v>138674506</v>
      </c>
      <c r="U6" s="80">
        <v>432674506</v>
      </c>
      <c r="V6" s="76"/>
    </row>
    <row r="7" spans="2:22" ht="45" x14ac:dyDescent="0.2">
      <c r="B7" s="76" t="s">
        <v>14</v>
      </c>
      <c r="C7" s="75">
        <v>504006</v>
      </c>
      <c r="D7" s="76" t="s">
        <v>224</v>
      </c>
      <c r="E7" s="75">
        <v>44</v>
      </c>
      <c r="F7" s="75" t="s">
        <v>193</v>
      </c>
      <c r="G7" s="75" t="s">
        <v>145</v>
      </c>
      <c r="H7" s="75"/>
      <c r="I7" s="75"/>
      <c r="J7" s="75"/>
      <c r="K7" s="75" t="s">
        <v>183</v>
      </c>
      <c r="L7" s="75" t="s">
        <v>184</v>
      </c>
      <c r="M7" s="75" t="s">
        <v>24</v>
      </c>
      <c r="N7" s="77">
        <v>45992</v>
      </c>
      <c r="O7" s="78">
        <v>47088</v>
      </c>
      <c r="P7" s="79">
        <v>280000000</v>
      </c>
      <c r="Q7" s="79">
        <v>14000000</v>
      </c>
      <c r="R7" s="79">
        <v>6750000</v>
      </c>
      <c r="S7" s="79">
        <v>0</v>
      </c>
      <c r="T7" s="79">
        <v>71816598</v>
      </c>
      <c r="U7" s="79">
        <v>372566598</v>
      </c>
      <c r="V7" s="76" t="s">
        <v>193</v>
      </c>
    </row>
    <row r="8" spans="2:22" ht="30" x14ac:dyDescent="0.2">
      <c r="B8" s="76" t="s">
        <v>14</v>
      </c>
      <c r="C8" s="75">
        <v>504005</v>
      </c>
      <c r="D8" s="76" t="s">
        <v>224</v>
      </c>
      <c r="E8" s="75">
        <v>44</v>
      </c>
      <c r="F8" s="75" t="s">
        <v>193</v>
      </c>
      <c r="G8" s="75" t="s">
        <v>145</v>
      </c>
      <c r="H8" s="75"/>
      <c r="I8" s="75"/>
      <c r="J8" s="75"/>
      <c r="K8" s="75" t="s">
        <v>209</v>
      </c>
      <c r="L8" s="75" t="s">
        <v>204</v>
      </c>
      <c r="M8" s="75" t="s">
        <v>24</v>
      </c>
      <c r="N8" s="77">
        <v>45992</v>
      </c>
      <c r="O8" s="78">
        <v>47088</v>
      </c>
      <c r="P8" s="79">
        <v>280000000</v>
      </c>
      <c r="Q8" s="79">
        <v>15000000</v>
      </c>
      <c r="R8" s="79">
        <v>0</v>
      </c>
      <c r="S8" s="79">
        <v>0</v>
      </c>
      <c r="T8" s="79">
        <v>21085437</v>
      </c>
      <c r="U8" s="79">
        <v>316085437</v>
      </c>
      <c r="V8" s="76" t="s">
        <v>193</v>
      </c>
    </row>
    <row r="9" spans="2:22" ht="15" x14ac:dyDescent="0.2">
      <c r="B9" s="76" t="s">
        <v>14</v>
      </c>
      <c r="C9" s="76">
        <v>503997</v>
      </c>
      <c r="D9" s="76" t="s">
        <v>221</v>
      </c>
      <c r="E9" s="76">
        <v>12</v>
      </c>
      <c r="F9" s="76"/>
      <c r="G9" s="76"/>
      <c r="H9" s="76"/>
      <c r="I9" s="76"/>
      <c r="J9" s="76" t="s">
        <v>21</v>
      </c>
      <c r="K9" s="76" t="s">
        <v>282</v>
      </c>
      <c r="L9" s="76" t="s">
        <v>17</v>
      </c>
      <c r="M9" s="76" t="s">
        <v>24</v>
      </c>
      <c r="N9" s="77">
        <v>45946</v>
      </c>
      <c r="O9" s="77">
        <v>46311</v>
      </c>
      <c r="P9" s="79">
        <v>10882000</v>
      </c>
      <c r="Q9" s="79"/>
      <c r="R9" s="79"/>
      <c r="S9" s="79"/>
      <c r="T9" s="79">
        <v>3341882</v>
      </c>
      <c r="U9" s="80">
        <v>14223882</v>
      </c>
      <c r="V9" s="76"/>
    </row>
    <row r="10" spans="2:22" ht="45" x14ac:dyDescent="0.2">
      <c r="B10" s="76" t="s">
        <v>14</v>
      </c>
      <c r="C10" s="75">
        <v>504004</v>
      </c>
      <c r="D10" s="76" t="s">
        <v>224</v>
      </c>
      <c r="E10" s="75">
        <v>44</v>
      </c>
      <c r="F10" s="75" t="s">
        <v>193</v>
      </c>
      <c r="G10" s="75" t="s">
        <v>145</v>
      </c>
      <c r="H10" s="75"/>
      <c r="I10" s="75"/>
      <c r="J10" s="75"/>
      <c r="K10" s="75" t="s">
        <v>182</v>
      </c>
      <c r="L10" s="75" t="s">
        <v>164</v>
      </c>
      <c r="M10" s="75" t="s">
        <v>24</v>
      </c>
      <c r="N10" s="77">
        <v>45992</v>
      </c>
      <c r="O10" s="78">
        <v>47088</v>
      </c>
      <c r="P10" s="79">
        <v>203909000</v>
      </c>
      <c r="Q10" s="79">
        <v>10200000</v>
      </c>
      <c r="R10" s="79">
        <v>0</v>
      </c>
      <c r="S10" s="79">
        <v>0</v>
      </c>
      <c r="T10" s="79">
        <v>9193390</v>
      </c>
      <c r="U10" s="79">
        <v>223302390</v>
      </c>
      <c r="V10" s="76" t="s">
        <v>193</v>
      </c>
    </row>
    <row r="11" spans="2:22" ht="15" x14ac:dyDescent="0.2">
      <c r="B11" s="76" t="s">
        <v>14</v>
      </c>
      <c r="C11" s="75">
        <v>503978</v>
      </c>
      <c r="D11" s="76" t="s">
        <v>232</v>
      </c>
      <c r="E11" s="75">
        <v>19</v>
      </c>
      <c r="F11" s="75">
        <v>70</v>
      </c>
      <c r="G11" s="75" t="s">
        <v>15</v>
      </c>
      <c r="H11" s="75"/>
      <c r="I11" s="75"/>
      <c r="J11" s="75"/>
      <c r="K11" s="75" t="s">
        <v>190</v>
      </c>
      <c r="L11" s="75" t="s">
        <v>48</v>
      </c>
      <c r="M11" s="75" t="s">
        <v>24</v>
      </c>
      <c r="N11" s="77" t="s">
        <v>191</v>
      </c>
      <c r="O11" s="78" t="s">
        <v>192</v>
      </c>
      <c r="P11" s="79">
        <v>144659794</v>
      </c>
      <c r="Q11" s="79">
        <v>0</v>
      </c>
      <c r="R11" s="79">
        <v>0</v>
      </c>
      <c r="S11" s="79">
        <v>0</v>
      </c>
      <c r="T11" s="79">
        <v>0</v>
      </c>
      <c r="U11" s="79">
        <v>144659794</v>
      </c>
      <c r="V11" s="76" t="s">
        <v>193</v>
      </c>
    </row>
    <row r="12" spans="2:22" ht="30" x14ac:dyDescent="0.2">
      <c r="B12" s="76" t="s">
        <v>14</v>
      </c>
      <c r="C12" s="75">
        <v>503959</v>
      </c>
      <c r="D12" s="75" t="s">
        <v>220</v>
      </c>
      <c r="E12" s="75">
        <v>10</v>
      </c>
      <c r="F12" s="75">
        <v>70</v>
      </c>
      <c r="G12" s="75" t="s">
        <v>15</v>
      </c>
      <c r="H12" s="75"/>
      <c r="I12" s="75" t="s">
        <v>20</v>
      </c>
      <c r="J12" s="75" t="s">
        <v>21</v>
      </c>
      <c r="K12" s="75" t="s">
        <v>176</v>
      </c>
      <c r="L12" s="75" t="s">
        <v>23</v>
      </c>
      <c r="M12" s="75" t="s">
        <v>24</v>
      </c>
      <c r="N12" s="77" t="s">
        <v>177</v>
      </c>
      <c r="O12" s="78" t="s">
        <v>178</v>
      </c>
      <c r="P12" s="79">
        <v>119808000</v>
      </c>
      <c r="Q12" s="79">
        <v>0</v>
      </c>
      <c r="R12" s="79">
        <v>2300003</v>
      </c>
      <c r="S12" s="79">
        <v>4999999</v>
      </c>
      <c r="T12" s="79">
        <v>54280064</v>
      </c>
      <c r="U12" s="79">
        <v>181388066</v>
      </c>
      <c r="V12" s="76" t="s">
        <v>179</v>
      </c>
    </row>
    <row r="13" spans="2:22" ht="45" x14ac:dyDescent="0.2">
      <c r="B13" s="76" t="s">
        <v>14</v>
      </c>
      <c r="C13" s="75">
        <v>503950</v>
      </c>
      <c r="D13" s="75" t="s">
        <v>236</v>
      </c>
      <c r="E13" s="75">
        <v>32</v>
      </c>
      <c r="F13" s="75" t="s">
        <v>185</v>
      </c>
      <c r="G13" s="75" t="s">
        <v>15</v>
      </c>
      <c r="H13" s="75" t="s">
        <v>16</v>
      </c>
      <c r="I13" s="75" t="s">
        <v>20</v>
      </c>
      <c r="J13" s="75" t="s">
        <v>21</v>
      </c>
      <c r="K13" s="75" t="s">
        <v>186</v>
      </c>
      <c r="L13" s="75" t="s">
        <v>42</v>
      </c>
      <c r="M13" s="75" t="s">
        <v>24</v>
      </c>
      <c r="N13" s="77" t="s">
        <v>187</v>
      </c>
      <c r="O13" s="78" t="s">
        <v>188</v>
      </c>
      <c r="P13" s="79">
        <v>165000000</v>
      </c>
      <c r="Q13" s="79">
        <v>0</v>
      </c>
      <c r="R13" s="79">
        <v>0</v>
      </c>
      <c r="S13" s="79">
        <v>0</v>
      </c>
      <c r="T13" s="79">
        <v>110000000</v>
      </c>
      <c r="U13" s="79">
        <v>275000000</v>
      </c>
      <c r="V13" s="76" t="s">
        <v>189</v>
      </c>
    </row>
    <row r="14" spans="2:22" ht="45" x14ac:dyDescent="0.2">
      <c r="B14" s="76" t="s">
        <v>14</v>
      </c>
      <c r="C14" s="75">
        <v>503922</v>
      </c>
      <c r="D14" s="75" t="s">
        <v>223</v>
      </c>
      <c r="E14" s="75">
        <v>25</v>
      </c>
      <c r="F14" s="75">
        <v>70</v>
      </c>
      <c r="G14" s="75" t="s">
        <v>15</v>
      </c>
      <c r="H14" s="75" t="s">
        <v>16</v>
      </c>
      <c r="I14" s="75" t="s">
        <v>20</v>
      </c>
      <c r="J14" s="75" t="s">
        <v>21</v>
      </c>
      <c r="K14" s="75" t="s">
        <v>180</v>
      </c>
      <c r="L14" s="75" t="s">
        <v>48</v>
      </c>
      <c r="M14" s="75" t="s">
        <v>24</v>
      </c>
      <c r="N14" s="77" t="s">
        <v>181</v>
      </c>
      <c r="O14" s="78" t="s">
        <v>19</v>
      </c>
      <c r="P14" s="79">
        <v>5873686</v>
      </c>
      <c r="Q14" s="79">
        <v>0</v>
      </c>
      <c r="R14" s="79">
        <v>0</v>
      </c>
      <c r="S14" s="79">
        <v>0</v>
      </c>
      <c r="T14" s="79">
        <v>6912350</v>
      </c>
      <c r="U14" s="79">
        <v>12786036</v>
      </c>
      <c r="V14" s="76" t="s">
        <v>193</v>
      </c>
    </row>
    <row r="15" spans="2:22" ht="15" x14ac:dyDescent="0.2">
      <c r="B15" s="76" t="s">
        <v>14</v>
      </c>
      <c r="C15" s="75">
        <v>503830</v>
      </c>
      <c r="D15" s="75" t="s">
        <v>221</v>
      </c>
      <c r="E15" s="75">
        <v>12</v>
      </c>
      <c r="F15" s="75" t="s">
        <v>193</v>
      </c>
      <c r="G15" s="75" t="s">
        <v>15</v>
      </c>
      <c r="H15" s="75" t="s">
        <v>16</v>
      </c>
      <c r="I15" s="75" t="s">
        <v>20</v>
      </c>
      <c r="J15" s="75" t="s">
        <v>21</v>
      </c>
      <c r="K15" s="75" t="s">
        <v>174</v>
      </c>
      <c r="L15" s="75" t="s">
        <v>23</v>
      </c>
      <c r="M15" s="75" t="s">
        <v>24</v>
      </c>
      <c r="N15" s="77" t="s">
        <v>175</v>
      </c>
      <c r="O15" s="75" t="s">
        <v>143</v>
      </c>
      <c r="P15" s="79">
        <v>8901933</v>
      </c>
      <c r="Q15" s="79">
        <v>0</v>
      </c>
      <c r="R15" s="79">
        <v>0</v>
      </c>
      <c r="S15" s="79">
        <v>0</v>
      </c>
      <c r="T15" s="79">
        <v>8743845</v>
      </c>
      <c r="U15" s="79">
        <v>17645778</v>
      </c>
      <c r="V15" s="76" t="s">
        <v>193</v>
      </c>
    </row>
    <row r="16" spans="2:22" ht="30" x14ac:dyDescent="0.2">
      <c r="B16" s="76" t="s">
        <v>14</v>
      </c>
      <c r="C16" s="75">
        <v>503730</v>
      </c>
      <c r="D16" s="75" t="s">
        <v>224</v>
      </c>
      <c r="E16" s="75">
        <v>44</v>
      </c>
      <c r="F16" s="75" t="s">
        <v>156</v>
      </c>
      <c r="G16" s="75" t="s">
        <v>15</v>
      </c>
      <c r="H16" s="75" t="s">
        <v>16</v>
      </c>
      <c r="I16" s="75" t="s">
        <v>20</v>
      </c>
      <c r="J16" s="75" t="s">
        <v>21</v>
      </c>
      <c r="K16" s="75" t="s">
        <v>167</v>
      </c>
      <c r="L16" s="75" t="s">
        <v>17</v>
      </c>
      <c r="M16" s="75" t="s">
        <v>24</v>
      </c>
      <c r="N16" s="77" t="s">
        <v>158</v>
      </c>
      <c r="O16" s="78" t="s">
        <v>159</v>
      </c>
      <c r="P16" s="79">
        <v>209000000</v>
      </c>
      <c r="Q16" s="79">
        <v>12300000</v>
      </c>
      <c r="R16" s="79">
        <v>0</v>
      </c>
      <c r="S16" s="79">
        <v>0</v>
      </c>
      <c r="T16" s="79">
        <v>12258150</v>
      </c>
      <c r="U16" s="79">
        <v>233558150</v>
      </c>
      <c r="V16" s="76" t="s">
        <v>168</v>
      </c>
    </row>
    <row r="17" spans="2:22" ht="30" x14ac:dyDescent="0.2">
      <c r="B17" s="76" t="s">
        <v>14</v>
      </c>
      <c r="C17" s="75">
        <v>503729</v>
      </c>
      <c r="D17" s="75" t="s">
        <v>224</v>
      </c>
      <c r="E17" s="75">
        <v>44</v>
      </c>
      <c r="F17" s="75" t="s">
        <v>156</v>
      </c>
      <c r="G17" s="75" t="s">
        <v>15</v>
      </c>
      <c r="H17" s="75" t="s">
        <v>16</v>
      </c>
      <c r="I17" s="75" t="s">
        <v>20</v>
      </c>
      <c r="J17" s="75" t="s">
        <v>21</v>
      </c>
      <c r="K17" s="75" t="s">
        <v>165</v>
      </c>
      <c r="L17" s="75" t="s">
        <v>166</v>
      </c>
      <c r="M17" s="75" t="s">
        <v>24</v>
      </c>
      <c r="N17" s="77" t="s">
        <v>158</v>
      </c>
      <c r="O17" s="78" t="s">
        <v>159</v>
      </c>
      <c r="P17" s="79">
        <v>161900000</v>
      </c>
      <c r="Q17" s="79">
        <v>9000000</v>
      </c>
      <c r="R17" s="79">
        <v>0</v>
      </c>
      <c r="S17" s="79">
        <v>0</v>
      </c>
      <c r="T17" s="79">
        <v>8890207</v>
      </c>
      <c r="U17" s="79">
        <v>179790207</v>
      </c>
      <c r="V17" s="76" t="s">
        <v>193</v>
      </c>
    </row>
    <row r="18" spans="2:22" ht="30" x14ac:dyDescent="0.2">
      <c r="B18" s="76" t="s">
        <v>14</v>
      </c>
      <c r="C18" s="75">
        <v>503717</v>
      </c>
      <c r="D18" s="75" t="s">
        <v>224</v>
      </c>
      <c r="E18" s="75">
        <v>44</v>
      </c>
      <c r="F18" s="75" t="s">
        <v>156</v>
      </c>
      <c r="G18" s="75" t="s">
        <v>15</v>
      </c>
      <c r="H18" s="75"/>
      <c r="I18" s="75" t="s">
        <v>20</v>
      </c>
      <c r="J18" s="75" t="s">
        <v>21</v>
      </c>
      <c r="K18" s="75" t="s">
        <v>157</v>
      </c>
      <c r="L18" s="75" t="s">
        <v>105</v>
      </c>
      <c r="M18" s="75" t="s">
        <v>24</v>
      </c>
      <c r="N18" s="77" t="s">
        <v>158</v>
      </c>
      <c r="O18" s="78" t="s">
        <v>159</v>
      </c>
      <c r="P18" s="79">
        <v>186320000</v>
      </c>
      <c r="Q18" s="79">
        <v>10500000</v>
      </c>
      <c r="R18" s="79">
        <v>0</v>
      </c>
      <c r="S18" s="79">
        <v>0</v>
      </c>
      <c r="T18" s="79">
        <v>10500001</v>
      </c>
      <c r="U18" s="79">
        <v>207320001</v>
      </c>
      <c r="V18" s="76" t="s">
        <v>160</v>
      </c>
    </row>
    <row r="19" spans="2:22" ht="30" x14ac:dyDescent="0.2">
      <c r="B19" s="76" t="s">
        <v>14</v>
      </c>
      <c r="C19" s="75">
        <v>503590</v>
      </c>
      <c r="D19" s="75" t="s">
        <v>219</v>
      </c>
      <c r="E19" s="75">
        <v>70</v>
      </c>
      <c r="F19" s="75" t="s">
        <v>193</v>
      </c>
      <c r="G19" s="75" t="s">
        <v>15</v>
      </c>
      <c r="H19" s="75" t="s">
        <v>16</v>
      </c>
      <c r="I19" s="75"/>
      <c r="J19" s="75"/>
      <c r="K19" s="75" t="s">
        <v>153</v>
      </c>
      <c r="L19" s="75" t="s">
        <v>17</v>
      </c>
      <c r="M19" s="75" t="s">
        <v>24</v>
      </c>
      <c r="N19" s="77" t="s">
        <v>142</v>
      </c>
      <c r="O19" s="78" t="s">
        <v>19</v>
      </c>
      <c r="P19" s="79">
        <v>7369044</v>
      </c>
      <c r="Q19" s="79">
        <v>0</v>
      </c>
      <c r="R19" s="79">
        <v>0</v>
      </c>
      <c r="S19" s="79">
        <v>0</v>
      </c>
      <c r="T19" s="79">
        <v>0</v>
      </c>
      <c r="U19" s="79">
        <v>7369044</v>
      </c>
      <c r="V19" s="76" t="s">
        <v>193</v>
      </c>
    </row>
    <row r="20" spans="2:22" ht="30" x14ac:dyDescent="0.2">
      <c r="B20" s="76" t="s">
        <v>194</v>
      </c>
      <c r="C20" s="75">
        <v>503581</v>
      </c>
      <c r="D20" s="75" t="s">
        <v>219</v>
      </c>
      <c r="E20" s="75">
        <v>70</v>
      </c>
      <c r="F20" s="75" t="s">
        <v>193</v>
      </c>
      <c r="G20" s="75" t="s">
        <v>15</v>
      </c>
      <c r="H20" s="75" t="s">
        <v>16</v>
      </c>
      <c r="I20" s="75"/>
      <c r="J20" s="75"/>
      <c r="K20" s="75" t="s">
        <v>207</v>
      </c>
      <c r="L20" s="75" t="s">
        <v>204</v>
      </c>
      <c r="M20" s="75" t="s">
        <v>24</v>
      </c>
      <c r="N20" s="77" t="s">
        <v>142</v>
      </c>
      <c r="O20" s="78" t="s">
        <v>19</v>
      </c>
      <c r="P20" s="79">
        <v>3909581</v>
      </c>
      <c r="Q20" s="79">
        <v>0</v>
      </c>
      <c r="R20" s="79">
        <v>0</v>
      </c>
      <c r="S20" s="79">
        <v>0</v>
      </c>
      <c r="T20" s="79">
        <v>0</v>
      </c>
      <c r="U20" s="79">
        <v>3909581</v>
      </c>
      <c r="V20" s="76" t="s">
        <v>193</v>
      </c>
    </row>
    <row r="21" spans="2:22" ht="30" x14ac:dyDescent="0.2">
      <c r="B21" s="76" t="s">
        <v>14</v>
      </c>
      <c r="C21" s="75">
        <v>503584</v>
      </c>
      <c r="D21" s="75" t="s">
        <v>235</v>
      </c>
      <c r="E21" s="75">
        <v>24</v>
      </c>
      <c r="F21" s="75" t="s">
        <v>64</v>
      </c>
      <c r="G21" s="75" t="s">
        <v>15</v>
      </c>
      <c r="H21" s="75"/>
      <c r="I21" s="75" t="s">
        <v>20</v>
      </c>
      <c r="J21" s="75" t="s">
        <v>21</v>
      </c>
      <c r="K21" s="75" t="s">
        <v>133</v>
      </c>
      <c r="L21" s="75" t="s">
        <v>134</v>
      </c>
      <c r="M21" s="75" t="s">
        <v>30</v>
      </c>
      <c r="N21" s="77" t="s">
        <v>131</v>
      </c>
      <c r="O21" s="78" t="s">
        <v>19</v>
      </c>
      <c r="P21" s="82">
        <v>14814720</v>
      </c>
      <c r="Q21" s="79">
        <v>0</v>
      </c>
      <c r="R21" s="79">
        <v>271294560</v>
      </c>
      <c r="S21" s="79">
        <v>3600000</v>
      </c>
      <c r="T21" s="79">
        <v>60815710</v>
      </c>
      <c r="U21" s="79">
        <v>350524990</v>
      </c>
      <c r="V21" s="76" t="s">
        <v>193</v>
      </c>
    </row>
    <row r="22" spans="2:22" ht="30" x14ac:dyDescent="0.2">
      <c r="B22" s="76" t="s">
        <v>14</v>
      </c>
      <c r="C22" s="75">
        <v>503570</v>
      </c>
      <c r="D22" s="75" t="s">
        <v>220</v>
      </c>
      <c r="E22" s="75">
        <v>10</v>
      </c>
      <c r="F22" s="75" t="s">
        <v>64</v>
      </c>
      <c r="G22" s="75" t="s">
        <v>15</v>
      </c>
      <c r="H22" s="75" t="s">
        <v>16</v>
      </c>
      <c r="I22" s="75" t="s">
        <v>20</v>
      </c>
      <c r="J22" s="75" t="s">
        <v>21</v>
      </c>
      <c r="K22" s="75" t="s">
        <v>154</v>
      </c>
      <c r="L22" s="75" t="s">
        <v>23</v>
      </c>
      <c r="M22" s="75" t="s">
        <v>24</v>
      </c>
      <c r="N22" s="77" t="s">
        <v>142</v>
      </c>
      <c r="O22" s="78" t="s">
        <v>143</v>
      </c>
      <c r="P22" s="79">
        <v>119450000</v>
      </c>
      <c r="Q22" s="79">
        <v>0</v>
      </c>
      <c r="R22" s="79">
        <v>2000000</v>
      </c>
      <c r="S22" s="79">
        <v>1000000</v>
      </c>
      <c r="T22" s="79">
        <v>69076551</v>
      </c>
      <c r="U22" s="79">
        <v>191526551</v>
      </c>
      <c r="V22" s="76" t="s">
        <v>155</v>
      </c>
    </row>
    <row r="23" spans="2:22" ht="30" x14ac:dyDescent="0.2">
      <c r="B23" s="76" t="s">
        <v>194</v>
      </c>
      <c r="C23" s="75">
        <v>503559</v>
      </c>
      <c r="D23" s="75" t="s">
        <v>219</v>
      </c>
      <c r="E23" s="75">
        <v>70</v>
      </c>
      <c r="F23" s="75" t="s">
        <v>193</v>
      </c>
      <c r="G23" s="75" t="s">
        <v>15</v>
      </c>
      <c r="H23" s="75" t="s">
        <v>16</v>
      </c>
      <c r="I23" s="75"/>
      <c r="J23" s="75"/>
      <c r="K23" s="75" t="s">
        <v>205</v>
      </c>
      <c r="L23" s="75" t="s">
        <v>204</v>
      </c>
      <c r="M23" s="75" t="s">
        <v>24</v>
      </c>
      <c r="N23" s="77" t="s">
        <v>120</v>
      </c>
      <c r="O23" s="78" t="s">
        <v>19</v>
      </c>
      <c r="P23" s="79">
        <v>5729000</v>
      </c>
      <c r="Q23" s="79">
        <v>0</v>
      </c>
      <c r="R23" s="79">
        <v>0</v>
      </c>
      <c r="S23" s="79">
        <v>0</v>
      </c>
      <c r="T23" s="79">
        <v>0</v>
      </c>
      <c r="U23" s="79">
        <v>5729000</v>
      </c>
      <c r="V23" s="76" t="s">
        <v>193</v>
      </c>
    </row>
    <row r="24" spans="2:22" ht="30" x14ac:dyDescent="0.2">
      <c r="B24" s="76" t="s">
        <v>14</v>
      </c>
      <c r="C24" s="75">
        <v>503567</v>
      </c>
      <c r="D24" s="75" t="s">
        <v>220</v>
      </c>
      <c r="E24" s="75">
        <v>10</v>
      </c>
      <c r="F24" s="75" t="s">
        <v>64</v>
      </c>
      <c r="G24" s="75" t="s">
        <v>15</v>
      </c>
      <c r="H24" s="75"/>
      <c r="I24" s="75" t="s">
        <v>20</v>
      </c>
      <c r="J24" s="75" t="s">
        <v>21</v>
      </c>
      <c r="K24" s="75" t="s">
        <v>141</v>
      </c>
      <c r="L24" s="75" t="s">
        <v>112</v>
      </c>
      <c r="M24" s="75" t="s">
        <v>24</v>
      </c>
      <c r="N24" s="77" t="s">
        <v>142</v>
      </c>
      <c r="O24" s="78" t="s">
        <v>143</v>
      </c>
      <c r="P24" s="79">
        <v>115159785</v>
      </c>
      <c r="Q24" s="79">
        <v>6800000</v>
      </c>
      <c r="R24" s="79">
        <v>4424832</v>
      </c>
      <c r="S24" s="79">
        <v>1299999</v>
      </c>
      <c r="T24" s="79">
        <v>43886472</v>
      </c>
      <c r="U24" s="79">
        <v>171571088</v>
      </c>
      <c r="V24" s="76" t="s">
        <v>144</v>
      </c>
    </row>
    <row r="25" spans="2:22" ht="45" x14ac:dyDescent="0.2">
      <c r="B25" s="76" t="s">
        <v>14</v>
      </c>
      <c r="C25" s="75">
        <v>503490</v>
      </c>
      <c r="D25" s="75" t="s">
        <v>224</v>
      </c>
      <c r="E25" s="75">
        <v>44</v>
      </c>
      <c r="F25" s="75" t="s">
        <v>64</v>
      </c>
      <c r="G25" s="75" t="s">
        <v>15</v>
      </c>
      <c r="H25" s="75"/>
      <c r="I25" s="75" t="s">
        <v>20</v>
      </c>
      <c r="J25" s="75" t="s">
        <v>28</v>
      </c>
      <c r="K25" s="75" t="s">
        <v>138</v>
      </c>
      <c r="L25" s="75" t="s">
        <v>112</v>
      </c>
      <c r="M25" s="75" t="s">
        <v>24</v>
      </c>
      <c r="N25" s="77" t="s">
        <v>136</v>
      </c>
      <c r="O25" s="78" t="s">
        <v>139</v>
      </c>
      <c r="P25" s="79">
        <v>164103030</v>
      </c>
      <c r="Q25" s="79">
        <v>0</v>
      </c>
      <c r="R25" s="79">
        <v>871902</v>
      </c>
      <c r="S25" s="79">
        <v>12000000</v>
      </c>
      <c r="T25" s="79">
        <v>13031009</v>
      </c>
      <c r="U25" s="79">
        <v>190005941</v>
      </c>
      <c r="V25" s="76" t="s">
        <v>193</v>
      </c>
    </row>
    <row r="26" spans="2:22" ht="30" x14ac:dyDescent="0.2">
      <c r="B26" s="76" t="s">
        <v>14</v>
      </c>
      <c r="C26" s="75">
        <v>503488</v>
      </c>
      <c r="D26" s="75" t="s">
        <v>224</v>
      </c>
      <c r="E26" s="75">
        <v>44</v>
      </c>
      <c r="F26" s="75" t="s">
        <v>64</v>
      </c>
      <c r="G26" s="75" t="s">
        <v>15</v>
      </c>
      <c r="H26" s="75"/>
      <c r="I26" s="75" t="s">
        <v>20</v>
      </c>
      <c r="J26" s="75" t="s">
        <v>28</v>
      </c>
      <c r="K26" s="75" t="s">
        <v>135</v>
      </c>
      <c r="L26" s="75" t="s">
        <v>48</v>
      </c>
      <c r="M26" s="75" t="s">
        <v>24</v>
      </c>
      <c r="N26" s="77" t="s">
        <v>136</v>
      </c>
      <c r="O26" s="78" t="s">
        <v>137</v>
      </c>
      <c r="P26" s="79">
        <v>148500000</v>
      </c>
      <c r="Q26" s="79">
        <v>0</v>
      </c>
      <c r="R26" s="79">
        <v>2519790</v>
      </c>
      <c r="S26" s="79">
        <v>14400000</v>
      </c>
      <c r="T26" s="79">
        <v>12683310</v>
      </c>
      <c r="U26" s="79">
        <v>178103100</v>
      </c>
      <c r="V26" s="76" t="s">
        <v>193</v>
      </c>
    </row>
    <row r="27" spans="2:22" ht="30" x14ac:dyDescent="0.2">
      <c r="B27" s="76" t="s">
        <v>14</v>
      </c>
      <c r="C27" s="75">
        <v>503466</v>
      </c>
      <c r="D27" s="75" t="s">
        <v>234</v>
      </c>
      <c r="E27" s="75">
        <v>22</v>
      </c>
      <c r="F27" s="75">
        <v>70</v>
      </c>
      <c r="G27" s="75" t="s">
        <v>15</v>
      </c>
      <c r="H27" s="75"/>
      <c r="I27" s="75" t="s">
        <v>20</v>
      </c>
      <c r="J27" s="75" t="s">
        <v>21</v>
      </c>
      <c r="K27" s="75" t="s">
        <v>130</v>
      </c>
      <c r="L27" s="75" t="s">
        <v>105</v>
      </c>
      <c r="M27" s="75" t="s">
        <v>24</v>
      </c>
      <c r="N27" s="77" t="s">
        <v>131</v>
      </c>
      <c r="O27" s="78" t="s">
        <v>132</v>
      </c>
      <c r="P27" s="79">
        <v>40800000</v>
      </c>
      <c r="Q27" s="79">
        <v>0</v>
      </c>
      <c r="R27" s="79">
        <v>0</v>
      </c>
      <c r="S27" s="79">
        <v>0</v>
      </c>
      <c r="T27" s="79">
        <v>123071739</v>
      </c>
      <c r="U27" s="79">
        <v>163871739</v>
      </c>
      <c r="V27" s="76" t="s">
        <v>193</v>
      </c>
    </row>
    <row r="28" spans="2:22" ht="30" x14ac:dyDescent="0.2">
      <c r="B28" s="76" t="s">
        <v>14</v>
      </c>
      <c r="C28" s="75">
        <v>503454</v>
      </c>
      <c r="D28" s="75" t="s">
        <v>223</v>
      </c>
      <c r="E28" s="75">
        <v>25</v>
      </c>
      <c r="F28" s="75">
        <v>70</v>
      </c>
      <c r="G28" s="75" t="s">
        <v>15</v>
      </c>
      <c r="H28" s="75" t="s">
        <v>16</v>
      </c>
      <c r="I28" s="75" t="s">
        <v>20</v>
      </c>
      <c r="J28" s="75" t="s">
        <v>21</v>
      </c>
      <c r="K28" s="75" t="s">
        <v>128</v>
      </c>
      <c r="L28" s="75" t="s">
        <v>35</v>
      </c>
      <c r="M28" s="75" t="s">
        <v>24</v>
      </c>
      <c r="N28" s="77" t="s">
        <v>129</v>
      </c>
      <c r="O28" s="78">
        <v>46295</v>
      </c>
      <c r="P28" s="79">
        <v>10559833</v>
      </c>
      <c r="Q28" s="79">
        <v>0</v>
      </c>
      <c r="R28" s="79">
        <v>0</v>
      </c>
      <c r="S28" s="79">
        <v>0</v>
      </c>
      <c r="T28" s="79">
        <v>1498447</v>
      </c>
      <c r="U28" s="79">
        <v>12058280</v>
      </c>
      <c r="V28" s="76" t="s">
        <v>193</v>
      </c>
    </row>
    <row r="29" spans="2:22" ht="30" x14ac:dyDescent="0.2">
      <c r="B29" s="76" t="s">
        <v>14</v>
      </c>
      <c r="C29" s="75">
        <v>503272</v>
      </c>
      <c r="D29" s="75" t="s">
        <v>235</v>
      </c>
      <c r="E29" s="75">
        <v>24</v>
      </c>
      <c r="F29" s="75">
        <v>70</v>
      </c>
      <c r="G29" s="75" t="s">
        <v>15</v>
      </c>
      <c r="H29" s="75"/>
      <c r="I29" s="75" t="s">
        <v>20</v>
      </c>
      <c r="J29" s="75" t="s">
        <v>21</v>
      </c>
      <c r="K29" s="75" t="s">
        <v>43</v>
      </c>
      <c r="L29" s="75" t="s">
        <v>44</v>
      </c>
      <c r="M29" s="75" t="s">
        <v>24</v>
      </c>
      <c r="N29" s="77" t="s">
        <v>45</v>
      </c>
      <c r="O29" s="78" t="s">
        <v>46</v>
      </c>
      <c r="P29" s="79">
        <v>102808000</v>
      </c>
      <c r="Q29" s="79">
        <v>0</v>
      </c>
      <c r="R29" s="79">
        <v>239580325</v>
      </c>
      <c r="S29" s="79">
        <v>0</v>
      </c>
      <c r="T29" s="79">
        <v>0</v>
      </c>
      <c r="U29" s="79">
        <v>342388325</v>
      </c>
      <c r="V29" s="76" t="s">
        <v>193</v>
      </c>
    </row>
    <row r="30" spans="2:22" ht="15" x14ac:dyDescent="0.2">
      <c r="B30" s="76" t="s">
        <v>14</v>
      </c>
      <c r="C30" s="76">
        <v>502181</v>
      </c>
      <c r="D30" s="76" t="s">
        <v>219</v>
      </c>
      <c r="E30" s="76">
        <v>70</v>
      </c>
      <c r="F30" s="76" t="s">
        <v>193</v>
      </c>
      <c r="G30" s="76" t="s">
        <v>15</v>
      </c>
      <c r="H30" s="76" t="s">
        <v>16</v>
      </c>
      <c r="I30" s="76"/>
      <c r="J30" s="76"/>
      <c r="K30" s="76" t="s">
        <v>58</v>
      </c>
      <c r="L30" s="76" t="s">
        <v>44</v>
      </c>
      <c r="M30" s="76" t="s">
        <v>24</v>
      </c>
      <c r="N30" s="77" t="s">
        <v>59</v>
      </c>
      <c r="O30" s="77" t="s">
        <v>19</v>
      </c>
      <c r="P30" s="79">
        <v>47762402</v>
      </c>
      <c r="Q30" s="79">
        <v>0</v>
      </c>
      <c r="R30" s="79">
        <v>0</v>
      </c>
      <c r="S30" s="79">
        <v>0</v>
      </c>
      <c r="T30" s="79">
        <v>0</v>
      </c>
      <c r="U30" s="79">
        <v>47762402</v>
      </c>
      <c r="V30" s="76" t="s">
        <v>193</v>
      </c>
    </row>
    <row r="31" spans="2:22" ht="15" x14ac:dyDescent="0.2">
      <c r="B31" s="76" t="s">
        <v>14</v>
      </c>
      <c r="C31" s="76">
        <v>501794</v>
      </c>
      <c r="D31" s="76" t="s">
        <v>230</v>
      </c>
      <c r="E31" s="76">
        <v>6</v>
      </c>
      <c r="F31" s="76" t="s">
        <v>193</v>
      </c>
      <c r="G31" s="76" t="s">
        <v>15</v>
      </c>
      <c r="H31" s="76" t="s">
        <v>16</v>
      </c>
      <c r="I31" s="76"/>
      <c r="J31" s="76"/>
      <c r="K31" s="76" t="s">
        <v>84</v>
      </c>
      <c r="L31" s="76" t="s">
        <v>17</v>
      </c>
      <c r="M31" s="76" t="s">
        <v>24</v>
      </c>
      <c r="N31" s="77" t="s">
        <v>85</v>
      </c>
      <c r="O31" s="76" t="s">
        <v>19</v>
      </c>
      <c r="P31" s="79">
        <v>2755090</v>
      </c>
      <c r="Q31" s="79">
        <v>0</v>
      </c>
      <c r="R31" s="79">
        <v>0</v>
      </c>
      <c r="S31" s="79">
        <v>0</v>
      </c>
      <c r="T31" s="79">
        <v>0</v>
      </c>
      <c r="U31" s="79">
        <v>2755090</v>
      </c>
      <c r="V31" s="76" t="s">
        <v>27</v>
      </c>
    </row>
    <row r="32" spans="2:22" ht="15" x14ac:dyDescent="0.2">
      <c r="B32" s="76" t="s">
        <v>194</v>
      </c>
      <c r="C32" s="76">
        <v>501455</v>
      </c>
      <c r="D32" s="76" t="s">
        <v>219</v>
      </c>
      <c r="E32" s="76">
        <v>70</v>
      </c>
      <c r="F32" s="76" t="s">
        <v>193</v>
      </c>
      <c r="G32" s="76" t="s">
        <v>15</v>
      </c>
      <c r="H32" s="76" t="s">
        <v>16</v>
      </c>
      <c r="I32" s="76"/>
      <c r="J32" s="76"/>
      <c r="K32" s="76" t="s">
        <v>198</v>
      </c>
      <c r="L32" s="76" t="s">
        <v>164</v>
      </c>
      <c r="M32" s="76" t="s">
        <v>24</v>
      </c>
      <c r="N32" s="77" t="s">
        <v>63</v>
      </c>
      <c r="O32" s="76" t="s">
        <v>19</v>
      </c>
      <c r="P32" s="79">
        <v>43250000</v>
      </c>
      <c r="Q32" s="79">
        <v>0</v>
      </c>
      <c r="R32" s="79">
        <v>0</v>
      </c>
      <c r="S32" s="79">
        <v>0</v>
      </c>
      <c r="T32" s="79">
        <v>0</v>
      </c>
      <c r="U32" s="79">
        <v>43250000</v>
      </c>
      <c r="V32" s="76" t="s">
        <v>193</v>
      </c>
    </row>
    <row r="33" spans="2:22" ht="15" x14ac:dyDescent="0.2">
      <c r="B33" s="76" t="s">
        <v>14</v>
      </c>
      <c r="C33" s="76">
        <v>501690</v>
      </c>
      <c r="D33" s="76" t="s">
        <v>219</v>
      </c>
      <c r="E33" s="76">
        <v>70</v>
      </c>
      <c r="F33" s="76" t="s">
        <v>193</v>
      </c>
      <c r="G33" s="76" t="s">
        <v>15</v>
      </c>
      <c r="H33" s="76" t="s">
        <v>16</v>
      </c>
      <c r="I33" s="76"/>
      <c r="J33" s="76"/>
      <c r="K33" s="76" t="s">
        <v>56</v>
      </c>
      <c r="L33" s="76" t="s">
        <v>42</v>
      </c>
      <c r="M33" s="76" t="s">
        <v>24</v>
      </c>
      <c r="N33" s="77" t="s">
        <v>57</v>
      </c>
      <c r="O33" s="77" t="s">
        <v>19</v>
      </c>
      <c r="P33" s="79">
        <v>25000000</v>
      </c>
      <c r="Q33" s="79">
        <v>0</v>
      </c>
      <c r="R33" s="79">
        <v>0</v>
      </c>
      <c r="S33" s="79">
        <v>0</v>
      </c>
      <c r="T33" s="79">
        <v>0</v>
      </c>
      <c r="U33" s="79">
        <v>25000000</v>
      </c>
      <c r="V33" s="76" t="s">
        <v>193</v>
      </c>
    </row>
    <row r="34" spans="2:22" ht="15" x14ac:dyDescent="0.2">
      <c r="B34" s="76" t="s">
        <v>14</v>
      </c>
      <c r="C34" s="76">
        <v>500014</v>
      </c>
      <c r="D34" s="76" t="s">
        <v>219</v>
      </c>
      <c r="E34" s="76">
        <v>70</v>
      </c>
      <c r="F34" s="76" t="s">
        <v>193</v>
      </c>
      <c r="G34" s="76" t="s">
        <v>15</v>
      </c>
      <c r="H34" s="76" t="s">
        <v>16</v>
      </c>
      <c r="I34" s="76"/>
      <c r="J34" s="76"/>
      <c r="K34" s="76" t="s">
        <v>60</v>
      </c>
      <c r="L34" s="76" t="s">
        <v>61</v>
      </c>
      <c r="M34" s="76" t="s">
        <v>24</v>
      </c>
      <c r="N34" s="77" t="s">
        <v>62</v>
      </c>
      <c r="O34" s="77" t="s">
        <v>19</v>
      </c>
      <c r="P34" s="79">
        <v>3245700</v>
      </c>
      <c r="Q34" s="79">
        <v>0</v>
      </c>
      <c r="R34" s="79">
        <v>0</v>
      </c>
      <c r="S34" s="79">
        <v>0</v>
      </c>
      <c r="T34" s="79">
        <v>0</v>
      </c>
      <c r="U34" s="79">
        <v>3245700</v>
      </c>
      <c r="V34" s="7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E75"/>
  <sheetViews>
    <sheetView showGridLines="0" zoomScale="70" zoomScaleNormal="70" workbookViewId="0">
      <selection activeCell="B4" sqref="B4"/>
    </sheetView>
  </sheetViews>
  <sheetFormatPr baseColWidth="10" defaultRowHeight="14.25" outlineLevelCol="1" x14ac:dyDescent="0.2"/>
  <cols>
    <col min="1" max="1" width="27.125" customWidth="1"/>
    <col min="2" max="2" width="35.5" customWidth="1" outlineLevel="1"/>
    <col min="3" max="3" width="23.125" customWidth="1" outlineLevel="1"/>
    <col min="4" max="4" width="1.875" customWidth="1"/>
    <col min="5" max="6" width="23.125" customWidth="1"/>
    <col min="7" max="7" width="6.375" customWidth="1"/>
    <col min="8" max="8" width="20.5" customWidth="1" outlineLevel="1"/>
    <col min="9" max="9" width="29" customWidth="1" outlineLevel="1"/>
    <col min="10" max="10" width="3" customWidth="1"/>
    <col min="11" max="12" width="31.75" customWidth="1"/>
    <col min="13" max="13" width="2.125" customWidth="1"/>
    <col min="14" max="14" width="35.5" bestFit="1" customWidth="1"/>
    <col min="15" max="15" width="7.5" customWidth="1"/>
    <col min="16" max="16" width="10" customWidth="1"/>
    <col min="17" max="17" width="22.5" bestFit="1" customWidth="1"/>
    <col min="18" max="18" width="17.5" customWidth="1"/>
    <col min="19" max="19" width="9" customWidth="1"/>
    <col min="20" max="20" width="17.75" bestFit="1" customWidth="1"/>
    <col min="21" max="21" width="3.875" customWidth="1"/>
    <col min="22" max="22" width="6" customWidth="1"/>
    <col min="23" max="23" width="9" bestFit="1" customWidth="1"/>
    <col min="24" max="24" width="7.125" customWidth="1"/>
    <col min="25" max="25" width="16.5" bestFit="1" customWidth="1"/>
    <col min="26" max="26" width="5.875" customWidth="1"/>
    <col min="27" max="27" width="6.75" customWidth="1"/>
    <col min="28" max="28" width="11.25" customWidth="1"/>
    <col min="29" max="29" width="31.25" bestFit="1" customWidth="1"/>
    <col min="30" max="30" width="12.75" customWidth="1"/>
    <col min="31" max="31" width="11.875" customWidth="1"/>
  </cols>
  <sheetData>
    <row r="3" spans="2:31" x14ac:dyDescent="0.2">
      <c r="B3" s="9" t="s">
        <v>241</v>
      </c>
      <c r="C3" t="s">
        <v>226</v>
      </c>
      <c r="E3" t="s">
        <v>241</v>
      </c>
      <c r="F3" t="s">
        <v>226</v>
      </c>
      <c r="H3" s="9" t="s">
        <v>216</v>
      </c>
      <c r="I3" t="s">
        <v>227</v>
      </c>
      <c r="K3" t="s">
        <v>246</v>
      </c>
      <c r="L3" t="s">
        <v>227</v>
      </c>
      <c r="N3" s="9" t="s">
        <v>245</v>
      </c>
      <c r="O3" s="9" t="s">
        <v>193</v>
      </c>
    </row>
    <row r="4" spans="2:31" ht="28.5" x14ac:dyDescent="0.2">
      <c r="B4" s="10" t="s">
        <v>14</v>
      </c>
      <c r="C4" s="11">
        <v>29</v>
      </c>
      <c r="D4" s="11"/>
      <c r="E4" s="11" t="s">
        <v>194</v>
      </c>
      <c r="F4" s="11">
        <v>9</v>
      </c>
      <c r="H4" s="10" t="s">
        <v>112</v>
      </c>
      <c r="I4" s="12">
        <v>279262815</v>
      </c>
      <c r="J4" s="12"/>
      <c r="K4" s="12" t="s">
        <v>200</v>
      </c>
      <c r="L4" s="12">
        <v>0</v>
      </c>
      <c r="N4" s="9" t="s">
        <v>216</v>
      </c>
      <c r="O4" s="18" t="s">
        <v>237</v>
      </c>
      <c r="P4" s="19" t="s">
        <v>238</v>
      </c>
      <c r="Q4" s="19" t="s">
        <v>235</v>
      </c>
      <c r="R4" s="19" t="s">
        <v>223</v>
      </c>
      <c r="S4" s="19" t="s">
        <v>221</v>
      </c>
      <c r="T4" s="19" t="s">
        <v>230</v>
      </c>
      <c r="U4" s="19" t="s">
        <v>220</v>
      </c>
      <c r="V4" s="19" t="s">
        <v>233</v>
      </c>
      <c r="W4" s="19" t="s">
        <v>234</v>
      </c>
      <c r="X4" s="19" t="s">
        <v>231</v>
      </c>
      <c r="Y4" s="19" t="s">
        <v>224</v>
      </c>
      <c r="Z4" s="19" t="s">
        <v>232</v>
      </c>
      <c r="AA4" s="19" t="s">
        <v>222</v>
      </c>
      <c r="AB4" s="19" t="s">
        <v>225</v>
      </c>
      <c r="AC4" s="19" t="s">
        <v>236</v>
      </c>
      <c r="AD4" s="19" t="s">
        <v>219</v>
      </c>
      <c r="AE4" s="19" t="s">
        <v>217</v>
      </c>
    </row>
    <row r="5" spans="2:31" x14ac:dyDescent="0.2">
      <c r="B5" s="10" t="s">
        <v>217</v>
      </c>
      <c r="C5" s="11">
        <v>29</v>
      </c>
      <c r="D5" s="11"/>
      <c r="E5" s="11" t="s">
        <v>14</v>
      </c>
      <c r="F5" s="11">
        <v>58</v>
      </c>
      <c r="H5" s="10" t="s">
        <v>35</v>
      </c>
      <c r="I5" s="12">
        <v>10559833</v>
      </c>
      <c r="J5" s="12"/>
      <c r="K5" s="12" t="s">
        <v>61</v>
      </c>
      <c r="L5" s="12">
        <v>3245700</v>
      </c>
      <c r="N5" s="10" t="s">
        <v>112</v>
      </c>
      <c r="O5" s="20"/>
      <c r="P5" s="20"/>
      <c r="Q5" s="20"/>
      <c r="R5" s="20"/>
      <c r="S5" s="20"/>
      <c r="T5" s="20"/>
      <c r="U5" s="20">
        <v>1</v>
      </c>
      <c r="V5" s="20"/>
      <c r="W5" s="20"/>
      <c r="X5" s="20"/>
      <c r="Y5" s="20">
        <v>1</v>
      </c>
      <c r="Z5" s="20"/>
      <c r="AA5" s="20"/>
      <c r="AB5" s="20"/>
      <c r="AC5" s="20"/>
      <c r="AD5" s="20">
        <v>2</v>
      </c>
      <c r="AE5" s="20">
        <v>4</v>
      </c>
    </row>
    <row r="6" spans="2:31" ht="15" x14ac:dyDescent="0.25">
      <c r="D6" s="11"/>
      <c r="E6" s="14" t="s">
        <v>217</v>
      </c>
      <c r="F6" s="14">
        <v>67</v>
      </c>
      <c r="H6" s="10" t="s">
        <v>184</v>
      </c>
      <c r="I6" s="12">
        <v>280000000</v>
      </c>
      <c r="J6" s="12"/>
      <c r="K6" s="12" t="s">
        <v>88</v>
      </c>
      <c r="L6" s="12">
        <v>78102702</v>
      </c>
      <c r="N6" s="10" t="s">
        <v>35</v>
      </c>
      <c r="O6" s="20"/>
      <c r="P6" s="20"/>
      <c r="Q6" s="20"/>
      <c r="R6" s="20">
        <v>1</v>
      </c>
      <c r="S6" s="20"/>
      <c r="T6" s="20"/>
      <c r="U6" s="20"/>
      <c r="V6" s="20"/>
      <c r="W6" s="20"/>
      <c r="X6" s="20"/>
      <c r="Y6" s="20">
        <v>1</v>
      </c>
      <c r="Z6" s="20"/>
      <c r="AA6" s="20"/>
      <c r="AB6" s="20"/>
      <c r="AC6" s="20">
        <v>1</v>
      </c>
      <c r="AD6" s="20">
        <v>2</v>
      </c>
      <c r="AE6" s="20">
        <v>5</v>
      </c>
    </row>
    <row r="7" spans="2:31" x14ac:dyDescent="0.2">
      <c r="E7" s="11"/>
      <c r="F7" s="11"/>
      <c r="H7" s="10" t="s">
        <v>166</v>
      </c>
      <c r="I7" s="12">
        <v>171900000</v>
      </c>
      <c r="J7" s="12"/>
      <c r="K7" s="12" t="s">
        <v>44</v>
      </c>
      <c r="L7" s="12">
        <v>150570402</v>
      </c>
      <c r="N7" s="10" t="s">
        <v>200</v>
      </c>
      <c r="O7" s="20"/>
      <c r="P7" s="20"/>
      <c r="Q7" s="20"/>
      <c r="R7" s="20"/>
      <c r="S7" s="20"/>
      <c r="T7" s="20"/>
      <c r="U7" s="20"/>
      <c r="V7" s="20"/>
      <c r="W7" s="20">
        <v>1</v>
      </c>
      <c r="X7" s="20"/>
      <c r="Y7" s="20"/>
      <c r="Z7" s="20"/>
      <c r="AA7" s="20"/>
      <c r="AB7" s="20"/>
      <c r="AC7" s="20"/>
      <c r="AD7" s="20"/>
      <c r="AE7" s="20">
        <v>1</v>
      </c>
    </row>
    <row r="8" spans="2:31" x14ac:dyDescent="0.2">
      <c r="H8" s="10" t="s">
        <v>17</v>
      </c>
      <c r="I8" s="12">
        <v>230006134</v>
      </c>
      <c r="J8" s="12"/>
      <c r="K8" s="12" t="s">
        <v>166</v>
      </c>
      <c r="L8" s="12">
        <v>161900000</v>
      </c>
      <c r="N8" s="10" t="s">
        <v>184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>
        <v>1</v>
      </c>
      <c r="Z8" s="20"/>
      <c r="AA8" s="20"/>
      <c r="AB8" s="20"/>
      <c r="AC8" s="20"/>
      <c r="AD8" s="20"/>
      <c r="AE8" s="20">
        <v>1</v>
      </c>
    </row>
    <row r="9" spans="2:31" x14ac:dyDescent="0.2">
      <c r="D9" s="11"/>
      <c r="H9" s="10" t="s">
        <v>42</v>
      </c>
      <c r="I9" s="12">
        <v>339624480</v>
      </c>
      <c r="J9" s="12"/>
      <c r="K9" s="12" t="s">
        <v>134</v>
      </c>
      <c r="L9" s="12">
        <v>213280720</v>
      </c>
      <c r="N9" s="10" t="s">
        <v>166</v>
      </c>
      <c r="O9" s="20"/>
      <c r="P9" s="20"/>
      <c r="Q9" s="20"/>
      <c r="R9" s="20"/>
      <c r="S9" s="20"/>
      <c r="T9" s="20"/>
      <c r="U9" s="20">
        <v>1</v>
      </c>
      <c r="V9" s="20"/>
      <c r="W9" s="20"/>
      <c r="X9" s="20"/>
      <c r="Y9" s="20">
        <v>1</v>
      </c>
      <c r="Z9" s="20"/>
      <c r="AA9" s="20"/>
      <c r="AB9" s="20"/>
      <c r="AC9" s="20"/>
      <c r="AD9" s="20"/>
      <c r="AE9" s="20">
        <v>2</v>
      </c>
    </row>
    <row r="10" spans="2:31" x14ac:dyDescent="0.2">
      <c r="D10" s="11"/>
      <c r="H10" s="10" t="s">
        <v>44</v>
      </c>
      <c r="I10" s="12">
        <v>150570402</v>
      </c>
      <c r="J10" s="12"/>
      <c r="K10" s="12" t="s">
        <v>184</v>
      </c>
      <c r="L10" s="12">
        <v>280000000</v>
      </c>
      <c r="N10" s="10" t="s">
        <v>17</v>
      </c>
      <c r="O10" s="20"/>
      <c r="P10" s="20"/>
      <c r="Q10" s="20"/>
      <c r="R10" s="20"/>
      <c r="S10" s="20">
        <v>2</v>
      </c>
      <c r="T10" s="20">
        <v>1</v>
      </c>
      <c r="U10" s="20">
        <v>1</v>
      </c>
      <c r="V10" s="20"/>
      <c r="W10" s="20"/>
      <c r="X10" s="20"/>
      <c r="Y10" s="20">
        <v>1</v>
      </c>
      <c r="Z10" s="20"/>
      <c r="AA10" s="20"/>
      <c r="AB10" s="20"/>
      <c r="AC10" s="20"/>
      <c r="AD10" s="20">
        <v>1</v>
      </c>
      <c r="AE10" s="20">
        <v>6</v>
      </c>
    </row>
    <row r="11" spans="2:31" x14ac:dyDescent="0.2">
      <c r="B11" s="9" t="s">
        <v>242</v>
      </c>
      <c r="C11" t="s">
        <v>226</v>
      </c>
      <c r="D11" s="11"/>
      <c r="E11" t="s">
        <v>242</v>
      </c>
      <c r="F11" t="s">
        <v>226</v>
      </c>
      <c r="H11" s="10" t="s">
        <v>61</v>
      </c>
      <c r="I11" s="12">
        <v>3245700</v>
      </c>
      <c r="J11" s="12"/>
      <c r="K11" s="12" t="s">
        <v>239</v>
      </c>
      <c r="L11" s="12">
        <v>280000000</v>
      </c>
      <c r="N11" s="10" t="s">
        <v>42</v>
      </c>
      <c r="O11" s="20"/>
      <c r="P11" s="20">
        <v>1</v>
      </c>
      <c r="Q11" s="20"/>
      <c r="R11" s="20"/>
      <c r="S11" s="20"/>
      <c r="T11" s="20"/>
      <c r="U11" s="20">
        <v>1</v>
      </c>
      <c r="V11" s="20"/>
      <c r="W11" s="20">
        <v>1</v>
      </c>
      <c r="X11" s="20"/>
      <c r="Y11" s="20"/>
      <c r="Z11" s="20"/>
      <c r="AA11" s="20">
        <v>1</v>
      </c>
      <c r="AB11" s="20"/>
      <c r="AC11" s="20">
        <v>1</v>
      </c>
      <c r="AD11" s="20">
        <v>1</v>
      </c>
      <c r="AE11" s="20">
        <v>6</v>
      </c>
    </row>
    <row r="12" spans="2:31" x14ac:dyDescent="0.2">
      <c r="B12" s="10" t="s">
        <v>223</v>
      </c>
      <c r="C12" s="11">
        <v>2</v>
      </c>
      <c r="D12" s="11"/>
      <c r="E12" s="11" t="s">
        <v>223</v>
      </c>
      <c r="F12" s="11">
        <v>5</v>
      </c>
      <c r="H12" s="10" t="s">
        <v>134</v>
      </c>
      <c r="I12" s="12">
        <v>14814720</v>
      </c>
      <c r="J12" s="12"/>
      <c r="K12" s="12" t="s">
        <v>112</v>
      </c>
      <c r="L12" s="12">
        <v>287474270</v>
      </c>
      <c r="N12" s="10" t="s">
        <v>44</v>
      </c>
      <c r="O12" s="20"/>
      <c r="P12" s="20"/>
      <c r="Q12" s="20">
        <v>1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>
        <v>1</v>
      </c>
      <c r="AE12" s="20">
        <v>2</v>
      </c>
    </row>
    <row r="13" spans="2:31" x14ac:dyDescent="0.2">
      <c r="B13" s="10" t="s">
        <v>221</v>
      </c>
      <c r="C13" s="11">
        <v>2</v>
      </c>
      <c r="D13" s="11"/>
      <c r="E13" s="11" t="s">
        <v>221</v>
      </c>
      <c r="F13" s="11">
        <v>7</v>
      </c>
      <c r="H13" s="10" t="s">
        <v>23</v>
      </c>
      <c r="I13" s="12">
        <v>397943939</v>
      </c>
      <c r="J13" s="12"/>
      <c r="K13" s="12" t="s">
        <v>164</v>
      </c>
      <c r="L13" s="12">
        <v>290389315</v>
      </c>
      <c r="N13" s="10" t="s">
        <v>96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>
        <v>1</v>
      </c>
      <c r="AC13" s="20"/>
      <c r="AD13" s="20"/>
      <c r="AE13" s="20">
        <v>1</v>
      </c>
    </row>
    <row r="14" spans="2:31" x14ac:dyDescent="0.2">
      <c r="B14" s="10" t="s">
        <v>220</v>
      </c>
      <c r="C14" s="11">
        <v>6</v>
      </c>
      <c r="D14" s="11"/>
      <c r="E14" s="11" t="s">
        <v>220</v>
      </c>
      <c r="F14" s="11">
        <v>7</v>
      </c>
      <c r="H14" s="10" t="s">
        <v>204</v>
      </c>
      <c r="I14" s="12">
        <v>280000000</v>
      </c>
      <c r="J14" s="12"/>
      <c r="K14" s="12" t="s">
        <v>204</v>
      </c>
      <c r="L14" s="12">
        <v>291292895</v>
      </c>
      <c r="N14" s="10" t="s">
        <v>61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>
        <v>1</v>
      </c>
      <c r="AE14" s="20">
        <v>1</v>
      </c>
    </row>
    <row r="15" spans="2:31" x14ac:dyDescent="0.2">
      <c r="B15" s="10" t="s">
        <v>224</v>
      </c>
      <c r="C15" s="11">
        <v>9</v>
      </c>
      <c r="D15" s="11"/>
      <c r="E15" s="11" t="s">
        <v>224</v>
      </c>
      <c r="F15" s="11">
        <v>11</v>
      </c>
      <c r="H15" s="10" t="s">
        <v>164</v>
      </c>
      <c r="I15" s="12">
        <v>203909000</v>
      </c>
      <c r="J15" s="12"/>
      <c r="K15" s="12" t="s">
        <v>35</v>
      </c>
      <c r="L15" s="12">
        <v>341869833</v>
      </c>
      <c r="N15" s="10" t="s">
        <v>88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>
        <v>1</v>
      </c>
      <c r="AB15" s="20"/>
      <c r="AC15" s="20"/>
      <c r="AD15" s="20"/>
      <c r="AE15" s="20">
        <v>1</v>
      </c>
    </row>
    <row r="16" spans="2:31" x14ac:dyDescent="0.2">
      <c r="B16" s="10" t="s">
        <v>219</v>
      </c>
      <c r="C16" s="11">
        <v>4</v>
      </c>
      <c r="D16" s="11"/>
      <c r="E16" s="11" t="s">
        <v>222</v>
      </c>
      <c r="F16" s="11">
        <v>3</v>
      </c>
      <c r="H16" s="10" t="s">
        <v>105</v>
      </c>
      <c r="I16" s="12">
        <v>227120000</v>
      </c>
      <c r="J16" s="12"/>
      <c r="K16" s="12" t="s">
        <v>17</v>
      </c>
      <c r="L16" s="12">
        <v>369110010</v>
      </c>
      <c r="N16" s="10" t="s">
        <v>134</v>
      </c>
      <c r="O16" s="20">
        <v>1</v>
      </c>
      <c r="P16" s="20"/>
      <c r="Q16" s="20">
        <v>1</v>
      </c>
      <c r="R16" s="20"/>
      <c r="S16" s="20"/>
      <c r="T16" s="20"/>
      <c r="U16" s="20"/>
      <c r="V16" s="20"/>
      <c r="W16" s="20">
        <v>1</v>
      </c>
      <c r="X16" s="20"/>
      <c r="Y16" s="20"/>
      <c r="Z16" s="20"/>
      <c r="AA16" s="20"/>
      <c r="AB16" s="20"/>
      <c r="AC16" s="20"/>
      <c r="AD16" s="20"/>
      <c r="AE16" s="20">
        <v>3</v>
      </c>
    </row>
    <row r="17" spans="2:31" x14ac:dyDescent="0.2">
      <c r="B17" s="10" t="s">
        <v>230</v>
      </c>
      <c r="C17" s="11">
        <v>1</v>
      </c>
      <c r="D17" s="11"/>
      <c r="E17" s="11" t="s">
        <v>225</v>
      </c>
      <c r="F17" s="11">
        <v>2</v>
      </c>
      <c r="H17" s="10" t="s">
        <v>48</v>
      </c>
      <c r="I17" s="12">
        <v>299033480</v>
      </c>
      <c r="J17" s="12"/>
      <c r="K17" s="12" t="s">
        <v>105</v>
      </c>
      <c r="L17" s="12">
        <v>495722557</v>
      </c>
      <c r="N17" s="10" t="s">
        <v>23</v>
      </c>
      <c r="O17" s="20"/>
      <c r="P17" s="20"/>
      <c r="Q17" s="20"/>
      <c r="R17" s="20"/>
      <c r="S17" s="20">
        <v>5</v>
      </c>
      <c r="T17" s="20"/>
      <c r="U17" s="20">
        <v>5</v>
      </c>
      <c r="V17" s="20"/>
      <c r="W17" s="20"/>
      <c r="X17" s="20"/>
      <c r="Y17" s="20">
        <v>1</v>
      </c>
      <c r="Z17" s="20"/>
      <c r="AA17" s="20"/>
      <c r="AB17" s="20"/>
      <c r="AC17" s="20"/>
      <c r="AD17" s="20"/>
      <c r="AE17" s="20">
        <v>11</v>
      </c>
    </row>
    <row r="18" spans="2:31" x14ac:dyDescent="0.2">
      <c r="B18" s="10" t="s">
        <v>232</v>
      </c>
      <c r="C18" s="11">
        <v>1</v>
      </c>
      <c r="D18" s="11"/>
      <c r="E18" s="11" t="s">
        <v>219</v>
      </c>
      <c r="F18" s="11">
        <v>16</v>
      </c>
      <c r="H18" s="10" t="s">
        <v>239</v>
      </c>
      <c r="I18" s="12">
        <v>280000000</v>
      </c>
      <c r="J18" s="12"/>
      <c r="K18" s="12" t="s">
        <v>42</v>
      </c>
      <c r="L18" s="12">
        <v>511143859</v>
      </c>
      <c r="N18" s="10" t="s">
        <v>204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>
        <v>1</v>
      </c>
      <c r="Z18" s="20"/>
      <c r="AA18" s="20"/>
      <c r="AB18" s="20"/>
      <c r="AC18" s="20"/>
      <c r="AD18" s="20">
        <v>3</v>
      </c>
      <c r="AE18" s="20">
        <v>4</v>
      </c>
    </row>
    <row r="19" spans="2:31" x14ac:dyDescent="0.2">
      <c r="B19" s="10" t="s">
        <v>234</v>
      </c>
      <c r="C19" s="11">
        <v>1</v>
      </c>
      <c r="D19" s="11"/>
      <c r="E19" s="11" t="s">
        <v>230</v>
      </c>
      <c r="F19" s="11">
        <v>1</v>
      </c>
      <c r="H19" s="10" t="s">
        <v>217</v>
      </c>
      <c r="I19" s="12">
        <v>3167990503</v>
      </c>
      <c r="J19" s="12"/>
      <c r="K19" s="12" t="s">
        <v>23</v>
      </c>
      <c r="L19" s="12">
        <v>672355860</v>
      </c>
      <c r="N19" s="10" t="s">
        <v>239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>
        <v>1</v>
      </c>
      <c r="Z19" s="20"/>
      <c r="AA19" s="20"/>
      <c r="AB19" s="20"/>
      <c r="AC19" s="20"/>
      <c r="AD19" s="20"/>
      <c r="AE19" s="20">
        <v>1</v>
      </c>
    </row>
    <row r="20" spans="2:31" x14ac:dyDescent="0.2">
      <c r="B20" s="10" t="s">
        <v>235</v>
      </c>
      <c r="C20" s="11">
        <v>2</v>
      </c>
      <c r="D20" s="11"/>
      <c r="E20" s="11" t="s">
        <v>231</v>
      </c>
      <c r="F20" s="11">
        <v>1</v>
      </c>
      <c r="J20" s="12"/>
      <c r="K20" s="12" t="s">
        <v>96</v>
      </c>
      <c r="L20" s="12">
        <v>965967696</v>
      </c>
      <c r="N20" s="10" t="s">
        <v>164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>
        <v>1</v>
      </c>
      <c r="Z20" s="20"/>
      <c r="AA20" s="20"/>
      <c r="AB20" s="20">
        <v>1</v>
      </c>
      <c r="AC20" s="20"/>
      <c r="AD20" s="20">
        <v>2</v>
      </c>
      <c r="AE20" s="20">
        <v>4</v>
      </c>
    </row>
    <row r="21" spans="2:31" x14ac:dyDescent="0.2">
      <c r="B21" s="10" t="s">
        <v>236</v>
      </c>
      <c r="C21" s="11">
        <v>1</v>
      </c>
      <c r="D21" s="11"/>
      <c r="E21" s="11" t="s">
        <v>232</v>
      </c>
      <c r="F21" s="11">
        <v>2</v>
      </c>
      <c r="J21" s="12"/>
      <c r="K21" s="12" t="s">
        <v>48</v>
      </c>
      <c r="L21" s="12">
        <v>1345559170</v>
      </c>
      <c r="N21" s="10" t="s">
        <v>105</v>
      </c>
      <c r="O21" s="20">
        <v>1</v>
      </c>
      <c r="P21" s="20"/>
      <c r="Q21" s="20"/>
      <c r="R21" s="20"/>
      <c r="S21" s="20"/>
      <c r="T21" s="20"/>
      <c r="U21" s="20"/>
      <c r="V21" s="20"/>
      <c r="W21" s="20">
        <v>1</v>
      </c>
      <c r="X21" s="20">
        <v>1</v>
      </c>
      <c r="Y21" s="20">
        <v>1</v>
      </c>
      <c r="Z21" s="20"/>
      <c r="AA21" s="20"/>
      <c r="AB21" s="20"/>
      <c r="AC21" s="20"/>
      <c r="AD21" s="20"/>
      <c r="AE21" s="20">
        <v>4</v>
      </c>
    </row>
    <row r="22" spans="2:31" ht="15" x14ac:dyDescent="0.25">
      <c r="B22" s="10" t="s">
        <v>217</v>
      </c>
      <c r="C22" s="11">
        <v>29</v>
      </c>
      <c r="D22" s="11"/>
      <c r="E22" s="11" t="s">
        <v>233</v>
      </c>
      <c r="F22" s="11">
        <v>1</v>
      </c>
      <c r="J22" s="12"/>
      <c r="K22" s="17" t="s">
        <v>217</v>
      </c>
      <c r="L22" s="17">
        <v>6737984989</v>
      </c>
      <c r="N22" s="10" t="s">
        <v>48</v>
      </c>
      <c r="O22" s="20"/>
      <c r="P22" s="20"/>
      <c r="Q22" s="20"/>
      <c r="R22" s="20">
        <v>4</v>
      </c>
      <c r="S22" s="20"/>
      <c r="T22" s="20"/>
      <c r="U22" s="20"/>
      <c r="V22" s="20">
        <v>1</v>
      </c>
      <c r="W22" s="20"/>
      <c r="X22" s="20"/>
      <c r="Y22" s="20">
        <v>1</v>
      </c>
      <c r="Z22" s="20">
        <v>2</v>
      </c>
      <c r="AA22" s="20"/>
      <c r="AB22" s="20"/>
      <c r="AC22" s="20"/>
      <c r="AD22" s="20">
        <v>3</v>
      </c>
      <c r="AE22" s="20">
        <v>11</v>
      </c>
    </row>
    <row r="23" spans="2:31" x14ac:dyDescent="0.2">
      <c r="D23" s="11"/>
      <c r="E23" s="11" t="s">
        <v>234</v>
      </c>
      <c r="F23" s="11">
        <v>4</v>
      </c>
      <c r="N23" s="10" t="s">
        <v>217</v>
      </c>
      <c r="O23" s="20">
        <v>2</v>
      </c>
      <c r="P23" s="20">
        <v>1</v>
      </c>
      <c r="Q23" s="20">
        <v>2</v>
      </c>
      <c r="R23" s="20">
        <v>5</v>
      </c>
      <c r="S23" s="20">
        <v>7</v>
      </c>
      <c r="T23" s="20">
        <v>1</v>
      </c>
      <c r="U23" s="20">
        <v>9</v>
      </c>
      <c r="V23" s="20">
        <v>1</v>
      </c>
      <c r="W23" s="20">
        <v>4</v>
      </c>
      <c r="X23" s="20">
        <v>1</v>
      </c>
      <c r="Y23" s="20">
        <v>11</v>
      </c>
      <c r="Z23" s="20">
        <v>2</v>
      </c>
      <c r="AA23" s="20">
        <v>2</v>
      </c>
      <c r="AB23" s="20">
        <v>2</v>
      </c>
      <c r="AC23" s="20">
        <v>2</v>
      </c>
      <c r="AD23" s="20">
        <v>16</v>
      </c>
      <c r="AE23" s="20">
        <v>68</v>
      </c>
    </row>
    <row r="24" spans="2:31" x14ac:dyDescent="0.2">
      <c r="D24" s="11"/>
      <c r="E24" s="11" t="s">
        <v>235</v>
      </c>
      <c r="F24" s="11">
        <v>2</v>
      </c>
    </row>
    <row r="25" spans="2:31" x14ac:dyDescent="0.2">
      <c r="D25" s="11"/>
      <c r="E25" s="11" t="s">
        <v>236</v>
      </c>
      <c r="F25" s="11">
        <v>2</v>
      </c>
    </row>
    <row r="26" spans="2:31" x14ac:dyDescent="0.2">
      <c r="E26" s="11" t="s">
        <v>237</v>
      </c>
      <c r="F26" s="11">
        <v>2</v>
      </c>
      <c r="J26" s="12"/>
    </row>
    <row r="27" spans="2:31" x14ac:dyDescent="0.2">
      <c r="E27" s="11" t="s">
        <v>238</v>
      </c>
      <c r="F27" s="11">
        <v>1</v>
      </c>
      <c r="J27" s="12"/>
    </row>
    <row r="28" spans="2:31" ht="15" x14ac:dyDescent="0.25">
      <c r="E28" s="14" t="s">
        <v>217</v>
      </c>
      <c r="F28" s="14">
        <v>67</v>
      </c>
      <c r="H28" s="9" t="s">
        <v>216</v>
      </c>
      <c r="I28" t="s">
        <v>228</v>
      </c>
      <c r="J28" s="12"/>
      <c r="K28" t="s">
        <v>216</v>
      </c>
      <c r="L28" t="s">
        <v>228</v>
      </c>
    </row>
    <row r="29" spans="2:31" ht="15" x14ac:dyDescent="0.25">
      <c r="E29" s="14"/>
      <c r="F29" s="14"/>
      <c r="H29" s="10" t="s">
        <v>112</v>
      </c>
      <c r="I29" s="12">
        <v>6800000</v>
      </c>
      <c r="J29" s="12"/>
      <c r="K29" s="12" t="s">
        <v>112</v>
      </c>
      <c r="L29" s="12">
        <v>6800000</v>
      </c>
    </row>
    <row r="30" spans="2:31" x14ac:dyDescent="0.2">
      <c r="H30" s="10" t="s">
        <v>35</v>
      </c>
      <c r="I30" s="12">
        <v>0</v>
      </c>
      <c r="J30" s="12"/>
      <c r="K30" s="12" t="s">
        <v>35</v>
      </c>
      <c r="L30" s="12">
        <v>15000000</v>
      </c>
    </row>
    <row r="31" spans="2:31" x14ac:dyDescent="0.2">
      <c r="H31" s="10" t="s">
        <v>184</v>
      </c>
      <c r="I31" s="12">
        <v>14000000</v>
      </c>
      <c r="J31" s="12"/>
      <c r="K31" s="12" t="s">
        <v>200</v>
      </c>
      <c r="L31" s="12">
        <v>0</v>
      </c>
    </row>
    <row r="32" spans="2:31" x14ac:dyDescent="0.2">
      <c r="D32" s="11"/>
      <c r="H32" s="10" t="s">
        <v>166</v>
      </c>
      <c r="I32" s="12">
        <v>9249972</v>
      </c>
      <c r="J32" s="12"/>
      <c r="K32" s="12" t="s">
        <v>184</v>
      </c>
      <c r="L32" s="12">
        <v>14000000</v>
      </c>
    </row>
    <row r="33" spans="2:12" x14ac:dyDescent="0.2">
      <c r="D33" s="11"/>
      <c r="H33" s="10" t="s">
        <v>17</v>
      </c>
      <c r="I33" s="12">
        <v>12300000</v>
      </c>
      <c r="J33" s="12"/>
      <c r="K33" s="12" t="s">
        <v>166</v>
      </c>
      <c r="L33" s="12">
        <v>9249972</v>
      </c>
    </row>
    <row r="34" spans="2:12" x14ac:dyDescent="0.2">
      <c r="B34" s="9" t="s">
        <v>243</v>
      </c>
      <c r="C34" t="s">
        <v>226</v>
      </c>
      <c r="D34" s="11"/>
      <c r="E34" t="s">
        <v>243</v>
      </c>
      <c r="F34" t="s">
        <v>226</v>
      </c>
      <c r="H34" s="10" t="s">
        <v>42</v>
      </c>
      <c r="I34" s="12">
        <v>6000000</v>
      </c>
      <c r="J34" s="12"/>
      <c r="K34" s="12" t="s">
        <v>17</v>
      </c>
      <c r="L34" s="12">
        <v>18300000</v>
      </c>
    </row>
    <row r="35" spans="2:12" x14ac:dyDescent="0.2">
      <c r="B35" s="10" t="s">
        <v>112</v>
      </c>
      <c r="C35" s="11">
        <v>2</v>
      </c>
      <c r="D35" s="11"/>
      <c r="E35" s="11" t="s">
        <v>112</v>
      </c>
      <c r="F35" s="11">
        <v>4</v>
      </c>
      <c r="H35" s="10" t="s">
        <v>44</v>
      </c>
      <c r="I35" s="12">
        <v>0</v>
      </c>
      <c r="J35" s="12"/>
      <c r="K35" s="12" t="s">
        <v>42</v>
      </c>
      <c r="L35" s="12">
        <v>523951493</v>
      </c>
    </row>
    <row r="36" spans="2:12" x14ac:dyDescent="0.2">
      <c r="B36" s="10" t="s">
        <v>35</v>
      </c>
      <c r="C36" s="11">
        <v>1</v>
      </c>
      <c r="D36" s="11"/>
      <c r="E36" s="11" t="s">
        <v>35</v>
      </c>
      <c r="F36" s="11">
        <v>5</v>
      </c>
      <c r="H36" s="10" t="s">
        <v>61</v>
      </c>
      <c r="I36" s="12">
        <v>0</v>
      </c>
      <c r="J36" s="12"/>
      <c r="K36" s="12" t="s">
        <v>44</v>
      </c>
      <c r="L36" s="12">
        <v>0</v>
      </c>
    </row>
    <row r="37" spans="2:12" x14ac:dyDescent="0.2">
      <c r="B37" s="10" t="s">
        <v>184</v>
      </c>
      <c r="C37" s="11">
        <v>1</v>
      </c>
      <c r="D37" s="11"/>
      <c r="E37" s="11" t="s">
        <v>200</v>
      </c>
      <c r="F37" s="11">
        <v>1</v>
      </c>
      <c r="H37" s="10" t="s">
        <v>134</v>
      </c>
      <c r="I37" s="12">
        <v>0</v>
      </c>
      <c r="J37" s="12"/>
      <c r="K37" s="12" t="s">
        <v>96</v>
      </c>
      <c r="L37" s="12">
        <v>0</v>
      </c>
    </row>
    <row r="38" spans="2:12" x14ac:dyDescent="0.2">
      <c r="B38" s="10" t="s">
        <v>166</v>
      </c>
      <c r="C38" s="11">
        <v>2</v>
      </c>
      <c r="D38" s="11"/>
      <c r="E38" s="11" t="s">
        <v>184</v>
      </c>
      <c r="F38" s="11">
        <v>1</v>
      </c>
      <c r="H38" s="10" t="s">
        <v>23</v>
      </c>
      <c r="I38" s="12">
        <v>8000000</v>
      </c>
      <c r="J38" s="12"/>
      <c r="K38" s="12" t="s">
        <v>61</v>
      </c>
      <c r="L38" s="12">
        <v>0</v>
      </c>
    </row>
    <row r="39" spans="2:12" x14ac:dyDescent="0.2">
      <c r="B39" s="10" t="s">
        <v>17</v>
      </c>
      <c r="C39" s="11">
        <v>4</v>
      </c>
      <c r="D39" s="11"/>
      <c r="E39" s="11" t="s">
        <v>166</v>
      </c>
      <c r="F39" s="11">
        <v>2</v>
      </c>
      <c r="H39" s="10" t="s">
        <v>204</v>
      </c>
      <c r="I39" s="12">
        <v>15000000</v>
      </c>
      <c r="J39" s="12"/>
      <c r="K39" s="12" t="s">
        <v>88</v>
      </c>
      <c r="L39" s="12">
        <v>0</v>
      </c>
    </row>
    <row r="40" spans="2:12" x14ac:dyDescent="0.2">
      <c r="B40" s="10" t="s">
        <v>42</v>
      </c>
      <c r="C40" s="11">
        <v>3</v>
      </c>
      <c r="D40" s="11"/>
      <c r="E40" s="11" t="s">
        <v>17</v>
      </c>
      <c r="F40" s="11">
        <v>6</v>
      </c>
      <c r="H40" s="10" t="s">
        <v>164</v>
      </c>
      <c r="I40" s="12">
        <v>10200000</v>
      </c>
      <c r="J40" s="12"/>
      <c r="K40" s="12" t="s">
        <v>134</v>
      </c>
      <c r="L40" s="12">
        <v>0</v>
      </c>
    </row>
    <row r="41" spans="2:12" x14ac:dyDescent="0.2">
      <c r="B41" s="10" t="s">
        <v>44</v>
      </c>
      <c r="C41" s="11">
        <v>2</v>
      </c>
      <c r="D41" s="11"/>
      <c r="E41" s="11" t="s">
        <v>42</v>
      </c>
      <c r="F41" s="11">
        <v>6</v>
      </c>
      <c r="H41" s="10" t="s">
        <v>105</v>
      </c>
      <c r="I41" s="12">
        <v>10500000</v>
      </c>
      <c r="J41" s="12"/>
      <c r="K41" s="12" t="s">
        <v>23</v>
      </c>
      <c r="L41" s="12">
        <v>12050000</v>
      </c>
    </row>
    <row r="42" spans="2:12" x14ac:dyDescent="0.2">
      <c r="B42" s="10" t="s">
        <v>61</v>
      </c>
      <c r="C42" s="11">
        <v>1</v>
      </c>
      <c r="D42" s="11"/>
      <c r="E42" s="11" t="s">
        <v>44</v>
      </c>
      <c r="F42" s="11">
        <v>2</v>
      </c>
      <c r="H42" s="10" t="s">
        <v>48</v>
      </c>
      <c r="I42" s="12">
        <v>0</v>
      </c>
      <c r="J42" s="12"/>
      <c r="K42" s="12" t="s">
        <v>204</v>
      </c>
      <c r="L42" s="12">
        <v>15000000</v>
      </c>
    </row>
    <row r="43" spans="2:12" x14ac:dyDescent="0.2">
      <c r="B43" s="10" t="s">
        <v>134</v>
      </c>
      <c r="C43" s="11">
        <v>1</v>
      </c>
      <c r="D43" s="11"/>
      <c r="E43" s="11" t="s">
        <v>96</v>
      </c>
      <c r="F43" s="11">
        <v>1</v>
      </c>
      <c r="H43" s="10" t="s">
        <v>239</v>
      </c>
      <c r="I43" s="12">
        <v>14000000</v>
      </c>
      <c r="J43" s="12"/>
      <c r="K43" s="12" t="s">
        <v>164</v>
      </c>
      <c r="L43" s="12">
        <v>10200000</v>
      </c>
    </row>
    <row r="44" spans="2:12" x14ac:dyDescent="0.2">
      <c r="B44" s="10" t="s">
        <v>23</v>
      </c>
      <c r="C44" s="11">
        <v>4</v>
      </c>
      <c r="D44" s="11"/>
      <c r="E44" s="11" t="s">
        <v>61</v>
      </c>
      <c r="F44" s="11">
        <v>1</v>
      </c>
      <c r="H44" s="10" t="s">
        <v>217</v>
      </c>
      <c r="I44" s="12">
        <v>106049972</v>
      </c>
      <c r="J44" s="12"/>
      <c r="K44" s="12" t="s">
        <v>105</v>
      </c>
      <c r="L44" s="12">
        <v>10500000</v>
      </c>
    </row>
    <row r="45" spans="2:12" x14ac:dyDescent="0.2">
      <c r="B45" s="10" t="s">
        <v>204</v>
      </c>
      <c r="C45" s="11">
        <v>1</v>
      </c>
      <c r="D45" s="11"/>
      <c r="E45" s="11" t="s">
        <v>88</v>
      </c>
      <c r="F45" s="11">
        <v>1</v>
      </c>
      <c r="K45" s="12" t="s">
        <v>48</v>
      </c>
      <c r="L45" s="12">
        <v>0</v>
      </c>
    </row>
    <row r="46" spans="2:12" x14ac:dyDescent="0.2">
      <c r="B46" s="10" t="s">
        <v>164</v>
      </c>
      <c r="C46" s="11">
        <v>1</v>
      </c>
      <c r="D46" s="11"/>
      <c r="E46" s="11" t="s">
        <v>134</v>
      </c>
      <c r="F46" s="11">
        <v>3</v>
      </c>
      <c r="K46" s="12" t="s">
        <v>239</v>
      </c>
      <c r="L46" s="12">
        <v>14000000</v>
      </c>
    </row>
    <row r="47" spans="2:12" ht="15" x14ac:dyDescent="0.25">
      <c r="B47" s="10" t="s">
        <v>105</v>
      </c>
      <c r="C47" s="11">
        <v>2</v>
      </c>
      <c r="D47" s="11"/>
      <c r="E47" s="11" t="s">
        <v>23</v>
      </c>
      <c r="F47" s="11">
        <v>10</v>
      </c>
      <c r="K47" s="17" t="s">
        <v>217</v>
      </c>
      <c r="L47" s="17">
        <v>649051465</v>
      </c>
    </row>
    <row r="48" spans="2:12" x14ac:dyDescent="0.2">
      <c r="B48" s="10" t="s">
        <v>48</v>
      </c>
      <c r="C48" s="11">
        <v>3</v>
      </c>
      <c r="D48" s="11"/>
      <c r="E48" s="11" t="s">
        <v>204</v>
      </c>
      <c r="F48" s="11">
        <v>4</v>
      </c>
    </row>
    <row r="49" spans="2:12" x14ac:dyDescent="0.2">
      <c r="B49" s="10" t="s">
        <v>239</v>
      </c>
      <c r="C49" s="11">
        <v>1</v>
      </c>
      <c r="D49" s="11"/>
      <c r="E49" s="11" t="s">
        <v>164</v>
      </c>
      <c r="F49" s="11">
        <v>4</v>
      </c>
    </row>
    <row r="50" spans="2:12" x14ac:dyDescent="0.2">
      <c r="B50" s="10" t="s">
        <v>217</v>
      </c>
      <c r="C50" s="11">
        <v>29</v>
      </c>
      <c r="D50" s="11"/>
      <c r="E50" s="11" t="s">
        <v>105</v>
      </c>
      <c r="F50" s="11">
        <v>4</v>
      </c>
    </row>
    <row r="51" spans="2:12" x14ac:dyDescent="0.2">
      <c r="E51" s="11" t="s">
        <v>48</v>
      </c>
      <c r="F51" s="11">
        <v>11</v>
      </c>
      <c r="H51" s="9" t="s">
        <v>216</v>
      </c>
      <c r="I51" t="s">
        <v>229</v>
      </c>
      <c r="K51" t="s">
        <v>247</v>
      </c>
      <c r="L51" t="s">
        <v>229</v>
      </c>
    </row>
    <row r="52" spans="2:12" x14ac:dyDescent="0.2">
      <c r="E52" s="11" t="s">
        <v>239</v>
      </c>
      <c r="F52" s="11">
        <v>1</v>
      </c>
      <c r="H52" s="10" t="s">
        <v>24</v>
      </c>
      <c r="I52" s="11">
        <v>29</v>
      </c>
      <c r="K52" t="s">
        <v>24</v>
      </c>
      <c r="L52">
        <v>29</v>
      </c>
    </row>
    <row r="53" spans="2:12" ht="15" x14ac:dyDescent="0.25">
      <c r="E53" s="14" t="s">
        <v>217</v>
      </c>
      <c r="F53" s="14">
        <v>67</v>
      </c>
      <c r="H53" s="10" t="s">
        <v>217</v>
      </c>
      <c r="I53" s="11">
        <v>29</v>
      </c>
      <c r="K53" t="s">
        <v>18</v>
      </c>
      <c r="L53">
        <v>2</v>
      </c>
    </row>
    <row r="54" spans="2:12" x14ac:dyDescent="0.2">
      <c r="D54" s="12"/>
      <c r="K54" t="s">
        <v>30</v>
      </c>
      <c r="L54">
        <v>36</v>
      </c>
    </row>
    <row r="55" spans="2:12" ht="15" x14ac:dyDescent="0.25">
      <c r="D55" s="12"/>
      <c r="K55" s="15" t="s">
        <v>217</v>
      </c>
      <c r="L55" s="15">
        <v>67</v>
      </c>
    </row>
    <row r="56" spans="2:12" x14ac:dyDescent="0.2">
      <c r="D56" s="12"/>
    </row>
    <row r="57" spans="2:12" x14ac:dyDescent="0.2">
      <c r="D57" s="12"/>
    </row>
    <row r="58" spans="2:12" x14ac:dyDescent="0.2">
      <c r="B58" s="9" t="s">
        <v>244</v>
      </c>
      <c r="C58" t="s">
        <v>227</v>
      </c>
      <c r="D58" s="12"/>
      <c r="E58" t="s">
        <v>244</v>
      </c>
      <c r="F58" s="7" t="s">
        <v>227</v>
      </c>
    </row>
    <row r="59" spans="2:12" x14ac:dyDescent="0.2">
      <c r="B59" s="10" t="s">
        <v>223</v>
      </c>
      <c r="C59" s="12">
        <v>16433519</v>
      </c>
      <c r="D59" s="12"/>
      <c r="E59" t="s">
        <v>223</v>
      </c>
      <c r="F59" s="7">
        <v>38905200</v>
      </c>
    </row>
    <row r="60" spans="2:12" x14ac:dyDescent="0.2">
      <c r="B60" s="10" t="s">
        <v>221</v>
      </c>
      <c r="C60" s="12">
        <v>19783933</v>
      </c>
      <c r="D60" s="12"/>
      <c r="E60" t="s">
        <v>221</v>
      </c>
      <c r="F60" s="7">
        <v>30627927</v>
      </c>
    </row>
    <row r="61" spans="2:12" x14ac:dyDescent="0.2">
      <c r="B61" s="10" t="s">
        <v>220</v>
      </c>
      <c r="C61" s="12">
        <v>663826271</v>
      </c>
      <c r="D61" s="12"/>
      <c r="E61" t="s">
        <v>220</v>
      </c>
      <c r="F61" s="7">
        <v>718853661</v>
      </c>
    </row>
    <row r="62" spans="2:12" x14ac:dyDescent="0.2">
      <c r="B62" s="10" t="s">
        <v>224</v>
      </c>
      <c r="C62" s="12">
        <v>1913732030</v>
      </c>
      <c r="D62" s="12"/>
      <c r="E62" t="s">
        <v>224</v>
      </c>
      <c r="F62" s="7">
        <v>2353732030</v>
      </c>
    </row>
    <row r="63" spans="2:12" x14ac:dyDescent="0.2">
      <c r="B63" s="10" t="s">
        <v>219</v>
      </c>
      <c r="C63" s="12">
        <v>83377146</v>
      </c>
      <c r="D63" s="12"/>
      <c r="E63" t="s">
        <v>222</v>
      </c>
      <c r="F63" s="7">
        <v>310946561</v>
      </c>
      <c r="H63" s="9" t="s">
        <v>216</v>
      </c>
      <c r="I63" t="s">
        <v>227</v>
      </c>
      <c r="K63" t="s">
        <v>248</v>
      </c>
      <c r="L63" t="s">
        <v>227</v>
      </c>
    </row>
    <row r="64" spans="2:12" x14ac:dyDescent="0.2">
      <c r="B64" s="10" t="s">
        <v>230</v>
      </c>
      <c r="C64" s="12">
        <v>2755090</v>
      </c>
      <c r="D64" s="12"/>
      <c r="E64" t="s">
        <v>225</v>
      </c>
      <c r="F64" s="7">
        <v>1006860511</v>
      </c>
      <c r="H64" s="10" t="s">
        <v>24</v>
      </c>
      <c r="I64" s="12">
        <v>3167990503</v>
      </c>
      <c r="K64" t="s">
        <v>24</v>
      </c>
      <c r="L64" s="7">
        <v>2765377285</v>
      </c>
    </row>
    <row r="65" spans="2:12" x14ac:dyDescent="0.2">
      <c r="B65" s="10" t="s">
        <v>232</v>
      </c>
      <c r="C65" s="12">
        <v>144659794</v>
      </c>
      <c r="D65" s="12"/>
      <c r="E65" t="s">
        <v>219</v>
      </c>
      <c r="F65" s="7">
        <v>153397706</v>
      </c>
      <c r="H65" s="10" t="s">
        <v>217</v>
      </c>
      <c r="I65" s="12">
        <v>3167990503</v>
      </c>
      <c r="K65" t="s">
        <v>18</v>
      </c>
      <c r="L65" s="7">
        <v>170873686</v>
      </c>
    </row>
    <row r="66" spans="2:12" x14ac:dyDescent="0.2">
      <c r="B66" s="10" t="s">
        <v>234</v>
      </c>
      <c r="C66" s="12">
        <v>40800000</v>
      </c>
      <c r="D66" s="12"/>
      <c r="E66" t="s">
        <v>230</v>
      </c>
      <c r="F66" s="7">
        <v>2755090</v>
      </c>
      <c r="K66" t="s">
        <v>30</v>
      </c>
      <c r="L66" s="7">
        <v>3896214085</v>
      </c>
    </row>
    <row r="67" spans="2:12" ht="15" x14ac:dyDescent="0.25">
      <c r="B67" s="10" t="s">
        <v>235</v>
      </c>
      <c r="C67" s="12">
        <v>117622720</v>
      </c>
      <c r="D67" s="12"/>
      <c r="E67" t="s">
        <v>231</v>
      </c>
      <c r="F67" s="7">
        <v>160425000</v>
      </c>
      <c r="K67" s="15" t="s">
        <v>217</v>
      </c>
      <c r="L67" s="16">
        <v>6832465056</v>
      </c>
    </row>
    <row r="68" spans="2:12" x14ac:dyDescent="0.2">
      <c r="B68" s="10" t="s">
        <v>236</v>
      </c>
      <c r="C68" s="12">
        <v>165000000</v>
      </c>
      <c r="D68" s="12"/>
      <c r="E68" t="s">
        <v>232</v>
      </c>
      <c r="F68" s="7">
        <v>136739093</v>
      </c>
    </row>
    <row r="69" spans="2:12" x14ac:dyDescent="0.2">
      <c r="B69" s="10" t="s">
        <v>217</v>
      </c>
      <c r="C69" s="12">
        <v>3167990503</v>
      </c>
      <c r="D69" s="12"/>
      <c r="E69" t="s">
        <v>233</v>
      </c>
      <c r="F69" s="7">
        <v>1028356000</v>
      </c>
    </row>
    <row r="70" spans="2:12" x14ac:dyDescent="0.2">
      <c r="D70" s="12"/>
      <c r="E70" t="s">
        <v>234</v>
      </c>
      <c r="F70" s="7">
        <v>240066000</v>
      </c>
    </row>
    <row r="71" spans="2:12" x14ac:dyDescent="0.2">
      <c r="E71" t="s">
        <v>235</v>
      </c>
      <c r="F71" s="7">
        <v>117622720</v>
      </c>
    </row>
    <row r="72" spans="2:12" x14ac:dyDescent="0.2">
      <c r="E72" t="s">
        <v>236</v>
      </c>
      <c r="F72" s="7">
        <v>255000000</v>
      </c>
    </row>
    <row r="73" spans="2:12" x14ac:dyDescent="0.2">
      <c r="E73" t="s">
        <v>237</v>
      </c>
      <c r="F73" s="7">
        <v>108177557</v>
      </c>
    </row>
    <row r="74" spans="2:12" x14ac:dyDescent="0.2">
      <c r="E74" t="s">
        <v>238</v>
      </c>
      <c r="F74" s="7">
        <v>170000000</v>
      </c>
    </row>
    <row r="75" spans="2:12" ht="15" x14ac:dyDescent="0.25">
      <c r="E75" s="15" t="s">
        <v>217</v>
      </c>
      <c r="F75" s="16">
        <v>6832465056</v>
      </c>
    </row>
  </sheetData>
  <pageMargins left="0.7" right="0.7" top="0.75" bottom="0.75" header="0.3" footer="0.3"/>
  <pageSetup orientation="portrait" r:id="rId10"/>
  <drawing r:id="rId11"/>
  <tableParts count="8"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V50"/>
  <sheetViews>
    <sheetView showGridLines="0" zoomScale="53" zoomScaleNormal="53" workbookViewId="0">
      <selection activeCell="AA13" sqref="AA13"/>
    </sheetView>
  </sheetViews>
  <sheetFormatPr baseColWidth="10" defaultRowHeight="14.25" x14ac:dyDescent="0.2"/>
  <cols>
    <col min="1" max="20" width="11" style="13"/>
    <col min="21" max="21" width="7.625" style="13" customWidth="1"/>
    <col min="22" max="16384" width="11" style="13"/>
  </cols>
  <sheetData>
    <row r="50" spans="22:22" x14ac:dyDescent="0.2">
      <c r="V50" s="13" t="s">
        <v>249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showGridLines="0" topLeftCell="A10" zoomScale="90" zoomScaleNormal="90" workbookViewId="0">
      <selection activeCell="J2" sqref="J2"/>
    </sheetView>
  </sheetViews>
  <sheetFormatPr baseColWidth="10" defaultRowHeight="14.25" x14ac:dyDescent="0.2"/>
  <cols>
    <col min="1" max="1" width="16.5" customWidth="1"/>
    <col min="2" max="2" width="33.375" customWidth="1"/>
    <col min="3" max="3" width="15.125" customWidth="1"/>
    <col min="4" max="4" width="14.375" customWidth="1"/>
    <col min="5" max="5" width="3.75" customWidth="1"/>
    <col min="6" max="6" width="0.875" customWidth="1"/>
    <col min="7" max="7" width="1.5" customWidth="1"/>
    <col min="8" max="8" width="38.5" bestFit="1" customWidth="1"/>
    <col min="9" max="9" width="15.125" customWidth="1"/>
    <col min="10" max="10" width="14.375" bestFit="1" customWidth="1"/>
    <col min="11" max="24" width="7.875" customWidth="1"/>
    <col min="25" max="37" width="8.875" customWidth="1"/>
    <col min="38" max="59" width="9.875" customWidth="1"/>
    <col min="60" max="60" width="10.875" customWidth="1"/>
    <col min="61" max="61" width="3.5" customWidth="1"/>
    <col min="62" max="62" width="12.625" bestFit="1" customWidth="1"/>
  </cols>
  <sheetData>
    <row r="1" spans="2:10" ht="38.25" customHeight="1" thickBot="1" x14ac:dyDescent="0.25"/>
    <row r="2" spans="2:10" ht="15.75" thickBot="1" x14ac:dyDescent="0.3">
      <c r="B2" s="103" t="s">
        <v>10</v>
      </c>
      <c r="C2" s="104" t="s">
        <v>24</v>
      </c>
      <c r="H2" s="116" t="s">
        <v>10</v>
      </c>
      <c r="I2" s="116" t="s">
        <v>24</v>
      </c>
    </row>
    <row r="3" spans="2:10" ht="15" thickBot="1" x14ac:dyDescent="0.25"/>
    <row r="4" spans="2:10" ht="15.75" thickBot="1" x14ac:dyDescent="0.3">
      <c r="B4" s="114" t="s">
        <v>290</v>
      </c>
      <c r="C4" s="92" t="s">
        <v>291</v>
      </c>
      <c r="D4" s="94" t="s">
        <v>288</v>
      </c>
      <c r="H4" s="115" t="s">
        <v>289</v>
      </c>
      <c r="I4" s="115" t="s">
        <v>291</v>
      </c>
      <c r="J4" s="107" t="s">
        <v>293</v>
      </c>
    </row>
    <row r="5" spans="2:10" ht="15" x14ac:dyDescent="0.25">
      <c r="B5" s="102" t="s">
        <v>235</v>
      </c>
      <c r="C5" s="98">
        <v>2</v>
      </c>
      <c r="D5" s="99">
        <v>117622720</v>
      </c>
      <c r="H5" s="108" t="s">
        <v>112</v>
      </c>
      <c r="I5" s="106">
        <v>2</v>
      </c>
      <c r="J5" s="107">
        <v>279262815</v>
      </c>
    </row>
    <row r="6" spans="2:10" ht="15" x14ac:dyDescent="0.25">
      <c r="B6" s="105" t="s">
        <v>223</v>
      </c>
      <c r="C6" s="100">
        <v>2</v>
      </c>
      <c r="D6" s="101">
        <v>16433519</v>
      </c>
      <c r="H6" s="108" t="s">
        <v>35</v>
      </c>
      <c r="I6" s="106">
        <v>1</v>
      </c>
      <c r="J6" s="107">
        <v>10559833</v>
      </c>
    </row>
    <row r="7" spans="2:10" ht="15" x14ac:dyDescent="0.25">
      <c r="B7" s="105" t="s">
        <v>221</v>
      </c>
      <c r="C7" s="100">
        <v>2</v>
      </c>
      <c r="D7" s="101">
        <v>19783933</v>
      </c>
      <c r="H7" s="108" t="s">
        <v>184</v>
      </c>
      <c r="I7" s="106">
        <v>1</v>
      </c>
      <c r="J7" s="107">
        <v>280000000</v>
      </c>
    </row>
    <row r="8" spans="2:10" ht="15" x14ac:dyDescent="0.25">
      <c r="B8" s="105" t="s">
        <v>230</v>
      </c>
      <c r="C8" s="100">
        <v>1</v>
      </c>
      <c r="D8" s="101">
        <v>2755090</v>
      </c>
      <c r="H8" s="108" t="s">
        <v>166</v>
      </c>
      <c r="I8" s="106">
        <v>2</v>
      </c>
      <c r="J8" s="107">
        <v>171900000</v>
      </c>
    </row>
    <row r="9" spans="2:10" ht="15" x14ac:dyDescent="0.25">
      <c r="B9" s="105" t="s">
        <v>220</v>
      </c>
      <c r="C9" s="100">
        <v>6</v>
      </c>
      <c r="D9" s="101">
        <v>663826271</v>
      </c>
      <c r="H9" s="108" t="s">
        <v>17</v>
      </c>
      <c r="I9" s="106">
        <v>4</v>
      </c>
      <c r="J9" s="107">
        <v>230006134</v>
      </c>
    </row>
    <row r="10" spans="2:10" ht="15" x14ac:dyDescent="0.25">
      <c r="B10" s="105" t="s">
        <v>234</v>
      </c>
      <c r="C10" s="100">
        <v>1</v>
      </c>
      <c r="D10" s="101">
        <v>40800000</v>
      </c>
      <c r="H10" s="108" t="s">
        <v>42</v>
      </c>
      <c r="I10" s="106">
        <v>3</v>
      </c>
      <c r="J10" s="107">
        <v>339624480</v>
      </c>
    </row>
    <row r="11" spans="2:10" ht="15" x14ac:dyDescent="0.25">
      <c r="B11" s="105" t="s">
        <v>224</v>
      </c>
      <c r="C11" s="100">
        <v>9</v>
      </c>
      <c r="D11" s="101">
        <v>1913732030</v>
      </c>
      <c r="H11" s="108" t="s">
        <v>44</v>
      </c>
      <c r="I11" s="106">
        <v>2</v>
      </c>
      <c r="J11" s="107">
        <v>150570402</v>
      </c>
    </row>
    <row r="12" spans="2:10" ht="15" x14ac:dyDescent="0.25">
      <c r="B12" s="105" t="s">
        <v>232</v>
      </c>
      <c r="C12" s="100">
        <v>1</v>
      </c>
      <c r="D12" s="101">
        <v>144659794</v>
      </c>
      <c r="H12" s="108" t="s">
        <v>61</v>
      </c>
      <c r="I12" s="106">
        <v>1</v>
      </c>
      <c r="J12" s="107">
        <v>3245700</v>
      </c>
    </row>
    <row r="13" spans="2:10" ht="15" x14ac:dyDescent="0.25">
      <c r="B13" s="105" t="s">
        <v>236</v>
      </c>
      <c r="C13" s="100">
        <v>1</v>
      </c>
      <c r="D13" s="101">
        <v>165000000</v>
      </c>
      <c r="H13" s="108" t="s">
        <v>134</v>
      </c>
      <c r="I13" s="106">
        <v>1</v>
      </c>
      <c r="J13" s="107">
        <v>14814720</v>
      </c>
    </row>
    <row r="14" spans="2:10" ht="15.75" thickBot="1" x14ac:dyDescent="0.3">
      <c r="B14" s="96" t="s">
        <v>219</v>
      </c>
      <c r="C14" s="100">
        <v>7</v>
      </c>
      <c r="D14" s="101">
        <v>136265727</v>
      </c>
      <c r="H14" s="108" t="s">
        <v>23</v>
      </c>
      <c r="I14" s="106">
        <v>4</v>
      </c>
      <c r="J14" s="107">
        <v>397943939</v>
      </c>
    </row>
    <row r="15" spans="2:10" ht="15.75" thickBot="1" x14ac:dyDescent="0.3">
      <c r="B15" s="91" t="s">
        <v>217</v>
      </c>
      <c r="C15" s="95">
        <v>32</v>
      </c>
      <c r="D15" s="93">
        <v>3220879084</v>
      </c>
      <c r="H15" s="108" t="s">
        <v>204</v>
      </c>
      <c r="I15" s="106">
        <v>3</v>
      </c>
      <c r="J15" s="107">
        <v>289638581</v>
      </c>
    </row>
    <row r="16" spans="2:10" ht="15" x14ac:dyDescent="0.25">
      <c r="H16" s="108" t="s">
        <v>239</v>
      </c>
      <c r="I16" s="106">
        <v>1</v>
      </c>
      <c r="J16" s="107">
        <v>280000000</v>
      </c>
    </row>
    <row r="17" spans="2:10" ht="15" x14ac:dyDescent="0.25">
      <c r="H17" s="108" t="s">
        <v>164</v>
      </c>
      <c r="I17" s="106">
        <v>2</v>
      </c>
      <c r="J17" s="107">
        <v>247159000</v>
      </c>
    </row>
    <row r="18" spans="2:10" ht="15" x14ac:dyDescent="0.25">
      <c r="H18" s="108" t="s">
        <v>105</v>
      </c>
      <c r="I18" s="106">
        <v>2</v>
      </c>
      <c r="J18" s="107">
        <v>227120000</v>
      </c>
    </row>
    <row r="19" spans="2:10" ht="15.75" thickBot="1" x14ac:dyDescent="0.3">
      <c r="H19" s="108" t="s">
        <v>48</v>
      </c>
      <c r="I19" s="106">
        <v>3</v>
      </c>
      <c r="J19" s="107">
        <v>299033480</v>
      </c>
    </row>
    <row r="20" spans="2:10" ht="15.75" thickBot="1" x14ac:dyDescent="0.3">
      <c r="B20" s="117" t="s">
        <v>10</v>
      </c>
      <c r="C20" s="118" t="s">
        <v>24</v>
      </c>
      <c r="H20" s="108" t="s">
        <v>217</v>
      </c>
      <c r="I20" s="106">
        <v>32</v>
      </c>
      <c r="J20" s="107">
        <v>3220879084</v>
      </c>
    </row>
    <row r="21" spans="2:10" ht="15" thickBot="1" x14ac:dyDescent="0.25"/>
    <row r="22" spans="2:10" ht="15" thickBot="1" x14ac:dyDescent="0.25">
      <c r="B22" s="97" t="s">
        <v>0</v>
      </c>
      <c r="C22" s="89" t="s">
        <v>291</v>
      </c>
      <c r="D22" s="90" t="s">
        <v>292</v>
      </c>
    </row>
    <row r="23" spans="2:10" ht="15" x14ac:dyDescent="0.25">
      <c r="B23" s="102" t="s">
        <v>194</v>
      </c>
      <c r="C23" s="98">
        <v>3</v>
      </c>
      <c r="D23" s="99">
        <v>52888581</v>
      </c>
    </row>
    <row r="24" spans="2:10" ht="15.75" thickBot="1" x14ac:dyDescent="0.3">
      <c r="B24" s="96" t="s">
        <v>14</v>
      </c>
      <c r="C24" s="100">
        <v>29</v>
      </c>
      <c r="D24" s="101">
        <v>3167990503</v>
      </c>
    </row>
    <row r="25" spans="2:10" ht="15.75" thickBot="1" x14ac:dyDescent="0.3">
      <c r="B25" s="91" t="s">
        <v>217</v>
      </c>
      <c r="C25" s="95">
        <v>32</v>
      </c>
      <c r="D25" s="93">
        <v>3220879084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1"/>
  <sheetViews>
    <sheetView zoomScale="80" zoomScaleNormal="80" workbookViewId="0">
      <selection activeCell="I3" sqref="I3:N61"/>
    </sheetView>
  </sheetViews>
  <sheetFormatPr baseColWidth="10" defaultColWidth="95.125" defaultRowHeight="14.25" x14ac:dyDescent="0.2"/>
  <cols>
    <col min="4" max="4" width="21.375" bestFit="1" customWidth="1"/>
    <col min="5" max="5" width="17.25" bestFit="1" customWidth="1"/>
    <col min="6" max="6" width="24.375" bestFit="1" customWidth="1"/>
    <col min="7" max="7" width="42.75" bestFit="1" customWidth="1"/>
    <col min="8" max="8" width="5.125" customWidth="1"/>
    <col min="9" max="9" width="48.875" customWidth="1"/>
    <col min="10" max="10" width="18.875" customWidth="1"/>
    <col min="11" max="11" width="20.5" customWidth="1"/>
    <col min="12" max="12" width="11.25" customWidth="1"/>
    <col min="13" max="13" width="12.5" customWidth="1"/>
    <col min="14" max="14" width="13.125" customWidth="1"/>
  </cols>
  <sheetData>
    <row r="1" spans="2:14" ht="15.75" thickBot="1" x14ac:dyDescent="0.3">
      <c r="I1" s="24" t="s">
        <v>281</v>
      </c>
    </row>
    <row r="2" spans="2:14" ht="15" x14ac:dyDescent="0.25">
      <c r="B2" s="24" t="s">
        <v>274</v>
      </c>
      <c r="I2" s="30"/>
      <c r="J2" s="30"/>
      <c r="K2" s="25"/>
      <c r="L2" s="119" t="s">
        <v>275</v>
      </c>
      <c r="M2" s="120"/>
      <c r="N2" s="121"/>
    </row>
    <row r="3" spans="2:14" ht="30" x14ac:dyDescent="0.2">
      <c r="B3" s="22" t="s">
        <v>250</v>
      </c>
      <c r="C3" s="22" t="s">
        <v>251</v>
      </c>
      <c r="D3" s="22" t="s">
        <v>252</v>
      </c>
      <c r="E3" s="22" t="s">
        <v>253</v>
      </c>
      <c r="F3" s="22" t="s">
        <v>254</v>
      </c>
      <c r="G3" s="22" t="s">
        <v>255</v>
      </c>
      <c r="I3" s="38" t="s">
        <v>276</v>
      </c>
      <c r="J3" s="39" t="s">
        <v>277</v>
      </c>
      <c r="K3" s="39" t="s">
        <v>252</v>
      </c>
      <c r="L3" s="39" t="s">
        <v>278</v>
      </c>
      <c r="M3" s="39" t="s">
        <v>279</v>
      </c>
      <c r="N3" s="40" t="s">
        <v>280</v>
      </c>
    </row>
    <row r="4" spans="2:14" ht="42.75" x14ac:dyDescent="0.2">
      <c r="B4" s="23" t="s">
        <v>256</v>
      </c>
      <c r="C4" s="23" t="s">
        <v>35</v>
      </c>
      <c r="D4" s="23" t="s">
        <v>257</v>
      </c>
      <c r="E4" s="21">
        <v>45944</v>
      </c>
      <c r="F4" s="23"/>
      <c r="G4" s="23" t="s">
        <v>273</v>
      </c>
      <c r="I4" s="33" t="s">
        <v>182</v>
      </c>
      <c r="J4" s="31" t="s">
        <v>164</v>
      </c>
      <c r="K4" s="31" t="s">
        <v>224</v>
      </c>
      <c r="L4" s="32">
        <v>45992</v>
      </c>
      <c r="M4" s="32">
        <v>47088</v>
      </c>
      <c r="N4" s="37"/>
    </row>
    <row r="5" spans="2:14" ht="57" x14ac:dyDescent="0.2">
      <c r="B5" s="23" t="s">
        <v>258</v>
      </c>
      <c r="C5" s="23" t="s">
        <v>134</v>
      </c>
      <c r="D5" s="23" t="s">
        <v>259</v>
      </c>
      <c r="E5" s="21">
        <v>45886</v>
      </c>
      <c r="F5" s="23"/>
      <c r="G5" s="23" t="s">
        <v>260</v>
      </c>
      <c r="I5" s="33" t="s">
        <v>183</v>
      </c>
      <c r="J5" s="31" t="s">
        <v>184</v>
      </c>
      <c r="K5" s="31" t="s">
        <v>224</v>
      </c>
      <c r="L5" s="32">
        <v>45992</v>
      </c>
      <c r="M5" s="32">
        <v>47088</v>
      </c>
      <c r="N5" s="37"/>
    </row>
    <row r="6" spans="2:14" ht="57" x14ac:dyDescent="0.2">
      <c r="B6" s="23" t="s">
        <v>261</v>
      </c>
      <c r="C6" s="23" t="s">
        <v>42</v>
      </c>
      <c r="D6" s="23" t="s">
        <v>259</v>
      </c>
      <c r="E6" s="21">
        <v>45874</v>
      </c>
      <c r="F6" s="23"/>
      <c r="G6" s="23" t="s">
        <v>262</v>
      </c>
      <c r="I6" s="33" t="s">
        <v>240</v>
      </c>
      <c r="J6" s="31" t="s">
        <v>239</v>
      </c>
      <c r="K6" s="31" t="s">
        <v>224</v>
      </c>
      <c r="L6" s="32">
        <v>45992</v>
      </c>
      <c r="M6" s="32">
        <v>47088</v>
      </c>
      <c r="N6" s="37"/>
    </row>
    <row r="7" spans="2:14" ht="42.75" x14ac:dyDescent="0.2">
      <c r="B7" s="23" t="s">
        <v>263</v>
      </c>
      <c r="C7" s="23" t="s">
        <v>112</v>
      </c>
      <c r="D7" s="23" t="s">
        <v>220</v>
      </c>
      <c r="E7" s="21">
        <v>45860</v>
      </c>
      <c r="F7" s="23"/>
      <c r="G7" s="23" t="s">
        <v>272</v>
      </c>
      <c r="I7" s="33" t="s">
        <v>209</v>
      </c>
      <c r="J7" s="31" t="s">
        <v>204</v>
      </c>
      <c r="K7" s="31" t="s">
        <v>224</v>
      </c>
      <c r="L7" s="32">
        <v>45992</v>
      </c>
      <c r="M7" s="32">
        <v>47088</v>
      </c>
      <c r="N7" s="37"/>
    </row>
    <row r="8" spans="2:14" ht="28.5" x14ac:dyDescent="0.2">
      <c r="B8" s="23" t="s">
        <v>264</v>
      </c>
      <c r="C8" s="23" t="s">
        <v>42</v>
      </c>
      <c r="D8" s="23" t="s">
        <v>220</v>
      </c>
      <c r="E8" s="21">
        <v>45860</v>
      </c>
      <c r="F8" s="23"/>
      <c r="G8" s="23" t="s">
        <v>271</v>
      </c>
      <c r="I8" s="33" t="s">
        <v>190</v>
      </c>
      <c r="J8" s="31" t="s">
        <v>48</v>
      </c>
      <c r="K8" s="31" t="s">
        <v>232</v>
      </c>
      <c r="L8" s="32">
        <v>45938</v>
      </c>
      <c r="M8" s="32">
        <v>46691</v>
      </c>
      <c r="N8" s="35"/>
    </row>
    <row r="9" spans="2:14" ht="42.75" x14ac:dyDescent="0.2">
      <c r="B9" s="23" t="s">
        <v>265</v>
      </c>
      <c r="C9" s="23" t="s">
        <v>23</v>
      </c>
      <c r="D9" s="23" t="s">
        <v>220</v>
      </c>
      <c r="E9" s="21">
        <v>45860</v>
      </c>
      <c r="F9" s="23"/>
      <c r="G9" s="23" t="s">
        <v>271</v>
      </c>
      <c r="I9" s="33" t="s">
        <v>186</v>
      </c>
      <c r="J9" s="31" t="s">
        <v>42</v>
      </c>
      <c r="K9" s="31" t="s">
        <v>236</v>
      </c>
      <c r="L9" s="32">
        <v>45912</v>
      </c>
      <c r="M9" s="32">
        <v>46855</v>
      </c>
      <c r="N9" s="36"/>
    </row>
    <row r="10" spans="2:14" ht="42.75" x14ac:dyDescent="0.2">
      <c r="B10" s="23" t="s">
        <v>266</v>
      </c>
      <c r="C10" s="23" t="s">
        <v>42</v>
      </c>
      <c r="D10" s="23" t="s">
        <v>268</v>
      </c>
      <c r="E10" s="21">
        <v>45832</v>
      </c>
      <c r="F10" s="23"/>
      <c r="G10" s="23" t="s">
        <v>262</v>
      </c>
      <c r="I10" s="33" t="s">
        <v>176</v>
      </c>
      <c r="J10" s="31" t="s">
        <v>23</v>
      </c>
      <c r="K10" s="31" t="s">
        <v>220</v>
      </c>
      <c r="L10" s="32">
        <v>45870</v>
      </c>
      <c r="M10" s="32">
        <v>46965</v>
      </c>
      <c r="N10" s="36"/>
    </row>
    <row r="11" spans="2:14" ht="57" x14ac:dyDescent="0.2">
      <c r="B11" s="23" t="s">
        <v>267</v>
      </c>
      <c r="C11" s="23" t="s">
        <v>134</v>
      </c>
      <c r="D11" s="23" t="s">
        <v>268</v>
      </c>
      <c r="E11" s="21">
        <v>45832</v>
      </c>
      <c r="F11" s="23"/>
      <c r="G11" s="23" t="s">
        <v>272</v>
      </c>
      <c r="I11" s="33" t="s">
        <v>180</v>
      </c>
      <c r="J11" s="31" t="s">
        <v>48</v>
      </c>
      <c r="K11" s="31" t="s">
        <v>223</v>
      </c>
      <c r="L11" s="32">
        <v>45860</v>
      </c>
      <c r="M11" s="32">
        <v>46022</v>
      </c>
      <c r="N11" s="35"/>
    </row>
    <row r="12" spans="2:14" ht="42.75" x14ac:dyDescent="0.2">
      <c r="B12" s="23" t="s">
        <v>269</v>
      </c>
      <c r="C12" s="23" t="s">
        <v>44</v>
      </c>
      <c r="D12" s="23" t="s">
        <v>268</v>
      </c>
      <c r="E12" s="21">
        <v>45749</v>
      </c>
      <c r="F12" s="23"/>
      <c r="G12" s="23" t="s">
        <v>272</v>
      </c>
      <c r="I12" s="33" t="s">
        <v>173</v>
      </c>
      <c r="J12" s="31" t="s">
        <v>42</v>
      </c>
      <c r="K12" s="31" t="s">
        <v>222</v>
      </c>
      <c r="L12" s="32">
        <v>45659</v>
      </c>
      <c r="M12" s="32">
        <v>46845</v>
      </c>
      <c r="N12" s="35"/>
    </row>
    <row r="13" spans="2:14" ht="42.75" x14ac:dyDescent="0.2">
      <c r="B13" s="23" t="s">
        <v>270</v>
      </c>
      <c r="C13" s="23" t="s">
        <v>166</v>
      </c>
      <c r="D13" s="23" t="s">
        <v>220</v>
      </c>
      <c r="E13" s="21">
        <v>45901</v>
      </c>
      <c r="F13" s="23"/>
      <c r="G13" s="23" t="s">
        <v>271</v>
      </c>
      <c r="I13" s="33" t="s">
        <v>169</v>
      </c>
      <c r="J13" s="31" t="s">
        <v>134</v>
      </c>
      <c r="K13" s="31" t="s">
        <v>237</v>
      </c>
      <c r="L13" s="32">
        <v>45513</v>
      </c>
      <c r="M13" s="32">
        <v>45878</v>
      </c>
      <c r="N13" s="35"/>
    </row>
    <row r="14" spans="2:14" ht="42.75" x14ac:dyDescent="0.2">
      <c r="I14" s="33" t="s">
        <v>157</v>
      </c>
      <c r="J14" s="31" t="s">
        <v>105</v>
      </c>
      <c r="K14" s="31" t="s">
        <v>224</v>
      </c>
      <c r="L14" s="32">
        <v>45444</v>
      </c>
      <c r="M14" s="32">
        <v>46173</v>
      </c>
      <c r="N14" s="35"/>
    </row>
    <row r="15" spans="2:14" ht="42.75" x14ac:dyDescent="0.2">
      <c r="I15" s="33" t="s">
        <v>165</v>
      </c>
      <c r="J15" s="31" t="s">
        <v>166</v>
      </c>
      <c r="K15" s="31" t="s">
        <v>224</v>
      </c>
      <c r="L15" s="32">
        <v>45444</v>
      </c>
      <c r="M15" s="32">
        <v>46173</v>
      </c>
      <c r="N15" s="37"/>
    </row>
    <row r="16" spans="2:14" ht="28.5" x14ac:dyDescent="0.2">
      <c r="I16" s="33" t="s">
        <v>167</v>
      </c>
      <c r="J16" s="31" t="s">
        <v>17</v>
      </c>
      <c r="K16" s="31" t="s">
        <v>224</v>
      </c>
      <c r="L16" s="32">
        <v>45444</v>
      </c>
      <c r="M16" s="32">
        <v>46173</v>
      </c>
      <c r="N16" s="37"/>
    </row>
    <row r="17" spans="9:14" ht="42.75" x14ac:dyDescent="0.2">
      <c r="I17" s="33" t="s">
        <v>43</v>
      </c>
      <c r="J17" s="31" t="s">
        <v>44</v>
      </c>
      <c r="K17" s="31" t="s">
        <v>235</v>
      </c>
      <c r="L17" s="32">
        <v>45356</v>
      </c>
      <c r="M17" s="32">
        <v>46817</v>
      </c>
      <c r="N17" s="37"/>
    </row>
    <row r="18" spans="9:14" ht="28.5" x14ac:dyDescent="0.2">
      <c r="I18" s="33" t="s">
        <v>163</v>
      </c>
      <c r="J18" s="31" t="s">
        <v>164</v>
      </c>
      <c r="K18" s="31" t="s">
        <v>225</v>
      </c>
      <c r="L18" s="32">
        <v>45352</v>
      </c>
      <c r="M18" s="32">
        <v>45657</v>
      </c>
      <c r="N18" s="37"/>
    </row>
    <row r="19" spans="9:14" ht="28.5" x14ac:dyDescent="0.2">
      <c r="I19" s="33" t="s">
        <v>208</v>
      </c>
      <c r="J19" s="31" t="s">
        <v>164</v>
      </c>
      <c r="K19" s="31" t="s">
        <v>219</v>
      </c>
      <c r="L19" s="32">
        <v>45139</v>
      </c>
      <c r="M19" s="32">
        <v>45657</v>
      </c>
      <c r="N19" s="37"/>
    </row>
    <row r="20" spans="9:14" ht="28.5" x14ac:dyDescent="0.2">
      <c r="I20" s="33" t="s">
        <v>207</v>
      </c>
      <c r="J20" s="31" t="s">
        <v>204</v>
      </c>
      <c r="K20" s="31" t="s">
        <v>219</v>
      </c>
      <c r="L20" s="32">
        <v>45139</v>
      </c>
      <c r="M20" s="32">
        <v>46022</v>
      </c>
      <c r="N20" s="37"/>
    </row>
    <row r="21" spans="9:14" ht="42.75" x14ac:dyDescent="0.2">
      <c r="I21" s="33" t="s">
        <v>153</v>
      </c>
      <c r="J21" s="31" t="s">
        <v>17</v>
      </c>
      <c r="K21" s="31" t="s">
        <v>219</v>
      </c>
      <c r="L21" s="32">
        <v>45139</v>
      </c>
      <c r="M21" s="32">
        <v>46022</v>
      </c>
      <c r="N21" s="37"/>
    </row>
    <row r="22" spans="9:14" ht="28.5" x14ac:dyDescent="0.2">
      <c r="I22" s="33" t="s">
        <v>152</v>
      </c>
      <c r="J22" s="31" t="s">
        <v>112</v>
      </c>
      <c r="K22" s="31" t="s">
        <v>219</v>
      </c>
      <c r="L22" s="32">
        <v>45139</v>
      </c>
      <c r="M22" s="32">
        <v>45657</v>
      </c>
      <c r="N22" s="37"/>
    </row>
    <row r="23" spans="9:14" ht="42.75" x14ac:dyDescent="0.2">
      <c r="I23" s="33" t="s">
        <v>141</v>
      </c>
      <c r="J23" s="31" t="s">
        <v>112</v>
      </c>
      <c r="K23" s="31" t="s">
        <v>220</v>
      </c>
      <c r="L23" s="32">
        <v>45139</v>
      </c>
      <c r="M23" s="32">
        <v>46234</v>
      </c>
      <c r="N23" s="37"/>
    </row>
    <row r="24" spans="9:14" ht="28.5" x14ac:dyDescent="0.2">
      <c r="I24" s="34" t="s">
        <v>154</v>
      </c>
      <c r="J24" s="31" t="s">
        <v>23</v>
      </c>
      <c r="K24" s="31" t="s">
        <v>220</v>
      </c>
      <c r="L24" s="32">
        <v>45139</v>
      </c>
      <c r="M24" s="32">
        <v>46234</v>
      </c>
      <c r="N24" s="37"/>
    </row>
    <row r="25" spans="9:14" ht="28.5" x14ac:dyDescent="0.2">
      <c r="I25" s="33" t="s">
        <v>154</v>
      </c>
      <c r="J25" s="31" t="s">
        <v>23</v>
      </c>
      <c r="K25" s="31" t="s">
        <v>220</v>
      </c>
      <c r="L25" s="32">
        <v>45139</v>
      </c>
      <c r="M25" s="32">
        <v>45286</v>
      </c>
      <c r="N25" s="37"/>
    </row>
    <row r="26" spans="9:14" ht="28.5" x14ac:dyDescent="0.2">
      <c r="I26" s="33" t="s">
        <v>149</v>
      </c>
      <c r="J26" s="31" t="s">
        <v>48</v>
      </c>
      <c r="K26" s="31" t="s">
        <v>223</v>
      </c>
      <c r="L26" s="32">
        <v>45110</v>
      </c>
      <c r="M26" s="32">
        <v>45657</v>
      </c>
      <c r="N26" s="37"/>
    </row>
    <row r="27" spans="9:14" ht="28.5" x14ac:dyDescent="0.2">
      <c r="I27" s="33" t="s">
        <v>146</v>
      </c>
      <c r="J27" s="31" t="s">
        <v>48</v>
      </c>
      <c r="K27" s="31" t="s">
        <v>232</v>
      </c>
      <c r="L27" s="32">
        <v>45108</v>
      </c>
      <c r="M27" s="32">
        <v>45869</v>
      </c>
      <c r="N27" s="37"/>
    </row>
    <row r="28" spans="9:14" ht="28.5" x14ac:dyDescent="0.2">
      <c r="I28" s="33" t="s">
        <v>205</v>
      </c>
      <c r="J28" s="31" t="s">
        <v>204</v>
      </c>
      <c r="K28" s="31" t="s">
        <v>219</v>
      </c>
      <c r="L28" s="32">
        <v>45078</v>
      </c>
      <c r="M28" s="32">
        <v>46022</v>
      </c>
      <c r="N28" s="37"/>
    </row>
    <row r="29" spans="9:14" ht="28.5" x14ac:dyDescent="0.2">
      <c r="I29" s="33" t="s">
        <v>135</v>
      </c>
      <c r="J29" s="31" t="s">
        <v>48</v>
      </c>
      <c r="K29" s="31" t="s">
        <v>224</v>
      </c>
      <c r="L29" s="32">
        <v>45044</v>
      </c>
      <c r="M29" s="32">
        <v>46142</v>
      </c>
      <c r="N29" s="37"/>
    </row>
    <row r="30" spans="9:14" ht="57" x14ac:dyDescent="0.2">
      <c r="I30" s="33" t="s">
        <v>138</v>
      </c>
      <c r="J30" s="31" t="s">
        <v>112</v>
      </c>
      <c r="K30" s="31" t="s">
        <v>224</v>
      </c>
      <c r="L30" s="32">
        <v>45044</v>
      </c>
      <c r="M30" s="32">
        <v>46203</v>
      </c>
      <c r="N30" s="37"/>
    </row>
    <row r="31" spans="9:14" ht="42.75" x14ac:dyDescent="0.2">
      <c r="I31" s="33" t="s">
        <v>133</v>
      </c>
      <c r="J31" s="31" t="s">
        <v>134</v>
      </c>
      <c r="K31" s="31" t="s">
        <v>235</v>
      </c>
      <c r="L31" s="32">
        <v>45017</v>
      </c>
      <c r="M31" s="32">
        <v>46022</v>
      </c>
      <c r="N31" s="37"/>
    </row>
    <row r="32" spans="9:14" ht="42.75" x14ac:dyDescent="0.2">
      <c r="I32" s="33" t="s">
        <v>130</v>
      </c>
      <c r="J32" s="31" t="s">
        <v>105</v>
      </c>
      <c r="K32" s="31" t="s">
        <v>234</v>
      </c>
      <c r="L32" s="32">
        <v>45017</v>
      </c>
      <c r="M32" s="32">
        <v>46478</v>
      </c>
      <c r="N32" s="37"/>
    </row>
    <row r="33" spans="9:14" ht="42.75" x14ac:dyDescent="0.2">
      <c r="I33" s="33" t="s">
        <v>128</v>
      </c>
      <c r="J33" s="31" t="s">
        <v>35</v>
      </c>
      <c r="K33" s="31" t="s">
        <v>223</v>
      </c>
      <c r="L33" s="32">
        <v>44921</v>
      </c>
      <c r="M33" s="32">
        <v>45930</v>
      </c>
      <c r="N33" s="37"/>
    </row>
    <row r="34" spans="9:14" ht="57" x14ac:dyDescent="0.2">
      <c r="I34" s="33" t="s">
        <v>121</v>
      </c>
      <c r="J34" s="31" t="s">
        <v>105</v>
      </c>
      <c r="K34" s="31" t="s">
        <v>231</v>
      </c>
      <c r="L34" s="32">
        <v>44858</v>
      </c>
      <c r="M34" s="32">
        <v>45589</v>
      </c>
      <c r="N34" s="37"/>
    </row>
    <row r="35" spans="9:14" ht="28.5" x14ac:dyDescent="0.2">
      <c r="I35" s="33" t="s">
        <v>125</v>
      </c>
      <c r="J35" s="31" t="s">
        <v>48</v>
      </c>
      <c r="K35" s="31" t="s">
        <v>223</v>
      </c>
      <c r="L35" s="32">
        <v>44803</v>
      </c>
      <c r="M35" s="32">
        <v>45473</v>
      </c>
      <c r="N35" s="37"/>
    </row>
    <row r="36" spans="9:14" ht="28.5" x14ac:dyDescent="0.2">
      <c r="I36" s="33" t="s">
        <v>117</v>
      </c>
      <c r="J36" s="31" t="s">
        <v>48</v>
      </c>
      <c r="K36" s="31" t="s">
        <v>223</v>
      </c>
      <c r="L36" s="32">
        <v>44708</v>
      </c>
      <c r="M36" s="32">
        <v>45077</v>
      </c>
      <c r="N36" s="37"/>
    </row>
    <row r="37" spans="9:14" ht="42.75" x14ac:dyDescent="0.2">
      <c r="I37" s="33" t="s">
        <v>73</v>
      </c>
      <c r="J37" s="31" t="s">
        <v>35</v>
      </c>
      <c r="K37" s="31" t="s">
        <v>236</v>
      </c>
      <c r="L37" s="32">
        <v>44652</v>
      </c>
      <c r="M37" s="32">
        <v>45351</v>
      </c>
      <c r="N37" s="37"/>
    </row>
    <row r="38" spans="9:14" ht="42.75" x14ac:dyDescent="0.2">
      <c r="I38" s="33" t="s">
        <v>140</v>
      </c>
      <c r="J38" s="31" t="s">
        <v>134</v>
      </c>
      <c r="K38" s="31" t="s">
        <v>234</v>
      </c>
      <c r="L38" s="32">
        <v>44652</v>
      </c>
      <c r="M38" s="32">
        <v>45747</v>
      </c>
      <c r="N38" s="37"/>
    </row>
    <row r="39" spans="9:14" ht="42.75" x14ac:dyDescent="0.2">
      <c r="I39" s="33" t="s">
        <v>111</v>
      </c>
      <c r="J39" s="31" t="s">
        <v>112</v>
      </c>
      <c r="K39" s="31" t="s">
        <v>219</v>
      </c>
      <c r="L39" s="32">
        <v>44593</v>
      </c>
      <c r="M39" s="32">
        <v>45291</v>
      </c>
      <c r="N39" s="37"/>
    </row>
    <row r="40" spans="9:14" ht="28.5" x14ac:dyDescent="0.2">
      <c r="I40" s="33" t="s">
        <v>203</v>
      </c>
      <c r="J40" s="31" t="s">
        <v>204</v>
      </c>
      <c r="K40" s="31" t="s">
        <v>219</v>
      </c>
      <c r="L40" s="32">
        <v>44562</v>
      </c>
      <c r="M40" s="32">
        <v>44926</v>
      </c>
      <c r="N40" s="37"/>
    </row>
    <row r="41" spans="9:14" ht="42.75" x14ac:dyDescent="0.2">
      <c r="I41" s="33" t="s">
        <v>78</v>
      </c>
      <c r="J41" s="31" t="s">
        <v>42</v>
      </c>
      <c r="K41" s="31" t="s">
        <v>238</v>
      </c>
      <c r="L41" s="32">
        <v>44562</v>
      </c>
      <c r="M41" s="32">
        <v>46022</v>
      </c>
      <c r="N41" s="37"/>
    </row>
    <row r="42" spans="9:14" ht="42.75" x14ac:dyDescent="0.2">
      <c r="I42" s="33" t="s">
        <v>65</v>
      </c>
      <c r="J42" s="31" t="s">
        <v>23</v>
      </c>
      <c r="K42" s="31" t="s">
        <v>220</v>
      </c>
      <c r="L42" s="32">
        <v>44545</v>
      </c>
      <c r="M42" s="32">
        <v>45443</v>
      </c>
      <c r="N42" s="37"/>
    </row>
    <row r="43" spans="9:14" ht="57" x14ac:dyDescent="0.2">
      <c r="I43" s="33" t="s">
        <v>69</v>
      </c>
      <c r="J43" s="31" t="s">
        <v>17</v>
      </c>
      <c r="K43" s="31" t="s">
        <v>220</v>
      </c>
      <c r="L43" s="32">
        <v>44531</v>
      </c>
      <c r="M43" s="32">
        <v>45747</v>
      </c>
      <c r="N43" s="37"/>
    </row>
    <row r="44" spans="9:14" ht="28.5" x14ac:dyDescent="0.2">
      <c r="I44" s="33" t="s">
        <v>29</v>
      </c>
      <c r="J44" s="31" t="s">
        <v>23</v>
      </c>
      <c r="K44" s="31" t="s">
        <v>224</v>
      </c>
      <c r="L44" s="32">
        <v>44440</v>
      </c>
      <c r="M44" s="32">
        <v>45716</v>
      </c>
      <c r="N44" s="37"/>
    </row>
    <row r="45" spans="9:14" ht="28.5" x14ac:dyDescent="0.2">
      <c r="I45" s="33" t="s">
        <v>50</v>
      </c>
      <c r="J45" s="31" t="s">
        <v>48</v>
      </c>
      <c r="K45" s="31" t="s">
        <v>219</v>
      </c>
      <c r="L45" s="32">
        <v>44317</v>
      </c>
      <c r="M45" s="32">
        <v>45170</v>
      </c>
      <c r="N45" s="37"/>
    </row>
    <row r="46" spans="9:14" ht="28.5" x14ac:dyDescent="0.2">
      <c r="I46" s="33" t="s">
        <v>106</v>
      </c>
      <c r="J46" s="31" t="s">
        <v>105</v>
      </c>
      <c r="K46" s="31" t="s">
        <v>237</v>
      </c>
      <c r="L46" s="32">
        <v>44197</v>
      </c>
      <c r="M46" s="32">
        <v>45291</v>
      </c>
      <c r="N46" s="37"/>
    </row>
    <row r="47" spans="9:14" ht="42.75" x14ac:dyDescent="0.2">
      <c r="I47" s="33" t="s">
        <v>34</v>
      </c>
      <c r="J47" s="31" t="s">
        <v>35</v>
      </c>
      <c r="K47" s="31" t="s">
        <v>224</v>
      </c>
      <c r="L47" s="32">
        <v>44176</v>
      </c>
      <c r="M47" s="32">
        <v>45291</v>
      </c>
      <c r="N47" s="37"/>
    </row>
    <row r="48" spans="9:14" ht="42.75" x14ac:dyDescent="0.2">
      <c r="I48" s="33" t="s">
        <v>195</v>
      </c>
      <c r="J48" s="31" t="s">
        <v>35</v>
      </c>
      <c r="K48" s="31" t="s">
        <v>219</v>
      </c>
      <c r="L48" s="32">
        <v>44044</v>
      </c>
      <c r="M48" s="32">
        <v>44926</v>
      </c>
      <c r="N48" s="37"/>
    </row>
    <row r="49" spans="9:14" ht="42.75" x14ac:dyDescent="0.2">
      <c r="I49" s="33" t="s">
        <v>197</v>
      </c>
      <c r="J49" s="31" t="s">
        <v>35</v>
      </c>
      <c r="K49" s="31" t="s">
        <v>219</v>
      </c>
      <c r="L49" s="32">
        <v>44044</v>
      </c>
      <c r="M49" s="32">
        <v>44926</v>
      </c>
      <c r="N49" s="37"/>
    </row>
    <row r="50" spans="9:14" ht="28.5" x14ac:dyDescent="0.2">
      <c r="I50" s="33" t="s">
        <v>99</v>
      </c>
      <c r="J50" s="31" t="s">
        <v>48</v>
      </c>
      <c r="K50" s="31" t="s">
        <v>233</v>
      </c>
      <c r="L50" s="32">
        <v>43977</v>
      </c>
      <c r="M50" s="32">
        <v>45199</v>
      </c>
      <c r="N50" s="37"/>
    </row>
    <row r="51" spans="9:14" ht="42.75" x14ac:dyDescent="0.2">
      <c r="I51" s="33" t="s">
        <v>103</v>
      </c>
      <c r="J51" s="31" t="s">
        <v>42</v>
      </c>
      <c r="K51" s="31" t="s">
        <v>234</v>
      </c>
      <c r="L51" s="32">
        <v>43922</v>
      </c>
      <c r="M51" s="32">
        <v>45016</v>
      </c>
      <c r="N51" s="37"/>
    </row>
    <row r="52" spans="9:14" ht="42.75" x14ac:dyDescent="0.2">
      <c r="I52" s="33" t="s">
        <v>199</v>
      </c>
      <c r="J52" s="31" t="s">
        <v>200</v>
      </c>
      <c r="K52" s="31" t="s">
        <v>234</v>
      </c>
      <c r="L52" s="32">
        <v>43902</v>
      </c>
      <c r="M52" s="32">
        <v>45031</v>
      </c>
      <c r="N52" s="37"/>
    </row>
    <row r="53" spans="9:14" ht="28.5" x14ac:dyDescent="0.2">
      <c r="I53" s="33" t="s">
        <v>47</v>
      </c>
      <c r="J53" s="31" t="s">
        <v>48</v>
      </c>
      <c r="K53" s="31" t="s">
        <v>219</v>
      </c>
      <c r="L53" s="32">
        <v>43891</v>
      </c>
      <c r="M53" s="32">
        <v>45291</v>
      </c>
      <c r="N53" s="37"/>
    </row>
    <row r="54" spans="9:14" ht="28.5" x14ac:dyDescent="0.2">
      <c r="I54" s="33" t="s">
        <v>53</v>
      </c>
      <c r="J54" s="31" t="s">
        <v>48</v>
      </c>
      <c r="K54" s="31" t="s">
        <v>219</v>
      </c>
      <c r="L54" s="32">
        <v>43891</v>
      </c>
      <c r="M54" s="32">
        <v>45251</v>
      </c>
      <c r="N54" s="37"/>
    </row>
    <row r="55" spans="9:14" ht="42.75" x14ac:dyDescent="0.2">
      <c r="I55" s="33" t="s">
        <v>95</v>
      </c>
      <c r="J55" s="31" t="s">
        <v>96</v>
      </c>
      <c r="K55" s="31" t="s">
        <v>225</v>
      </c>
      <c r="L55" s="32">
        <v>43095</v>
      </c>
      <c r="M55" s="32">
        <v>44804</v>
      </c>
      <c r="N55" s="37"/>
    </row>
    <row r="56" spans="9:14" ht="28.5" x14ac:dyDescent="0.2">
      <c r="I56" s="33" t="s">
        <v>87</v>
      </c>
      <c r="J56" s="31" t="s">
        <v>88</v>
      </c>
      <c r="K56" s="31" t="s">
        <v>222</v>
      </c>
      <c r="L56" s="32">
        <v>42737</v>
      </c>
      <c r="M56" s="32">
        <v>45382</v>
      </c>
      <c r="N56" s="37"/>
    </row>
    <row r="57" spans="9:14" ht="42.75" x14ac:dyDescent="0.2">
      <c r="I57" s="34" t="s">
        <v>92</v>
      </c>
      <c r="J57" s="31" t="s">
        <v>42</v>
      </c>
      <c r="K57" s="31" t="s">
        <v>222</v>
      </c>
      <c r="L57" s="32">
        <v>42737</v>
      </c>
      <c r="M57" s="32">
        <v>45850</v>
      </c>
      <c r="N57" s="37"/>
    </row>
    <row r="58" spans="9:14" ht="28.5" x14ac:dyDescent="0.2">
      <c r="I58" s="33" t="s">
        <v>58</v>
      </c>
      <c r="J58" s="31" t="s">
        <v>44</v>
      </c>
      <c r="K58" s="31" t="s">
        <v>219</v>
      </c>
      <c r="L58" s="32">
        <v>42095</v>
      </c>
      <c r="M58" s="32">
        <v>46022</v>
      </c>
      <c r="N58" s="37"/>
    </row>
    <row r="59" spans="9:14" ht="42.75" x14ac:dyDescent="0.2">
      <c r="I59" s="33" t="s">
        <v>56</v>
      </c>
      <c r="J59" s="31" t="s">
        <v>42</v>
      </c>
      <c r="K59" s="31" t="s">
        <v>219</v>
      </c>
      <c r="L59" s="32">
        <v>40452</v>
      </c>
      <c r="M59" s="32">
        <v>46022</v>
      </c>
      <c r="N59" s="37"/>
    </row>
    <row r="60" spans="9:14" ht="28.5" x14ac:dyDescent="0.2">
      <c r="I60" s="33" t="s">
        <v>198</v>
      </c>
      <c r="J60" s="31" t="s">
        <v>164</v>
      </c>
      <c r="K60" s="31" t="s">
        <v>219</v>
      </c>
      <c r="L60" s="32">
        <v>39814</v>
      </c>
      <c r="M60" s="32">
        <v>46022</v>
      </c>
      <c r="N60" s="37"/>
    </row>
    <row r="61" spans="9:14" ht="28.5" x14ac:dyDescent="0.2">
      <c r="I61" s="41" t="s">
        <v>60</v>
      </c>
      <c r="J61" s="42" t="s">
        <v>61</v>
      </c>
      <c r="K61" s="42" t="s">
        <v>219</v>
      </c>
      <c r="L61" s="43">
        <v>37622</v>
      </c>
      <c r="M61" s="43">
        <v>46022</v>
      </c>
      <c r="N61" s="44"/>
    </row>
  </sheetData>
  <mergeCells count="1">
    <mergeCell ref="L2:N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1"/>
  <sheetViews>
    <sheetView workbookViewId="0">
      <selection activeCell="I3" sqref="I3:N61"/>
    </sheetView>
  </sheetViews>
  <sheetFormatPr baseColWidth="10" defaultRowHeight="14.25" x14ac:dyDescent="0.2"/>
  <cols>
    <col min="3" max="3" width="12.5" style="67" customWidth="1"/>
    <col min="4" max="4" width="31.125" style="67" customWidth="1"/>
    <col min="5" max="5" width="15" style="67" customWidth="1"/>
    <col min="6" max="6" width="17.25" style="67" customWidth="1"/>
    <col min="7" max="8" width="11" style="67"/>
    <col min="9" max="9" width="13.75" style="67" customWidth="1"/>
    <col min="10" max="10" width="22.625" style="67" customWidth="1"/>
    <col min="11" max="11" width="26" style="67" customWidth="1"/>
    <col min="12" max="12" width="16.375" style="67" customWidth="1"/>
    <col min="13" max="13" width="19.75" style="67" customWidth="1"/>
    <col min="14" max="14" width="21.25" style="67" customWidth="1"/>
    <col min="15" max="15" width="16.625" style="67" customWidth="1"/>
  </cols>
  <sheetData>
    <row r="2" spans="3:15" x14ac:dyDescent="0.2">
      <c r="C2" s="48" t="s">
        <v>218</v>
      </c>
      <c r="D2" s="49" t="s">
        <v>8</v>
      </c>
      <c r="E2" s="49" t="s">
        <v>9</v>
      </c>
      <c r="F2" s="49" t="s">
        <v>10</v>
      </c>
      <c r="G2" s="50" t="s">
        <v>11</v>
      </c>
      <c r="H2" s="50" t="s">
        <v>12</v>
      </c>
      <c r="I2" s="51" t="s">
        <v>215</v>
      </c>
      <c r="J2" s="52" t="s">
        <v>210</v>
      </c>
      <c r="K2" s="52" t="s">
        <v>211</v>
      </c>
      <c r="L2" s="52" t="s">
        <v>212</v>
      </c>
      <c r="M2" s="52" t="s">
        <v>213</v>
      </c>
      <c r="N2" s="52" t="s">
        <v>214</v>
      </c>
      <c r="O2" s="53" t="s">
        <v>13</v>
      </c>
    </row>
    <row r="3" spans="3:15" ht="33.75" x14ac:dyDescent="0.2">
      <c r="C3" s="54" t="s">
        <v>220</v>
      </c>
      <c r="D3" s="55" t="s">
        <v>176</v>
      </c>
      <c r="E3" s="55" t="s">
        <v>23</v>
      </c>
      <c r="F3" s="55" t="s">
        <v>24</v>
      </c>
      <c r="G3" s="56" t="s">
        <v>177</v>
      </c>
      <c r="H3" s="57" t="s">
        <v>178</v>
      </c>
      <c r="I3" s="58">
        <v>119808000</v>
      </c>
      <c r="J3" s="58">
        <v>0</v>
      </c>
      <c r="K3" s="58">
        <v>2300003</v>
      </c>
      <c r="L3" s="58">
        <v>4999999</v>
      </c>
      <c r="M3" s="58">
        <v>54280064</v>
      </c>
      <c r="N3" s="58">
        <v>181388066</v>
      </c>
      <c r="O3" s="59" t="s">
        <v>179</v>
      </c>
    </row>
    <row r="4" spans="3:15" ht="45" hidden="1" x14ac:dyDescent="0.2">
      <c r="C4" s="54" t="s">
        <v>224</v>
      </c>
      <c r="D4" s="55" t="s">
        <v>157</v>
      </c>
      <c r="E4" s="55" t="s">
        <v>105</v>
      </c>
      <c r="F4" s="55" t="s">
        <v>24</v>
      </c>
      <c r="G4" s="56" t="s">
        <v>158</v>
      </c>
      <c r="H4" s="57" t="s">
        <v>159</v>
      </c>
      <c r="I4" s="58">
        <v>186320000</v>
      </c>
      <c r="J4" s="58">
        <v>10500000</v>
      </c>
      <c r="K4" s="58">
        <v>0</v>
      </c>
      <c r="L4" s="58">
        <v>0</v>
      </c>
      <c r="M4" s="58">
        <v>10500001</v>
      </c>
      <c r="N4" s="58">
        <v>207320001</v>
      </c>
      <c r="O4" s="59" t="s">
        <v>160</v>
      </c>
    </row>
    <row r="5" spans="3:15" ht="22.5" hidden="1" x14ac:dyDescent="0.2">
      <c r="C5" s="54" t="s">
        <v>224</v>
      </c>
      <c r="D5" s="55" t="s">
        <v>165</v>
      </c>
      <c r="E5" s="55" t="s">
        <v>166</v>
      </c>
      <c r="F5" s="55" t="s">
        <v>24</v>
      </c>
      <c r="G5" s="56" t="s">
        <v>158</v>
      </c>
      <c r="H5" s="57" t="s">
        <v>159</v>
      </c>
      <c r="I5" s="58">
        <v>161900000</v>
      </c>
      <c r="J5" s="58">
        <v>9000000</v>
      </c>
      <c r="K5" s="58">
        <v>0</v>
      </c>
      <c r="L5" s="58">
        <v>0</v>
      </c>
      <c r="M5" s="58">
        <v>8890207</v>
      </c>
      <c r="N5" s="58">
        <v>179790207</v>
      </c>
      <c r="O5" s="59" t="s">
        <v>193</v>
      </c>
    </row>
    <row r="6" spans="3:15" ht="22.5" hidden="1" x14ac:dyDescent="0.2">
      <c r="C6" s="54" t="s">
        <v>224</v>
      </c>
      <c r="D6" s="55" t="s">
        <v>167</v>
      </c>
      <c r="E6" s="55" t="s">
        <v>17</v>
      </c>
      <c r="F6" s="55" t="s">
        <v>24</v>
      </c>
      <c r="G6" s="56" t="s">
        <v>158</v>
      </c>
      <c r="H6" s="57" t="s">
        <v>159</v>
      </c>
      <c r="I6" s="58">
        <v>209000000</v>
      </c>
      <c r="J6" s="58">
        <v>12300000</v>
      </c>
      <c r="K6" s="58">
        <v>0</v>
      </c>
      <c r="L6" s="58">
        <v>0</v>
      </c>
      <c r="M6" s="58">
        <v>12258150</v>
      </c>
      <c r="N6" s="58">
        <v>233558150</v>
      </c>
      <c r="O6" s="59" t="s">
        <v>168</v>
      </c>
    </row>
    <row r="7" spans="3:15" ht="45" hidden="1" x14ac:dyDescent="0.2">
      <c r="C7" s="54" t="s">
        <v>220</v>
      </c>
      <c r="D7" s="55" t="s">
        <v>141</v>
      </c>
      <c r="E7" s="55" t="s">
        <v>112</v>
      </c>
      <c r="F7" s="55" t="s">
        <v>24</v>
      </c>
      <c r="G7" s="56" t="s">
        <v>142</v>
      </c>
      <c r="H7" s="57" t="s">
        <v>143</v>
      </c>
      <c r="I7" s="58">
        <v>115159785</v>
      </c>
      <c r="J7" s="58">
        <v>6800000</v>
      </c>
      <c r="K7" s="58">
        <v>4424832</v>
      </c>
      <c r="L7" s="58">
        <v>1299999</v>
      </c>
      <c r="M7" s="58">
        <v>43886472</v>
      </c>
      <c r="N7" s="58">
        <v>171571088</v>
      </c>
      <c r="O7" s="59" t="s">
        <v>144</v>
      </c>
    </row>
    <row r="8" spans="3:15" ht="22.5" hidden="1" x14ac:dyDescent="0.2">
      <c r="C8" s="54" t="s">
        <v>220</v>
      </c>
      <c r="D8" s="55" t="s">
        <v>154</v>
      </c>
      <c r="E8" s="55" t="s">
        <v>23</v>
      </c>
      <c r="F8" s="55" t="s">
        <v>30</v>
      </c>
      <c r="G8" s="56" t="s">
        <v>142</v>
      </c>
      <c r="H8" s="57" t="s">
        <v>206</v>
      </c>
      <c r="I8" s="58">
        <v>119450000</v>
      </c>
      <c r="J8" s="58">
        <v>0</v>
      </c>
      <c r="K8" s="58">
        <v>2000000</v>
      </c>
      <c r="L8" s="58">
        <v>1000000</v>
      </c>
      <c r="M8" s="58">
        <v>69076551</v>
      </c>
      <c r="N8" s="58">
        <v>191526551</v>
      </c>
      <c r="O8" s="59" t="s">
        <v>155</v>
      </c>
    </row>
    <row r="9" spans="3:15" ht="33.75" hidden="1" x14ac:dyDescent="0.2">
      <c r="C9" s="54" t="s">
        <v>224</v>
      </c>
      <c r="D9" s="55" t="s">
        <v>135</v>
      </c>
      <c r="E9" s="55" t="s">
        <v>48</v>
      </c>
      <c r="F9" s="55" t="s">
        <v>24</v>
      </c>
      <c r="G9" s="56" t="s">
        <v>136</v>
      </c>
      <c r="H9" s="57" t="s">
        <v>137</v>
      </c>
      <c r="I9" s="58">
        <v>148500000</v>
      </c>
      <c r="J9" s="58">
        <v>0</v>
      </c>
      <c r="K9" s="58">
        <v>2519790</v>
      </c>
      <c r="L9" s="58">
        <v>14400000</v>
      </c>
      <c r="M9" s="58">
        <v>12683310</v>
      </c>
      <c r="N9" s="58">
        <v>178103100</v>
      </c>
      <c r="O9" s="59" t="s">
        <v>193</v>
      </c>
    </row>
    <row r="10" spans="3:15" ht="45" hidden="1" x14ac:dyDescent="0.2">
      <c r="C10" s="54" t="s">
        <v>224</v>
      </c>
      <c r="D10" s="55" t="s">
        <v>138</v>
      </c>
      <c r="E10" s="55" t="s">
        <v>112</v>
      </c>
      <c r="F10" s="55" t="s">
        <v>24</v>
      </c>
      <c r="G10" s="56" t="s">
        <v>136</v>
      </c>
      <c r="H10" s="57" t="s">
        <v>139</v>
      </c>
      <c r="I10" s="58">
        <v>164103030</v>
      </c>
      <c r="J10" s="58">
        <v>0</v>
      </c>
      <c r="K10" s="58">
        <v>871902</v>
      </c>
      <c r="L10" s="58">
        <v>12000000</v>
      </c>
      <c r="M10" s="58">
        <v>13031009</v>
      </c>
      <c r="N10" s="58">
        <v>190005941</v>
      </c>
      <c r="O10" s="59" t="s">
        <v>193</v>
      </c>
    </row>
    <row r="11" spans="3:15" ht="33.75" hidden="1" x14ac:dyDescent="0.2">
      <c r="C11" s="54" t="s">
        <v>220</v>
      </c>
      <c r="D11" s="55" t="s">
        <v>65</v>
      </c>
      <c r="E11" s="60" t="s">
        <v>23</v>
      </c>
      <c r="F11" s="60" t="s">
        <v>30</v>
      </c>
      <c r="G11" s="56" t="s">
        <v>66</v>
      </c>
      <c r="H11" s="56" t="s">
        <v>67</v>
      </c>
      <c r="I11" s="58">
        <v>85000000</v>
      </c>
      <c r="J11" s="58"/>
      <c r="K11" s="58"/>
      <c r="L11" s="58">
        <v>850000</v>
      </c>
      <c r="M11" s="58">
        <v>52240436</v>
      </c>
      <c r="N11" s="58">
        <v>138090436</v>
      </c>
      <c r="O11" s="59" t="s">
        <v>68</v>
      </c>
    </row>
    <row r="12" spans="3:15" ht="56.25" hidden="1" x14ac:dyDescent="0.2">
      <c r="C12" s="54" t="s">
        <v>220</v>
      </c>
      <c r="D12" s="55" t="s">
        <v>69</v>
      </c>
      <c r="E12" s="60" t="s">
        <v>17</v>
      </c>
      <c r="F12" s="60" t="s">
        <v>30</v>
      </c>
      <c r="G12" s="56" t="s">
        <v>70</v>
      </c>
      <c r="H12" s="56" t="s">
        <v>71</v>
      </c>
      <c r="I12" s="58">
        <v>149985876</v>
      </c>
      <c r="J12" s="58">
        <v>6000000</v>
      </c>
      <c r="K12" s="58">
        <v>9122000</v>
      </c>
      <c r="L12" s="58">
        <v>750000</v>
      </c>
      <c r="M12" s="58">
        <v>132987657</v>
      </c>
      <c r="N12" s="58">
        <v>298845533</v>
      </c>
      <c r="O12" s="59" t="s">
        <v>72</v>
      </c>
    </row>
    <row r="13" spans="3:15" ht="22.5" hidden="1" x14ac:dyDescent="0.2">
      <c r="C13" s="54" t="s">
        <v>224</v>
      </c>
      <c r="D13" s="55" t="s">
        <v>29</v>
      </c>
      <c r="E13" s="60" t="s">
        <v>23</v>
      </c>
      <c r="F13" s="60" t="s">
        <v>30</v>
      </c>
      <c r="G13" s="56" t="s">
        <v>31</v>
      </c>
      <c r="H13" s="56" t="s">
        <v>32</v>
      </c>
      <c r="I13" s="58">
        <v>200000000</v>
      </c>
      <c r="J13" s="58">
        <v>12050000</v>
      </c>
      <c r="K13" s="58">
        <v>0</v>
      </c>
      <c r="L13" s="58">
        <v>0</v>
      </c>
      <c r="M13" s="58">
        <v>27854865</v>
      </c>
      <c r="N13" s="58">
        <v>239904865</v>
      </c>
      <c r="O13" s="59" t="s">
        <v>33</v>
      </c>
    </row>
    <row r="14" spans="3:15" ht="22.5" hidden="1" x14ac:dyDescent="0.2">
      <c r="C14" s="54" t="s">
        <v>224</v>
      </c>
      <c r="D14" s="55" t="s">
        <v>34</v>
      </c>
      <c r="E14" s="60" t="s">
        <v>35</v>
      </c>
      <c r="F14" s="55" t="s">
        <v>30</v>
      </c>
      <c r="G14" s="56" t="s">
        <v>36</v>
      </c>
      <c r="H14" s="56" t="s">
        <v>37</v>
      </c>
      <c r="I14" s="58">
        <v>240000000</v>
      </c>
      <c r="J14" s="58">
        <v>15000000</v>
      </c>
      <c r="K14" s="58">
        <v>0</v>
      </c>
      <c r="L14" s="58">
        <v>0</v>
      </c>
      <c r="M14" s="58">
        <v>26890380</v>
      </c>
      <c r="N14" s="58">
        <v>281890380</v>
      </c>
      <c r="O14" s="59" t="s">
        <v>38</v>
      </c>
    </row>
    <row r="15" spans="3:15" ht="45" x14ac:dyDescent="0.2">
      <c r="C15" s="54" t="s">
        <v>224</v>
      </c>
      <c r="D15" s="60" t="s">
        <v>182</v>
      </c>
      <c r="E15" s="60" t="s">
        <v>164</v>
      </c>
      <c r="F15" s="60" t="s">
        <v>286</v>
      </c>
      <c r="G15" s="56">
        <v>45992</v>
      </c>
      <c r="H15" s="56">
        <v>47088</v>
      </c>
      <c r="I15" s="58">
        <v>203909000</v>
      </c>
      <c r="J15" s="58">
        <v>10200000</v>
      </c>
      <c r="K15" s="58">
        <v>0</v>
      </c>
      <c r="L15" s="58">
        <v>0</v>
      </c>
      <c r="M15" s="58">
        <v>9193390</v>
      </c>
      <c r="N15" s="58">
        <v>223302390</v>
      </c>
      <c r="O15" s="59" t="s">
        <v>193</v>
      </c>
    </row>
    <row r="16" spans="3:15" ht="45" x14ac:dyDescent="0.2">
      <c r="C16" s="54" t="s">
        <v>224</v>
      </c>
      <c r="D16" s="60" t="s">
        <v>183</v>
      </c>
      <c r="E16" s="60" t="s">
        <v>184</v>
      </c>
      <c r="F16" s="60" t="s">
        <v>286</v>
      </c>
      <c r="G16" s="56">
        <v>45992</v>
      </c>
      <c r="H16" s="56">
        <v>47088</v>
      </c>
      <c r="I16" s="58">
        <v>280000000</v>
      </c>
      <c r="J16" s="58">
        <v>14000000</v>
      </c>
      <c r="K16" s="58">
        <v>6750000</v>
      </c>
      <c r="L16" s="58">
        <v>0</v>
      </c>
      <c r="M16" s="58">
        <v>71816598</v>
      </c>
      <c r="N16" s="58">
        <v>372566598</v>
      </c>
      <c r="O16" s="59" t="s">
        <v>193</v>
      </c>
    </row>
    <row r="17" spans="3:15" ht="45" x14ac:dyDescent="0.2">
      <c r="C17" s="54" t="s">
        <v>224</v>
      </c>
      <c r="D17" s="60" t="s">
        <v>240</v>
      </c>
      <c r="E17" s="60" t="s">
        <v>239</v>
      </c>
      <c r="F17" s="60" t="s">
        <v>286</v>
      </c>
      <c r="G17" s="56">
        <v>45992</v>
      </c>
      <c r="H17" s="56">
        <v>47088</v>
      </c>
      <c r="I17" s="58">
        <v>280000000</v>
      </c>
      <c r="J17" s="58">
        <v>14000000</v>
      </c>
      <c r="K17" s="58">
        <v>0</v>
      </c>
      <c r="L17" s="58">
        <v>0</v>
      </c>
      <c r="M17" s="58">
        <v>138674506</v>
      </c>
      <c r="N17" s="61">
        <v>432674506</v>
      </c>
      <c r="O17" s="59"/>
    </row>
    <row r="18" spans="3:15" ht="33.75" x14ac:dyDescent="0.2">
      <c r="C18" s="62" t="s">
        <v>224</v>
      </c>
      <c r="D18" s="63" t="s">
        <v>209</v>
      </c>
      <c r="E18" s="63" t="s">
        <v>204</v>
      </c>
      <c r="F18" s="60" t="s">
        <v>286</v>
      </c>
      <c r="G18" s="64">
        <v>45992</v>
      </c>
      <c r="H18" s="64">
        <v>47088</v>
      </c>
      <c r="I18" s="65">
        <v>280000000</v>
      </c>
      <c r="J18" s="65">
        <v>15000000</v>
      </c>
      <c r="K18" s="65">
        <v>0</v>
      </c>
      <c r="L18" s="65">
        <v>0</v>
      </c>
      <c r="M18" s="65">
        <v>21085437</v>
      </c>
      <c r="N18" s="65">
        <v>316085437</v>
      </c>
      <c r="O18" s="66" t="s">
        <v>193</v>
      </c>
    </row>
    <row r="19" spans="3:15" ht="33.75" x14ac:dyDescent="0.2">
      <c r="C19" s="68" t="s">
        <v>220</v>
      </c>
      <c r="D19" s="69" t="s">
        <v>264</v>
      </c>
      <c r="E19" s="69" t="s">
        <v>42</v>
      </c>
      <c r="F19" s="60" t="s">
        <v>286</v>
      </c>
      <c r="G19" s="70">
        <v>46113</v>
      </c>
      <c r="H19" s="70">
        <v>47209</v>
      </c>
      <c r="I19" s="65">
        <v>149624480</v>
      </c>
      <c r="J19" s="65">
        <v>6000000</v>
      </c>
      <c r="K19" s="65">
        <v>13800000</v>
      </c>
      <c r="L19" s="65">
        <v>0</v>
      </c>
      <c r="M19" s="65">
        <v>50361000</v>
      </c>
      <c r="N19" s="65">
        <f>SUM(Tabla7[[#This Row],[MONTO FF]:[NO PECUNIO INIA]])</f>
        <v>219785480</v>
      </c>
      <c r="O19" s="72"/>
    </row>
    <row r="20" spans="3:15" ht="22.5" x14ac:dyDescent="0.2">
      <c r="C20" s="68" t="s">
        <v>220</v>
      </c>
      <c r="D20" s="73" t="s">
        <v>265</v>
      </c>
      <c r="E20" s="69" t="s">
        <v>23</v>
      </c>
      <c r="F20" s="60" t="s">
        <v>286</v>
      </c>
      <c r="G20" s="70">
        <v>46113</v>
      </c>
      <c r="H20" s="70">
        <v>47209</v>
      </c>
      <c r="I20" s="65">
        <v>149784006</v>
      </c>
      <c r="J20" s="65">
        <v>8000000</v>
      </c>
      <c r="K20" s="65">
        <v>0</v>
      </c>
      <c r="L20" s="65">
        <v>1000000</v>
      </c>
      <c r="M20" s="65">
        <v>78287330</v>
      </c>
      <c r="N20" s="65">
        <f>SUM(Tabla7[[#This Row],[MONTO FF]:[NO PECUNIO INIA]])</f>
        <v>237071336</v>
      </c>
      <c r="O20" s="72"/>
    </row>
    <row r="21" spans="3:15" x14ac:dyDescent="0.2">
      <c r="C21" s="68"/>
      <c r="D21" s="69"/>
      <c r="E21" s="69"/>
      <c r="F21" s="69"/>
      <c r="G21" s="70"/>
      <c r="H21" s="70"/>
      <c r="I21" s="71"/>
      <c r="J21" s="71"/>
      <c r="K21" s="71"/>
      <c r="L21" s="71"/>
      <c r="M21" s="71"/>
      <c r="N21" s="71">
        <f>SUBTOTAL(109,Tabla7[TOTAL PROYECTO])</f>
        <v>1982873813</v>
      </c>
      <c r="O21" s="7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8"/>
  <sheetViews>
    <sheetView topLeftCell="A13" workbookViewId="0">
      <selection activeCell="I3" sqref="I3:N61"/>
    </sheetView>
  </sheetViews>
  <sheetFormatPr baseColWidth="10" defaultRowHeight="46.5" customHeight="1" x14ac:dyDescent="0.2"/>
  <cols>
    <col min="3" max="3" width="27.875" customWidth="1"/>
    <col min="4" max="4" width="15.375" customWidth="1"/>
  </cols>
  <sheetData>
    <row r="1" spans="3:8" ht="20.25" customHeight="1" x14ac:dyDescent="0.2">
      <c r="C1" s="124" t="s">
        <v>283</v>
      </c>
      <c r="D1" s="124" t="s">
        <v>277</v>
      </c>
      <c r="E1" s="124" t="s">
        <v>284</v>
      </c>
      <c r="F1" s="124" t="s">
        <v>278</v>
      </c>
      <c r="G1" s="124" t="s">
        <v>279</v>
      </c>
      <c r="H1" s="122" t="s">
        <v>285</v>
      </c>
    </row>
    <row r="2" spans="3:8" ht="10.5" customHeight="1" x14ac:dyDescent="0.2">
      <c r="C2" s="124"/>
      <c r="D2" s="124"/>
      <c r="E2" s="124"/>
      <c r="F2" s="124"/>
      <c r="G2" s="124"/>
      <c r="H2" s="123"/>
    </row>
    <row r="3" spans="3:8" ht="46.5" customHeight="1" x14ac:dyDescent="0.25">
      <c r="C3" s="45" t="s">
        <v>109</v>
      </c>
      <c r="D3" s="45" t="s">
        <v>17</v>
      </c>
      <c r="E3" s="46"/>
      <c r="F3" s="47" t="s">
        <v>110</v>
      </c>
      <c r="G3" s="45" t="s">
        <v>37</v>
      </c>
      <c r="H3" s="46"/>
    </row>
    <row r="4" spans="3:8" ht="46.5" customHeight="1" x14ac:dyDescent="0.25">
      <c r="C4" s="45" t="s">
        <v>39</v>
      </c>
      <c r="D4" s="45" t="s">
        <v>23</v>
      </c>
      <c r="E4" s="46"/>
      <c r="F4" s="47" t="s">
        <v>40</v>
      </c>
      <c r="G4" s="45" t="s">
        <v>41</v>
      </c>
      <c r="H4" s="46"/>
    </row>
    <row r="5" spans="3:8" ht="46.5" customHeight="1" x14ac:dyDescent="0.25">
      <c r="C5" s="45" t="s">
        <v>81</v>
      </c>
      <c r="D5" s="45" t="s">
        <v>23</v>
      </c>
      <c r="E5" s="46"/>
      <c r="F5" s="47" t="s">
        <v>82</v>
      </c>
      <c r="G5" s="45" t="s">
        <v>83</v>
      </c>
      <c r="H5" s="46"/>
    </row>
    <row r="6" spans="3:8" ht="46.5" customHeight="1" x14ac:dyDescent="0.25">
      <c r="C6" s="45" t="s">
        <v>114</v>
      </c>
      <c r="D6" s="45" t="s">
        <v>23</v>
      </c>
      <c r="E6" s="46"/>
      <c r="F6" s="47" t="s">
        <v>115</v>
      </c>
      <c r="G6" s="45" t="s">
        <v>116</v>
      </c>
      <c r="H6" s="46"/>
    </row>
    <row r="7" spans="3:8" ht="46.5" customHeight="1" x14ac:dyDescent="0.25">
      <c r="C7" s="45" t="s">
        <v>282</v>
      </c>
      <c r="D7" s="45" t="s">
        <v>17</v>
      </c>
      <c r="E7" s="46"/>
      <c r="F7" s="47">
        <v>45946</v>
      </c>
      <c r="G7" s="47">
        <v>46311</v>
      </c>
      <c r="H7" s="46"/>
    </row>
    <row r="8" spans="3:8" ht="46.5" customHeight="1" x14ac:dyDescent="0.25">
      <c r="C8" s="45" t="s">
        <v>174</v>
      </c>
      <c r="D8" s="45" t="s">
        <v>23</v>
      </c>
      <c r="E8" s="46"/>
      <c r="F8" s="47" t="s">
        <v>175</v>
      </c>
      <c r="G8" s="45" t="s">
        <v>143</v>
      </c>
      <c r="H8" s="46"/>
    </row>
  </sheetData>
  <mergeCells count="6">
    <mergeCell ref="H1:H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BBDD</vt:lpstr>
      <vt:lpstr>Hoja4</vt:lpstr>
      <vt:lpstr>KPIS</vt:lpstr>
      <vt:lpstr>DASHBOARD</vt:lpstr>
      <vt:lpstr>Resumen</vt:lpstr>
      <vt:lpstr>Hoja1</vt:lpstr>
      <vt:lpstr>Hoja3</vt:lpstr>
      <vt:lpstr>Hoja2</vt:lpstr>
      <vt:lpstr>DASHBOARD!Área_de_impresión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Inves_Rayentue</cp:lastModifiedBy>
  <cp:revision>0</cp:revision>
  <dcterms:created xsi:type="dcterms:W3CDTF">2025-10-25T00:02:14Z</dcterms:created>
  <dcterms:modified xsi:type="dcterms:W3CDTF">2026-03-19T13:18:17Z</dcterms:modified>
</cp:coreProperties>
</file>